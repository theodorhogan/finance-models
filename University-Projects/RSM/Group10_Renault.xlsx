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comments12.xml" ContentType="application/vnd.openxmlformats-officedocument.spreadsheetml.comments+xml"/>
  <Override PartName="/xl/threadedComments/threadedComment10.xml" ContentType="application/vnd.ms-excel.threadedcomments+xml"/>
  <Override PartName="/xl/comments13.xml" ContentType="application/vnd.openxmlformats-officedocument.spreadsheetml.comments+xml"/>
  <Override PartName="/xl/threadedComments/threadedComment11.xml" ContentType="application/vnd.ms-excel.threadedcomments+xml"/>
  <Override PartName="/xl/comments14.xml" ContentType="application/vnd.openxmlformats-officedocument.spreadsheetml.comments+xml"/>
  <Override PartName="/xl/threadedComments/threadedComment12.xml" ContentType="application/vnd.ms-excel.threadedcomments+xml"/>
  <Override PartName="/xl/comments15.xml" ContentType="application/vnd.openxmlformats-officedocument.spreadsheetml.comments+xml"/>
  <Override PartName="/xl/threadedComments/threadedComment13.xml" ContentType="application/vnd.ms-excel.threadedcomments+xml"/>
  <Override PartName="/xl/comments16.xml" ContentType="application/vnd.openxmlformats-officedocument.spreadsheetml.comments+xml"/>
  <Override PartName="/xl/threadedComments/threadedComment14.xml" ContentType="application/vnd.ms-excel.threadedcomments+xml"/>
  <Override PartName="/xl/comments17.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iveeur-my.sharepoint.com/personal/666665rv_eur_nl/Documents/Desktop/RSM/AP CF/Shared folder/AP-CF/"/>
    </mc:Choice>
  </mc:AlternateContent>
  <xr:revisionPtr revIDLastSave="9991" documentId="8_{54694367-9FDA-4A14-8F97-F8EB9B1BB5FF}" xr6:coauthVersionLast="47" xr6:coauthVersionMax="47" xr10:uidLastSave="{918A0B66-1E1D-476B-A0EA-945E59E628B8}"/>
  <bookViews>
    <workbookView xWindow="32290" yWindow="18040" windowWidth="38620" windowHeight="21100" tabRatio="661" firstSheet="1" activeTab="5" xr2:uid="{01F1BE01-C0AF-4830-B0B9-C5FFCA6F57A4}"/>
  </bookViews>
  <sheets>
    <sheet name="__FDSCACHE__" sheetId="11" state="veryHidden" r:id="rId1"/>
    <sheet name="Cover" sheetId="19" r:id="rId2"/>
    <sheet name="Assignment Manager" sheetId="20" state="hidden" r:id="rId3"/>
    <sheet name="Main Financials" sheetId="1" r:id="rId4"/>
    <sheet name="WACC" sheetId="3" r:id="rId5"/>
    <sheet name="Beta" sheetId="21" r:id="rId6"/>
    <sheet name="CCA" sheetId="6" r:id="rId7"/>
    <sheet name="Valuation" sheetId="4" r:id="rId8"/>
    <sheet name="Macro" sheetId="7" r:id="rId9"/>
    <sheet name="Ratio's" sheetId="2" r:id="rId10"/>
    <sheet name="Peer Group&gt;&gt;&gt;" sheetId="10" r:id="rId11"/>
    <sheet name="Stellantis" sheetId="12" r:id="rId12"/>
    <sheet name="Nissan" sheetId="14" r:id="rId13"/>
    <sheet name="Volkswagen" sheetId="13" r:id="rId14"/>
    <sheet name="BMW" sheetId="15" r:id="rId15"/>
    <sheet name="MercedesBenz" sheetId="16" r:id="rId16"/>
    <sheet name="Toyota" sheetId="17" r:id="rId17"/>
    <sheet name="Honda" sheetId="18" r:id="rId18"/>
    <sheet name="GeneralMotors" sheetId="22" r:id="rId19"/>
    <sheet name="Ford" sheetId="23" r:id="rId20"/>
  </sheets>
  <definedNames>
    <definedName name="Cash_to_sales_ratio">CCA!$AF$52</definedName>
    <definedName name="cs_fd_outstanding">'Main Financials'!$N$83</definedName>
    <definedName name="MarginalTax" localSheetId="5">#REF!</definedName>
    <definedName name="MarginalTax">#REF!</definedName>
    <definedName name="TGR">Valuation!$D$10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3" l="1"/>
  <c r="I17" i="3"/>
  <c r="W66" i="6"/>
  <c r="X66" i="6"/>
  <c r="O76" i="6"/>
  <c r="P133" i="6"/>
  <c r="O133" i="6"/>
  <c r="N133" i="6"/>
  <c r="M133" i="6"/>
  <c r="L133" i="6"/>
  <c r="P131" i="6"/>
  <c r="O131" i="6"/>
  <c r="N131" i="6"/>
  <c r="M131" i="6"/>
  <c r="L131" i="6"/>
  <c r="O14" i="1"/>
  <c r="P14" i="1"/>
  <c r="Q14" i="1"/>
  <c r="R14" i="1"/>
  <c r="S14" i="1"/>
  <c r="T14" i="1"/>
  <c r="U14" i="1"/>
  <c r="E279" i="1"/>
  <c r="F44" i="6" a="1"/>
  <c r="F44" i="6" l="1"/>
  <c r="E31" i="6"/>
  <c r="F31" i="6"/>
  <c r="G31" i="6"/>
  <c r="H31" i="6"/>
  <c r="I31" i="6"/>
  <c r="E33" i="6"/>
  <c r="F33" i="6"/>
  <c r="G33" i="6"/>
  <c r="H33" i="6"/>
  <c r="I33" i="6"/>
  <c r="B4" i="6" l="1"/>
  <c r="G4" i="6"/>
  <c r="F5" i="6"/>
  <c r="H5" i="6"/>
  <c r="B6" i="6"/>
  <c r="E6" i="6"/>
  <c r="F6" i="6"/>
  <c r="G6" i="6"/>
  <c r="H6" i="6"/>
  <c r="I6" i="6"/>
  <c r="B7" i="6"/>
  <c r="B8" i="6"/>
  <c r="B9" i="6"/>
  <c r="B11" i="6"/>
  <c r="B12" i="6"/>
  <c r="B13" i="6"/>
  <c r="B15" i="6"/>
  <c r="B16" i="6"/>
  <c r="B17" i="6"/>
  <c r="E17" i="6"/>
  <c r="F17" i="6"/>
  <c r="G17" i="6"/>
  <c r="H17" i="6"/>
  <c r="I17" i="6"/>
  <c r="B19" i="6"/>
  <c r="B20" i="6"/>
  <c r="B21" i="6"/>
  <c r="D9" i="4" l="1" a="1"/>
  <c r="D9" i="4" s="1"/>
  <c r="F100" i="6" l="1"/>
  <c r="D6" i="4"/>
  <c r="P44" i="6" a="1"/>
  <c r="Q44" i="6" a="1"/>
  <c r="G44" i="6" a="1"/>
  <c r="L44" i="6" a="1"/>
  <c r="V44" i="6" a="1"/>
  <c r="J44" i="6" a="1"/>
  <c r="I44" i="6" a="1"/>
  <c r="M44" i="6" a="1"/>
  <c r="R44" i="6" a="1"/>
  <c r="N44" i="6" a="1"/>
  <c r="T44" i="6" a="1"/>
  <c r="O44" i="6" a="1"/>
  <c r="U44" i="6" a="1"/>
  <c r="S44" i="6" a="1"/>
  <c r="L44" i="6" l="1"/>
  <c r="T44" i="6"/>
  <c r="S44" i="6"/>
  <c r="M44" i="6"/>
  <c r="R44" i="6"/>
  <c r="G44" i="6"/>
  <c r="H44" i="6" s="1"/>
  <c r="N44" i="6"/>
  <c r="Q44" i="6"/>
  <c r="J44" i="6"/>
  <c r="V44" i="6"/>
  <c r="P44" i="6"/>
  <c r="I44" i="6"/>
  <c r="U44" i="6"/>
  <c r="O44" i="6"/>
  <c r="J54" i="6"/>
  <c r="T31" i="3"/>
  <c r="U28" i="3" s="1"/>
  <c r="AM66" i="6"/>
  <c r="AL66" i="6"/>
  <c r="AK66" i="6"/>
  <c r="AJ66" i="6"/>
  <c r="AI66" i="6"/>
  <c r="AH66" i="6"/>
  <c r="AG66" i="6"/>
  <c r="AF66" i="6"/>
  <c r="AG56" i="6"/>
  <c r="AH56" i="6" s="1"/>
  <c r="AI56" i="6" s="1"/>
  <c r="AJ56" i="6" s="1"/>
  <c r="AK56" i="6" s="1"/>
  <c r="AL56" i="6" s="1"/>
  <c r="AM56" i="6" s="1"/>
  <c r="U18" i="3" l="1"/>
  <c r="U17" i="3"/>
  <c r="U29" i="3"/>
  <c r="U30" i="3"/>
  <c r="U13" i="3"/>
  <c r="U14" i="3"/>
  <c r="U15" i="3"/>
  <c r="U16" i="3"/>
  <c r="W44" i="6"/>
  <c r="Y44" i="6"/>
  <c r="Z44" i="6"/>
  <c r="K44" i="6"/>
  <c r="AA44" i="6"/>
  <c r="X44" i="6"/>
  <c r="AF68" i="6"/>
  <c r="F162" i="4" s="1"/>
  <c r="U19" i="3"/>
  <c r="U4" i="3"/>
  <c r="U20" i="3"/>
  <c r="U5" i="3"/>
  <c r="U21" i="3"/>
  <c r="U6" i="3"/>
  <c r="U22" i="3"/>
  <c r="U7" i="3"/>
  <c r="U23" i="3"/>
  <c r="U8" i="3"/>
  <c r="U24" i="3"/>
  <c r="U9" i="3"/>
  <c r="U25" i="3"/>
  <c r="U10" i="3"/>
  <c r="U26" i="3"/>
  <c r="U11" i="3"/>
  <c r="U27" i="3"/>
  <c r="U12" i="3"/>
  <c r="L157" i="4"/>
  <c r="L170" i="4" s="1"/>
  <c r="U32" i="3" l="1"/>
  <c r="D7" i="4"/>
  <c r="P12" i="3" l="1"/>
  <c r="O12" i="3"/>
  <c r="K12" i="3"/>
  <c r="N12" i="3"/>
  <c r="L12" i="3"/>
  <c r="I12" i="3"/>
  <c r="M12" i="3"/>
  <c r="J12" i="3"/>
  <c r="F126" i="4"/>
  <c r="F127" i="4" s="1"/>
  <c r="G127" i="4" s="1"/>
  <c r="H127" i="4" s="1"/>
  <c r="I127" i="4" s="1"/>
  <c r="J127" i="4" s="1"/>
  <c r="K127" i="4" s="1"/>
  <c r="L127" i="4" s="1"/>
  <c r="L122" i="4"/>
  <c r="L121" i="4"/>
  <c r="L95" i="4"/>
  <c r="L94" i="4"/>
  <c r="L67" i="4"/>
  <c r="L65" i="4"/>
  <c r="L64" i="4"/>
  <c r="L58" i="4"/>
  <c r="L57" i="4"/>
  <c r="L32" i="4"/>
  <c r="L31" i="4"/>
  <c r="L16" i="4"/>
  <c r="L17" i="4"/>
  <c r="O27" i="3"/>
  <c r="O19" i="3"/>
  <c r="O4" i="3"/>
  <c r="T44" i="3" l="1"/>
  <c r="AB41" i="3"/>
  <c r="AA41" i="3"/>
  <c r="Z41" i="3"/>
  <c r="Y41" i="3"/>
  <c r="X41" i="3"/>
  <c r="W41" i="3"/>
  <c r="V41" i="3"/>
  <c r="U41" i="3"/>
  <c r="V39" i="3"/>
  <c r="W39" i="3" s="1"/>
  <c r="X39" i="3" s="1"/>
  <c r="Y39" i="3" s="1"/>
  <c r="Z39" i="3" s="1"/>
  <c r="AA39" i="3" s="1"/>
  <c r="U428" i="1"/>
  <c r="U403" i="1"/>
  <c r="U8" i="7"/>
  <c r="U13" i="7"/>
  <c r="U4" i="7"/>
  <c r="L24" i="4"/>
  <c r="B142" i="2"/>
  <c r="B143" i="2"/>
  <c r="B144" i="2"/>
  <c r="B145" i="2"/>
  <c r="B146" i="2"/>
  <c r="B147" i="2"/>
  <c r="B149" i="2"/>
  <c r="B134" i="2"/>
  <c r="B135" i="2"/>
  <c r="B136" i="2"/>
  <c r="B137" i="2"/>
  <c r="B138" i="2"/>
  <c r="B139" i="2"/>
  <c r="B75" i="2"/>
  <c r="B80" i="2"/>
  <c r="B82" i="2"/>
  <c r="B83" i="2"/>
  <c r="B87" i="2"/>
  <c r="B89" i="2"/>
  <c r="B90" i="2"/>
  <c r="B91" i="2"/>
  <c r="B92" i="2"/>
  <c r="B93" i="2"/>
  <c r="B95" i="2"/>
  <c r="B97" i="2"/>
  <c r="B99" i="2"/>
  <c r="B100" i="2"/>
  <c r="B101" i="2"/>
  <c r="B103" i="2"/>
  <c r="D104" i="2"/>
  <c r="E104" i="2"/>
  <c r="F104" i="2"/>
  <c r="G104" i="2"/>
  <c r="H104" i="2"/>
  <c r="I104" i="2"/>
  <c r="J104" i="2"/>
  <c r="K104" i="2"/>
  <c r="B105" i="2"/>
  <c r="B106" i="2"/>
  <c r="B107" i="2"/>
  <c r="B108" i="2"/>
  <c r="D109" i="2"/>
  <c r="E109" i="2"/>
  <c r="F109" i="2"/>
  <c r="G109" i="2"/>
  <c r="H109" i="2"/>
  <c r="I109" i="2"/>
  <c r="J109" i="2"/>
  <c r="K109" i="2"/>
  <c r="B110" i="2"/>
  <c r="D111" i="2"/>
  <c r="E111" i="2"/>
  <c r="F111" i="2"/>
  <c r="G111" i="2"/>
  <c r="H111" i="2"/>
  <c r="I111" i="2"/>
  <c r="J111" i="2"/>
  <c r="K111" i="2"/>
  <c r="B112" i="2"/>
  <c r="B113" i="2"/>
  <c r="D123" i="2"/>
  <c r="E123" i="2"/>
  <c r="F123" i="2"/>
  <c r="G123" i="2"/>
  <c r="H123" i="2"/>
  <c r="I123" i="2"/>
  <c r="J123" i="2"/>
  <c r="K123" i="2"/>
  <c r="B124" i="2"/>
  <c r="B125" i="2"/>
  <c r="B128" i="2"/>
  <c r="B60" i="2"/>
  <c r="B61" i="2"/>
  <c r="B62" i="2"/>
  <c r="B63" i="2"/>
  <c r="B64" i="2"/>
  <c r="B65" i="2"/>
  <c r="B66" i="2"/>
  <c r="B67" i="2"/>
  <c r="B68" i="2"/>
  <c r="B69" i="2"/>
  <c r="AM49" i="6" a="1"/>
  <c r="Z45" i="3" l="1"/>
  <c r="N5" i="3" s="1"/>
  <c r="AA45" i="3"/>
  <c r="O5" i="3" s="1"/>
  <c r="O11" i="3" s="1"/>
  <c r="W45" i="3"/>
  <c r="K5" i="3" s="1"/>
  <c r="AB45" i="3"/>
  <c r="P5" i="3" s="1"/>
  <c r="U45" i="3"/>
  <c r="I5" i="3" s="1"/>
  <c r="V45" i="3"/>
  <c r="J5" i="3" s="1"/>
  <c r="X45" i="3"/>
  <c r="L5" i="3" s="1"/>
  <c r="Y45" i="3"/>
  <c r="M5" i="3" s="1"/>
  <c r="AM49" i="6"/>
  <c r="AL49" i="6" a="1"/>
  <c r="AL49" i="6" l="1"/>
  <c r="AG40" i="6"/>
  <c r="AH40" i="6" s="1"/>
  <c r="AI40" i="6" s="1"/>
  <c r="AJ40" i="6" s="1"/>
  <c r="AK40" i="6" s="1"/>
  <c r="AL40" i="6" s="1"/>
  <c r="AM40" i="6" s="1"/>
  <c r="AF43" i="6" a="1"/>
  <c r="AI45" i="6" a="1"/>
  <c r="AM47" i="6" a="1"/>
  <c r="AK45" i="6" a="1"/>
  <c r="AJ41" i="6" a="1"/>
  <c r="AF41" i="6" a="1"/>
  <c r="AM43" i="6" a="1"/>
  <c r="AL45" i="6" a="1"/>
  <c r="AG43" i="6" a="1"/>
  <c r="AL41" i="6" a="1"/>
  <c r="AG49" i="6" a="1"/>
  <c r="AK44" i="6" a="1"/>
  <c r="AL42" i="6" a="1"/>
  <c r="AM46" i="6" a="1"/>
  <c r="AJ49" i="6" a="1"/>
  <c r="AK42" i="6" a="1"/>
  <c r="AL44" i="6" a="1"/>
  <c r="AG45" i="6" a="1"/>
  <c r="AK48" i="6" a="1"/>
  <c r="AJ47" i="6" a="1"/>
  <c r="AF46" i="6" a="1"/>
  <c r="AJ45" i="6" a="1"/>
  <c r="AI47" i="6" a="1"/>
  <c r="AF48" i="6" a="1"/>
  <c r="AM48" i="6" a="1"/>
  <c r="AI42" i="6" a="1"/>
  <c r="AL46" i="6" a="1"/>
  <c r="AJ43" i="6" a="1"/>
  <c r="AH43" i="6" a="1"/>
  <c r="AK46" i="6" a="1"/>
  <c r="AH45" i="6" a="1"/>
  <c r="AH48" i="6" a="1"/>
  <c r="AG46" i="6" a="1"/>
  <c r="AH47" i="6" a="1"/>
  <c r="AM45" i="6" a="1"/>
  <c r="AF44" i="6" a="1"/>
  <c r="AK43" i="6" a="1"/>
  <c r="AI43" i="6" a="1"/>
  <c r="AI44" i="6" a="1"/>
  <c r="AI41" i="6" a="1"/>
  <c r="AK47" i="6" a="1"/>
  <c r="AI49" i="6" a="1"/>
  <c r="AF49" i="6" a="1"/>
  <c r="AM42" i="6" a="1"/>
  <c r="AG48" i="6" a="1"/>
  <c r="AL43" i="6" a="1"/>
  <c r="AI48" i="6" a="1"/>
  <c r="AJ48" i="6" a="1"/>
  <c r="AF42" i="6" a="1"/>
  <c r="AF45" i="6" a="1"/>
  <c r="AJ42" i="6" a="1"/>
  <c r="AG44" i="6" a="1"/>
  <c r="AK49" i="6" a="1"/>
  <c r="AL48" i="6" a="1"/>
  <c r="AJ44" i="6" a="1"/>
  <c r="AG47" i="6" a="1"/>
  <c r="AG41" i="6" a="1"/>
  <c r="AL47" i="6" a="1"/>
  <c r="AJ46" i="6" a="1"/>
  <c r="AM41" i="6" a="1"/>
  <c r="AH44" i="6" a="1"/>
  <c r="AH42" i="6" a="1"/>
  <c r="AG42" i="6" a="1"/>
  <c r="AK41" i="6" a="1"/>
  <c r="AI46" i="6" a="1"/>
  <c r="AH49" i="6" a="1"/>
  <c r="AM44" i="6" a="1"/>
  <c r="AH46" i="6" a="1"/>
  <c r="AH41" i="6" a="1"/>
  <c r="AF47" i="6" a="1"/>
  <c r="AJ47" i="6" l="1"/>
  <c r="AM46" i="6"/>
  <c r="AF45" i="6"/>
  <c r="AG47" i="6"/>
  <c r="AH45" i="6"/>
  <c r="AJ41" i="6"/>
  <c r="AM48" i="6"/>
  <c r="AF42" i="6"/>
  <c r="AF48" i="6"/>
  <c r="AG42" i="6"/>
  <c r="AG46" i="6"/>
  <c r="AH43" i="6"/>
  <c r="AH48" i="6"/>
  <c r="AI43" i="6"/>
  <c r="AI47" i="6"/>
  <c r="AK49" i="6"/>
  <c r="AM41" i="6"/>
  <c r="AM44" i="6"/>
  <c r="AF41" i="6"/>
  <c r="AF46" i="6"/>
  <c r="AG41" i="6"/>
  <c r="AG45" i="6"/>
  <c r="AH41" i="6"/>
  <c r="AH46" i="6"/>
  <c r="AJ48" i="6"/>
  <c r="AM43" i="6"/>
  <c r="AM47" i="6"/>
  <c r="AF44" i="6"/>
  <c r="AF49" i="6"/>
  <c r="AG44" i="6"/>
  <c r="AG48" i="6"/>
  <c r="AH44" i="6"/>
  <c r="AH47" i="6"/>
  <c r="AI41" i="6"/>
  <c r="AI42" i="6"/>
  <c r="AI45" i="6"/>
  <c r="AI46" i="6"/>
  <c r="AI49" i="6"/>
  <c r="AJ42" i="6"/>
  <c r="AJ44" i="6"/>
  <c r="AJ45" i="6"/>
  <c r="AJ46" i="6"/>
  <c r="AJ49" i="6"/>
  <c r="AK41" i="6"/>
  <c r="AK42" i="6"/>
  <c r="AK43" i="6"/>
  <c r="AK44" i="6"/>
  <c r="AK45" i="6"/>
  <c r="AK46" i="6"/>
  <c r="AK48" i="6"/>
  <c r="AL41" i="6"/>
  <c r="AL42" i="6"/>
  <c r="AL43" i="6"/>
  <c r="AL44" i="6"/>
  <c r="AL45" i="6"/>
  <c r="AL46" i="6"/>
  <c r="AL47" i="6"/>
  <c r="AL48" i="6"/>
  <c r="AM42" i="6"/>
  <c r="AM45" i="6"/>
  <c r="AF43" i="6"/>
  <c r="AF47" i="6"/>
  <c r="AG43" i="6"/>
  <c r="AG49" i="6"/>
  <c r="AH42" i="6"/>
  <c r="AH49" i="6"/>
  <c r="AI44" i="6"/>
  <c r="AI48" i="6"/>
  <c r="AJ43" i="6"/>
  <c r="AK47" i="6"/>
  <c r="O403" i="1"/>
  <c r="AH50" i="6" l="1"/>
  <c r="AJ50" i="6"/>
  <c r="AF50" i="6"/>
  <c r="AK50" i="6"/>
  <c r="AG50" i="6"/>
  <c r="AI50" i="6"/>
  <c r="AL50" i="6"/>
  <c r="AM50" i="6"/>
  <c r="AF52" i="6" l="1"/>
  <c r="E67" i="4" l="1"/>
  <c r="F67" i="4"/>
  <c r="G67" i="4"/>
  <c r="H67" i="4"/>
  <c r="I67" i="4"/>
  <c r="J67" i="4"/>
  <c r="K67" i="4"/>
  <c r="B11" i="3"/>
  <c r="B12" i="3" s="1"/>
  <c r="B13" i="3" s="1"/>
  <c r="B14" i="3" s="1"/>
  <c r="B15" i="3" s="1"/>
  <c r="B16" i="3" s="1"/>
  <c r="D5" i="3"/>
  <c r="D6" i="3" s="1"/>
  <c r="H5" i="21"/>
  <c r="H6" i="21"/>
  <c r="H7" i="21"/>
  <c r="H8" i="21"/>
  <c r="H9" i="21"/>
  <c r="H10" i="21"/>
  <c r="H11" i="21"/>
  <c r="H12" i="21"/>
  <c r="H13" i="21"/>
  <c r="D4" i="21"/>
  <c r="C4" i="21"/>
  <c r="H54" i="6"/>
  <c r="C10" i="3"/>
  <c r="B95" i="1"/>
  <c r="B78" i="2" s="1"/>
  <c r="E95" i="1"/>
  <c r="E446" i="1" s="1"/>
  <c r="I27" i="3"/>
  <c r="J27" i="3"/>
  <c r="K27" i="3"/>
  <c r="L27" i="3"/>
  <c r="M27" i="3"/>
  <c r="N27" i="3"/>
  <c r="P27" i="3"/>
  <c r="J23" i="3"/>
  <c r="K23" i="3" s="1"/>
  <c r="L23" i="3" s="1"/>
  <c r="M23" i="3" s="1"/>
  <c r="N23" i="3" s="1"/>
  <c r="O23" i="3" s="1"/>
  <c r="I11" i="3"/>
  <c r="J11" i="3"/>
  <c r="K11" i="3"/>
  <c r="L11" i="3"/>
  <c r="M11" i="3"/>
  <c r="N11" i="3"/>
  <c r="P11" i="3"/>
  <c r="I19" i="3"/>
  <c r="J19" i="3"/>
  <c r="K19" i="3"/>
  <c r="L19" i="3"/>
  <c r="M19" i="3"/>
  <c r="N19" i="3"/>
  <c r="P19" i="3"/>
  <c r="E65" i="3"/>
  <c r="D65" i="3"/>
  <c r="D64" i="3"/>
  <c r="J16" i="3"/>
  <c r="K16" i="3" s="1"/>
  <c r="L16" i="3" s="1"/>
  <c r="M16" i="3" s="1"/>
  <c r="N16" i="3" s="1"/>
  <c r="O16" i="3" s="1"/>
  <c r="P4" i="3"/>
  <c r="I4" i="3"/>
  <c r="J4" i="3"/>
  <c r="K4" i="3"/>
  <c r="L4" i="3"/>
  <c r="M4" i="3"/>
  <c r="N4" i="3"/>
  <c r="J3" i="3"/>
  <c r="K3" i="3" s="1"/>
  <c r="L3" i="3" s="1"/>
  <c r="M3" i="3" s="1"/>
  <c r="N3" i="3" s="1"/>
  <c r="O3" i="3" s="1"/>
  <c r="J9" i="3"/>
  <c r="K9" i="3" s="1"/>
  <c r="L9" i="3" s="1"/>
  <c r="M9" i="3" s="1"/>
  <c r="N9" i="3" s="1"/>
  <c r="O9" i="3" s="1"/>
  <c r="E51" i="3"/>
  <c r="F51" i="3"/>
  <c r="N21" i="7"/>
  <c r="F20" i="21"/>
  <c r="F19" i="21"/>
  <c r="H4" i="21" s="1"/>
  <c r="O21" i="7"/>
  <c r="P21" i="7"/>
  <c r="Q21" i="7"/>
  <c r="F490" i="1"/>
  <c r="G490" i="1" s="1"/>
  <c r="H490" i="1" s="1"/>
  <c r="I490" i="1" s="1"/>
  <c r="J490" i="1" s="1"/>
  <c r="K490" i="1" s="1"/>
  <c r="L490" i="1" s="1"/>
  <c r="M490" i="1" s="1"/>
  <c r="N490" i="1" s="1"/>
  <c r="O490" i="1" s="1"/>
  <c r="P490" i="1" s="1"/>
  <c r="Q490" i="1" s="1"/>
  <c r="R490" i="1" s="1"/>
  <c r="S490" i="1" s="1"/>
  <c r="T490" i="1" s="1"/>
  <c r="U490" i="1" s="1"/>
  <c r="F489" i="1"/>
  <c r="G489" i="1" s="1"/>
  <c r="H489" i="1" s="1"/>
  <c r="I489" i="1" s="1"/>
  <c r="J489" i="1" s="1"/>
  <c r="K489" i="1" s="1"/>
  <c r="L489" i="1" s="1"/>
  <c r="M489" i="1" s="1"/>
  <c r="N489" i="1" s="1"/>
  <c r="O489" i="1" s="1"/>
  <c r="P489" i="1" s="1"/>
  <c r="Q489" i="1" s="1"/>
  <c r="R489" i="1" s="1"/>
  <c r="S489" i="1" s="1"/>
  <c r="T489" i="1" s="1"/>
  <c r="U489" i="1" s="1"/>
  <c r="F479" i="1"/>
  <c r="G479" i="1" s="1"/>
  <c r="H479" i="1" s="1"/>
  <c r="I479" i="1" s="1"/>
  <c r="J479" i="1" s="1"/>
  <c r="K479" i="1" s="1"/>
  <c r="L479" i="1" s="1"/>
  <c r="M479" i="1" s="1"/>
  <c r="N479" i="1" s="1"/>
  <c r="O479" i="1" s="1"/>
  <c r="P479" i="1" s="1"/>
  <c r="Q479" i="1" s="1"/>
  <c r="R479" i="1" s="1"/>
  <c r="S479" i="1" s="1"/>
  <c r="T479" i="1" s="1"/>
  <c r="U479" i="1" s="1"/>
  <c r="F478" i="1"/>
  <c r="G478" i="1" s="1"/>
  <c r="H478" i="1" s="1"/>
  <c r="I478" i="1" s="1"/>
  <c r="J478" i="1" s="1"/>
  <c r="K478" i="1" s="1"/>
  <c r="L478" i="1" s="1"/>
  <c r="M478" i="1" s="1"/>
  <c r="N478" i="1" s="1"/>
  <c r="O478" i="1" s="1"/>
  <c r="P478" i="1" s="1"/>
  <c r="Q478" i="1" s="1"/>
  <c r="R478" i="1" s="1"/>
  <c r="S478" i="1" s="1"/>
  <c r="T478" i="1" s="1"/>
  <c r="U478" i="1" s="1"/>
  <c r="M30" i="7" a="1"/>
  <c r="G51" i="3" l="1"/>
  <c r="E54" i="3" s="1"/>
  <c r="O17" i="3" s="1"/>
  <c r="I26" i="3"/>
  <c r="I24" i="3" s="1"/>
  <c r="C11" i="3"/>
  <c r="F4" i="21"/>
  <c r="N17" i="3"/>
  <c r="L17" i="3"/>
  <c r="D67" i="3"/>
  <c r="P17" i="3"/>
  <c r="M30" i="7"/>
  <c r="M27" i="7" a="1"/>
  <c r="M23" i="7" a="1"/>
  <c r="M25" i="7" a="1"/>
  <c r="M24" i="7" a="1"/>
  <c r="M29" i="7" a="1"/>
  <c r="M28" i="7" a="1"/>
  <c r="M26" i="7" a="1"/>
  <c r="M22" i="7" a="1"/>
  <c r="K17" i="3" l="1"/>
  <c r="M17" i="3"/>
  <c r="I18" i="3"/>
  <c r="I20" i="3" s="1"/>
  <c r="I28" i="3" s="1"/>
  <c r="O18" i="3"/>
  <c r="O20" i="3" s="1"/>
  <c r="O28" i="3" s="1"/>
  <c r="J26" i="3"/>
  <c r="J24" i="3" s="1"/>
  <c r="C12" i="3"/>
  <c r="J18" i="3"/>
  <c r="N18" i="3"/>
  <c r="K18" i="3"/>
  <c r="L18" i="3"/>
  <c r="P18" i="3"/>
  <c r="M18" i="3"/>
  <c r="M22" i="7"/>
  <c r="M24" i="7"/>
  <c r="M26" i="7"/>
  <c r="M27" i="7"/>
  <c r="M23" i="7"/>
  <c r="M25" i="7"/>
  <c r="M28" i="7"/>
  <c r="M29" i="7"/>
  <c r="J20" i="3" l="1"/>
  <c r="J28" i="3" s="1"/>
  <c r="M20" i="3"/>
  <c r="M28" i="3" s="1"/>
  <c r="N20" i="3"/>
  <c r="N28" i="3" s="1"/>
  <c r="K20" i="3"/>
  <c r="K28" i="3" s="1"/>
  <c r="P20" i="3"/>
  <c r="P28" i="3" s="1"/>
  <c r="L20" i="3"/>
  <c r="L28" i="3" s="1"/>
  <c r="C13" i="3"/>
  <c r="K26" i="3"/>
  <c r="K24" i="3" s="1"/>
  <c r="C14" i="3" l="1"/>
  <c r="L26" i="3"/>
  <c r="L24" i="3" s="1"/>
  <c r="Q8" i="7"/>
  <c r="R8" i="7" s="1"/>
  <c r="S8" i="7" s="1"/>
  <c r="T8" i="7" s="1"/>
  <c r="P8" i="7"/>
  <c r="O8" i="7"/>
  <c r="M8" i="7"/>
  <c r="L8" i="7" s="1"/>
  <c r="K8" i="7" s="1"/>
  <c r="J8" i="7" s="1"/>
  <c r="I8" i="7" s="1"/>
  <c r="H8" i="7" s="1"/>
  <c r="G8" i="7" s="1"/>
  <c r="F8" i="7" s="1"/>
  <c r="E8" i="7" s="1"/>
  <c r="E150" i="1"/>
  <c r="E93" i="1" s="1"/>
  <c r="I150" i="1"/>
  <c r="I93" i="1" s="1"/>
  <c r="F76" i="2" s="1"/>
  <c r="J150" i="1"/>
  <c r="J93" i="1" s="1"/>
  <c r="G76" i="2" s="1"/>
  <c r="K150" i="1"/>
  <c r="K93" i="1" s="1"/>
  <c r="H76" i="2" s="1"/>
  <c r="L150" i="1"/>
  <c r="L93" i="1" s="1"/>
  <c r="I76" i="2" s="1"/>
  <c r="M150" i="1"/>
  <c r="M93" i="1" s="1"/>
  <c r="J76" i="2" s="1"/>
  <c r="N150" i="1"/>
  <c r="N93" i="1" s="1"/>
  <c r="E151" i="1"/>
  <c r="E142" i="1" s="1"/>
  <c r="I151" i="1"/>
  <c r="I142" i="1" s="1"/>
  <c r="F125" i="2" s="1"/>
  <c r="J151" i="1"/>
  <c r="J142" i="1" s="1"/>
  <c r="G125" i="2" s="1"/>
  <c r="K151" i="1"/>
  <c r="K142" i="1" s="1"/>
  <c r="H125" i="2" s="1"/>
  <c r="L151" i="1"/>
  <c r="L142" i="1" s="1"/>
  <c r="I125" i="2" s="1"/>
  <c r="M151" i="1"/>
  <c r="M142" i="1" s="1"/>
  <c r="J125" i="2" s="1"/>
  <c r="N151" i="1"/>
  <c r="N142" i="1" s="1"/>
  <c r="F24" i="4"/>
  <c r="G24" i="4"/>
  <c r="H24" i="4"/>
  <c r="I24" i="4"/>
  <c r="J24" i="4"/>
  <c r="K24" i="4"/>
  <c r="R387" i="1"/>
  <c r="S387" i="1" s="1"/>
  <c r="T387" i="1" s="1"/>
  <c r="U387" i="1" s="1"/>
  <c r="J389" i="1"/>
  <c r="J390" i="1" s="1"/>
  <c r="K389" i="1"/>
  <c r="K390" i="1" s="1"/>
  <c r="L389" i="1"/>
  <c r="L390" i="1" s="1"/>
  <c r="M389" i="1"/>
  <c r="M390" i="1" s="1"/>
  <c r="N389" i="1"/>
  <c r="N390" i="1" s="1"/>
  <c r="J387" i="1"/>
  <c r="K387" i="1"/>
  <c r="L387" i="1"/>
  <c r="M387" i="1"/>
  <c r="N387" i="1"/>
  <c r="F384" i="1"/>
  <c r="G384" i="1" s="1"/>
  <c r="H384" i="1" s="1"/>
  <c r="I384" i="1" s="1"/>
  <c r="J384" i="1" s="1"/>
  <c r="K384" i="1" s="1"/>
  <c r="L384" i="1" s="1"/>
  <c r="M384" i="1" s="1"/>
  <c r="N384" i="1" s="1"/>
  <c r="O384" i="1" s="1"/>
  <c r="P384" i="1" s="1"/>
  <c r="Q384" i="1" s="1"/>
  <c r="R384" i="1" s="1"/>
  <c r="S384" i="1" s="1"/>
  <c r="T384" i="1" s="1"/>
  <c r="U384" i="1" s="1"/>
  <c r="F385" i="1"/>
  <c r="G385" i="1" s="1"/>
  <c r="H385" i="1" s="1"/>
  <c r="I385" i="1" s="1"/>
  <c r="J385" i="1" s="1"/>
  <c r="K385" i="1" s="1"/>
  <c r="L385" i="1" s="1"/>
  <c r="M385" i="1" s="1"/>
  <c r="N385" i="1" s="1"/>
  <c r="O385" i="1" s="1"/>
  <c r="P385" i="1" s="1"/>
  <c r="Q385" i="1" s="1"/>
  <c r="R385" i="1" s="1"/>
  <c r="S385" i="1" s="1"/>
  <c r="T385" i="1" s="1"/>
  <c r="U385" i="1" s="1"/>
  <c r="E373" i="1"/>
  <c r="E374" i="1" s="1"/>
  <c r="F373" i="1"/>
  <c r="F374" i="1" s="1"/>
  <c r="G373" i="1"/>
  <c r="G374" i="1" s="1"/>
  <c r="H373" i="1"/>
  <c r="H374" i="1" s="1"/>
  <c r="I373" i="1"/>
  <c r="I374" i="1" s="1"/>
  <c r="J373" i="1"/>
  <c r="J374" i="1" s="1"/>
  <c r="K373" i="1"/>
  <c r="K374" i="1" s="1"/>
  <c r="L373" i="1"/>
  <c r="L374" i="1" s="1"/>
  <c r="M373" i="1"/>
  <c r="M374" i="1" s="1"/>
  <c r="N373" i="1"/>
  <c r="N374" i="1" s="1"/>
  <c r="N371" i="1"/>
  <c r="E371" i="1"/>
  <c r="F371" i="1"/>
  <c r="G371" i="1"/>
  <c r="H371" i="1"/>
  <c r="I371" i="1"/>
  <c r="J371" i="1"/>
  <c r="K371" i="1"/>
  <c r="L371" i="1"/>
  <c r="M371" i="1"/>
  <c r="F368" i="1"/>
  <c r="G368" i="1" s="1"/>
  <c r="H368" i="1" s="1"/>
  <c r="I368" i="1" s="1"/>
  <c r="J368" i="1" s="1"/>
  <c r="K368" i="1" s="1"/>
  <c r="L368" i="1" s="1"/>
  <c r="M368" i="1" s="1"/>
  <c r="N368" i="1" s="1"/>
  <c r="O368" i="1" s="1"/>
  <c r="P368" i="1" s="1"/>
  <c r="Q368" i="1" s="1"/>
  <c r="R368" i="1" s="1"/>
  <c r="S368" i="1" s="1"/>
  <c r="T368" i="1" s="1"/>
  <c r="U368" i="1" s="1"/>
  <c r="F369" i="1"/>
  <c r="G369" i="1" s="1"/>
  <c r="H369" i="1" s="1"/>
  <c r="I369" i="1" s="1"/>
  <c r="J369" i="1" s="1"/>
  <c r="K369" i="1" s="1"/>
  <c r="L369" i="1" s="1"/>
  <c r="M369" i="1" s="1"/>
  <c r="N369" i="1" s="1"/>
  <c r="O369" i="1" s="1"/>
  <c r="P369" i="1" s="1"/>
  <c r="Q369" i="1" s="1"/>
  <c r="R369" i="1" s="1"/>
  <c r="S369" i="1" s="1"/>
  <c r="T369" i="1" s="1"/>
  <c r="U369" i="1" s="1"/>
  <c r="J45" i="6" a="1"/>
  <c r="E34" i="4" l="1"/>
  <c r="K76" i="2"/>
  <c r="Y66" i="6"/>
  <c r="K125" i="2"/>
  <c r="C15" i="3"/>
  <c r="C16" i="3" s="1"/>
  <c r="M26" i="3"/>
  <c r="M24" i="3" s="1"/>
  <c r="K54" i="6"/>
  <c r="H76" i="6" s="1"/>
  <c r="J45" i="6"/>
  <c r="O374" i="1"/>
  <c r="P374" i="1" s="1"/>
  <c r="P390" i="1"/>
  <c r="F99" i="6"/>
  <c r="F98" i="6"/>
  <c r="F76" i="6"/>
  <c r="U93" i="6" l="1"/>
  <c r="I10" i="6" s="1"/>
  <c r="T93" i="6"/>
  <c r="H10" i="6" s="1"/>
  <c r="S93" i="6"/>
  <c r="G10" i="6" s="1"/>
  <c r="R93" i="6"/>
  <c r="F10" i="6" s="1"/>
  <c r="Q93" i="6"/>
  <c r="E10" i="6" s="1"/>
  <c r="O26" i="3"/>
  <c r="O24" i="3" s="1"/>
  <c r="C17" i="3"/>
  <c r="P26" i="3" s="1"/>
  <c r="P24" i="3" s="1"/>
  <c r="N26" i="3"/>
  <c r="N24" i="3" s="1"/>
  <c r="Q390" i="1"/>
  <c r="Q374" i="1"/>
  <c r="R374" i="1" s="1"/>
  <c r="Q76" i="6"/>
  <c r="P76" i="6"/>
  <c r="R390" i="1" l="1"/>
  <c r="S374" i="1"/>
  <c r="C35" i="21"/>
  <c r="P35" i="21" s="1"/>
  <c r="E20" i="21"/>
  <c r="E19" i="21"/>
  <c r="C11" i="21" a="1"/>
  <c r="F11" i="21" a="1"/>
  <c r="J5" i="21" a="1"/>
  <c r="F6" i="21" a="1"/>
  <c r="C6" i="21" a="1"/>
  <c r="F12" i="21" a="1"/>
  <c r="C10" i="21" a="1"/>
  <c r="C8" i="21" a="1"/>
  <c r="D9" i="21" a="1"/>
  <c r="F8" i="21" a="1"/>
  <c r="D13" i="21" a="1"/>
  <c r="D8" i="21" a="1"/>
  <c r="C12" i="21" a="1"/>
  <c r="D11" i="21" a="1"/>
  <c r="F10" i="21" a="1"/>
  <c r="J12" i="21" a="1"/>
  <c r="J13" i="21" a="1"/>
  <c r="F7" i="21" a="1"/>
  <c r="J6" i="21" a="1"/>
  <c r="J9" i="21" a="1"/>
  <c r="J10" i="21" a="1"/>
  <c r="D10" i="21" a="1"/>
  <c r="D12" i="21" a="1"/>
  <c r="J8" i="21" a="1"/>
  <c r="C7" i="21" a="1"/>
  <c r="F13" i="21" a="1"/>
  <c r="C9" i="21" a="1"/>
  <c r="J7" i="21" a="1"/>
  <c r="D5" i="21" a="1"/>
  <c r="J11" i="21" a="1"/>
  <c r="C5" i="21" a="1"/>
  <c r="D6" i="21" a="1"/>
  <c r="F9" i="21" a="1"/>
  <c r="D7" i="21" a="1"/>
  <c r="C13" i="21" a="1"/>
  <c r="F5" i="21" a="1"/>
  <c r="E4" i="21" l="1"/>
  <c r="D20" i="21" s="1"/>
  <c r="S390" i="1"/>
  <c r="T374" i="1"/>
  <c r="U374" i="1" s="1"/>
  <c r="J5" i="21"/>
  <c r="J6" i="21"/>
  <c r="J8" i="21"/>
  <c r="J10" i="21"/>
  <c r="J11" i="21"/>
  <c r="J13" i="21"/>
  <c r="J7" i="21"/>
  <c r="J9" i="21"/>
  <c r="J12" i="21"/>
  <c r="F6" i="21"/>
  <c r="F8" i="21"/>
  <c r="F10" i="21"/>
  <c r="F13" i="21"/>
  <c r="F7" i="21"/>
  <c r="F9" i="21"/>
  <c r="F11" i="21"/>
  <c r="F12" i="21"/>
  <c r="F5" i="21"/>
  <c r="D6" i="21"/>
  <c r="D7" i="21"/>
  <c r="D8" i="21"/>
  <c r="D9" i="21"/>
  <c r="D10" i="21"/>
  <c r="D11" i="21"/>
  <c r="D12" i="21"/>
  <c r="D13" i="21"/>
  <c r="D5" i="21"/>
  <c r="C5" i="21"/>
  <c r="C9" i="21"/>
  <c r="C6" i="21"/>
  <c r="C7" i="21"/>
  <c r="C8" i="21"/>
  <c r="C10" i="21"/>
  <c r="C11" i="21"/>
  <c r="C12" i="21"/>
  <c r="C13" i="21"/>
  <c r="D19" i="21" l="1"/>
  <c r="T390" i="1"/>
  <c r="U390" i="1" s="1"/>
  <c r="E5" i="21"/>
  <c r="E10" i="21"/>
  <c r="E8" i="21"/>
  <c r="E9" i="21"/>
  <c r="E7" i="21"/>
  <c r="E6" i="21"/>
  <c r="E11" i="21"/>
  <c r="E13" i="21"/>
  <c r="E12" i="21"/>
  <c r="D80" i="6" l="1"/>
  <c r="D81" i="6" s="1"/>
  <c r="E108" i="1"/>
  <c r="F108" i="1"/>
  <c r="G108" i="1"/>
  <c r="D91" i="2" s="1"/>
  <c r="H108" i="1"/>
  <c r="E91" i="2" s="1"/>
  <c r="I108" i="1"/>
  <c r="F91" i="2" s="1"/>
  <c r="J108" i="1"/>
  <c r="G91" i="2" s="1"/>
  <c r="K108" i="1"/>
  <c r="H91" i="2" s="1"/>
  <c r="L108" i="1"/>
  <c r="I91" i="2" s="1"/>
  <c r="M108" i="1"/>
  <c r="J91" i="2" s="1"/>
  <c r="N108" i="1"/>
  <c r="E109" i="1"/>
  <c r="F109" i="1"/>
  <c r="G109" i="1"/>
  <c r="H109" i="1"/>
  <c r="E92" i="2" s="1"/>
  <c r="E110" i="1"/>
  <c r="F110" i="1"/>
  <c r="G110" i="1"/>
  <c r="D93" i="2" s="1"/>
  <c r="H110" i="1"/>
  <c r="E93" i="2" s="1"/>
  <c r="I110" i="1"/>
  <c r="F93" i="2" s="1"/>
  <c r="J110" i="1"/>
  <c r="G93" i="2" s="1"/>
  <c r="K110" i="1"/>
  <c r="H93" i="2" s="1"/>
  <c r="L110" i="1"/>
  <c r="I93" i="2" s="1"/>
  <c r="M110" i="1"/>
  <c r="J93" i="2" s="1"/>
  <c r="N110" i="1"/>
  <c r="M120" i="1"/>
  <c r="J103" i="2" s="1"/>
  <c r="L120" i="1"/>
  <c r="I103" i="2" s="1"/>
  <c r="K120" i="1"/>
  <c r="H103" i="2" s="1"/>
  <c r="J120" i="1"/>
  <c r="G103" i="2" s="1"/>
  <c r="I120" i="1"/>
  <c r="F103" i="2" s="1"/>
  <c r="H120" i="1"/>
  <c r="E103" i="2" s="1"/>
  <c r="G120" i="1"/>
  <c r="D103" i="2" s="1"/>
  <c r="F120" i="1"/>
  <c r="E120" i="1"/>
  <c r="M118" i="1"/>
  <c r="J101" i="2" s="1"/>
  <c r="L118" i="1"/>
  <c r="I101" i="2" s="1"/>
  <c r="K118" i="1"/>
  <c r="H101" i="2" s="1"/>
  <c r="J118" i="1"/>
  <c r="G101" i="2" s="1"/>
  <c r="I118" i="1"/>
  <c r="F101" i="2" s="1"/>
  <c r="H118" i="1"/>
  <c r="E101" i="2" s="1"/>
  <c r="G118" i="1"/>
  <c r="D101" i="2" s="1"/>
  <c r="F118" i="1"/>
  <c r="E118" i="1"/>
  <c r="M116" i="1"/>
  <c r="J99" i="2" s="1"/>
  <c r="L116" i="1"/>
  <c r="I99" i="2" s="1"/>
  <c r="K116" i="1"/>
  <c r="H99" i="2" s="1"/>
  <c r="J116" i="1"/>
  <c r="G99" i="2" s="1"/>
  <c r="I116" i="1"/>
  <c r="F99" i="2" s="1"/>
  <c r="H116" i="1"/>
  <c r="E99" i="2" s="1"/>
  <c r="G116" i="1"/>
  <c r="D99" i="2" s="1"/>
  <c r="F116" i="1"/>
  <c r="E116" i="1"/>
  <c r="M104" i="1"/>
  <c r="J87" i="2" s="1"/>
  <c r="L104" i="1"/>
  <c r="I87" i="2" s="1"/>
  <c r="K104" i="1"/>
  <c r="H87" i="2" s="1"/>
  <c r="J104" i="1"/>
  <c r="G87" i="2" s="1"/>
  <c r="I104" i="1"/>
  <c r="F87" i="2" s="1"/>
  <c r="H104" i="1"/>
  <c r="E87" i="2" s="1"/>
  <c r="G104" i="1"/>
  <c r="D87" i="2" s="1"/>
  <c r="F104" i="1"/>
  <c r="E104" i="1"/>
  <c r="M103" i="1"/>
  <c r="J86" i="2" s="1"/>
  <c r="L103" i="1"/>
  <c r="I86" i="2" s="1"/>
  <c r="K103" i="1"/>
  <c r="H86" i="2" s="1"/>
  <c r="J103" i="1"/>
  <c r="G86" i="2" s="1"/>
  <c r="I103" i="1"/>
  <c r="F86" i="2" s="1"/>
  <c r="H103" i="1"/>
  <c r="E86" i="2" s="1"/>
  <c r="G103" i="1"/>
  <c r="D86" i="2" s="1"/>
  <c r="F103" i="1"/>
  <c r="E103" i="1"/>
  <c r="M101" i="1"/>
  <c r="J84" i="2" s="1"/>
  <c r="L101" i="1"/>
  <c r="I84" i="2" s="1"/>
  <c r="K101" i="1"/>
  <c r="H84" i="2" s="1"/>
  <c r="J101" i="1"/>
  <c r="G84" i="2" s="1"/>
  <c r="I101" i="1"/>
  <c r="F84" i="2" s="1"/>
  <c r="H101" i="1"/>
  <c r="E84" i="2" s="1"/>
  <c r="G101" i="1"/>
  <c r="D84" i="2" s="1"/>
  <c r="F101" i="1"/>
  <c r="E101" i="1"/>
  <c r="M100" i="1"/>
  <c r="J83" i="2" s="1"/>
  <c r="L100" i="1"/>
  <c r="I83" i="2" s="1"/>
  <c r="K100" i="1"/>
  <c r="H83" i="2" s="1"/>
  <c r="J100" i="1"/>
  <c r="G83" i="2" s="1"/>
  <c r="I100" i="1"/>
  <c r="F83" i="2" s="1"/>
  <c r="H100" i="1"/>
  <c r="E83" i="2" s="1"/>
  <c r="G100" i="1"/>
  <c r="D83" i="2" s="1"/>
  <c r="F100" i="1"/>
  <c r="E100" i="1"/>
  <c r="M99" i="1"/>
  <c r="J82" i="2" s="1"/>
  <c r="L99" i="1"/>
  <c r="I82" i="2" s="1"/>
  <c r="K99" i="1"/>
  <c r="H82" i="2" s="1"/>
  <c r="J99" i="1"/>
  <c r="G82" i="2" s="1"/>
  <c r="I99" i="1"/>
  <c r="F82" i="2" s="1"/>
  <c r="H99" i="1"/>
  <c r="E82" i="2" s="1"/>
  <c r="G99" i="1"/>
  <c r="D82" i="2" s="1"/>
  <c r="F99" i="1"/>
  <c r="E99" i="1"/>
  <c r="M98" i="1"/>
  <c r="J81" i="2" s="1"/>
  <c r="L98" i="1"/>
  <c r="I81" i="2" s="1"/>
  <c r="K98" i="1"/>
  <c r="H81" i="2" s="1"/>
  <c r="J98" i="1"/>
  <c r="G81" i="2" s="1"/>
  <c r="I98" i="1"/>
  <c r="F81" i="2" s="1"/>
  <c r="H98" i="1"/>
  <c r="E81" i="2" s="1"/>
  <c r="G98" i="1"/>
  <c r="D81" i="2" s="1"/>
  <c r="F98" i="1"/>
  <c r="E98" i="1"/>
  <c r="M95" i="1"/>
  <c r="L95" i="1"/>
  <c r="K95" i="1"/>
  <c r="J95" i="1"/>
  <c r="I95" i="1"/>
  <c r="H95" i="1"/>
  <c r="G95" i="1"/>
  <c r="F95" i="1"/>
  <c r="F446" i="1" s="1"/>
  <c r="M94" i="1"/>
  <c r="J77" i="2" s="1"/>
  <c r="L94" i="1"/>
  <c r="I77" i="2" s="1"/>
  <c r="K94" i="1"/>
  <c r="H77" i="2" s="1"/>
  <c r="J94" i="1"/>
  <c r="G77" i="2" s="1"/>
  <c r="I94" i="1"/>
  <c r="F77" i="2" s="1"/>
  <c r="H94" i="1"/>
  <c r="E77" i="2" s="1"/>
  <c r="G94" i="1"/>
  <c r="D77" i="2" s="1"/>
  <c r="F94" i="1"/>
  <c r="E94" i="1"/>
  <c r="M123" i="1"/>
  <c r="J106" i="2" s="1"/>
  <c r="L123" i="1"/>
  <c r="I106" i="2" s="1"/>
  <c r="K123" i="1"/>
  <c r="H106" i="2" s="1"/>
  <c r="J123" i="1"/>
  <c r="G106" i="2" s="1"/>
  <c r="I123" i="1"/>
  <c r="F106" i="2" s="1"/>
  <c r="H123" i="1"/>
  <c r="E106" i="2" s="1"/>
  <c r="G123" i="1"/>
  <c r="D106" i="2" s="1"/>
  <c r="F123" i="1"/>
  <c r="E123" i="1"/>
  <c r="D58" i="6"/>
  <c r="D59" i="6" s="1"/>
  <c r="D60" i="6" s="1"/>
  <c r="D61" i="6" s="1"/>
  <c r="N123" i="1"/>
  <c r="N118" i="1"/>
  <c r="N116" i="1"/>
  <c r="N100" i="1"/>
  <c r="B119" i="1"/>
  <c r="B102" i="2" s="1"/>
  <c r="E155" i="1"/>
  <c r="E125" i="1" s="1"/>
  <c r="E154" i="1"/>
  <c r="E117" i="1" s="1"/>
  <c r="F153" i="1"/>
  <c r="F107" i="1" s="1"/>
  <c r="F155" i="1"/>
  <c r="F125" i="1" s="1"/>
  <c r="F154" i="1"/>
  <c r="F117" i="1" s="1"/>
  <c r="G155" i="1"/>
  <c r="G125" i="1" s="1"/>
  <c r="D108" i="2" s="1"/>
  <c r="G154" i="1"/>
  <c r="G117" i="1" s="1"/>
  <c r="D100" i="2" s="1"/>
  <c r="G153" i="1"/>
  <c r="G107" i="1" s="1"/>
  <c r="D90" i="2" s="1"/>
  <c r="H153" i="1"/>
  <c r="H107" i="1" s="1"/>
  <c r="E90" i="2" s="1"/>
  <c r="H155" i="1"/>
  <c r="H125" i="1" s="1"/>
  <c r="E108" i="2" s="1"/>
  <c r="H154" i="1"/>
  <c r="H117" i="1" s="1"/>
  <c r="E100" i="2" s="1"/>
  <c r="I155" i="1"/>
  <c r="I125" i="1" s="1"/>
  <c r="F108" i="2" s="1"/>
  <c r="I153" i="1"/>
  <c r="I107" i="1" s="1"/>
  <c r="F90" i="2" s="1"/>
  <c r="I154" i="1"/>
  <c r="I117" i="1" s="1"/>
  <c r="F100" i="2" s="1"/>
  <c r="J155" i="1"/>
  <c r="J125" i="1" s="1"/>
  <c r="G108" i="2" s="1"/>
  <c r="J154" i="1"/>
  <c r="J117" i="1" s="1"/>
  <c r="G100" i="2" s="1"/>
  <c r="J153" i="1"/>
  <c r="J107" i="1" s="1"/>
  <c r="G90" i="2" s="1"/>
  <c r="E153" i="1"/>
  <c r="K153" i="1"/>
  <c r="K107" i="1" s="1"/>
  <c r="H90" i="2" s="1"/>
  <c r="K155" i="1"/>
  <c r="K125" i="1" s="1"/>
  <c r="H108" i="2" s="1"/>
  <c r="K154" i="1"/>
  <c r="K117" i="1" s="1"/>
  <c r="H100" i="2" s="1"/>
  <c r="L155" i="1"/>
  <c r="L125" i="1" s="1"/>
  <c r="I108" i="2" s="1"/>
  <c r="L154" i="1"/>
  <c r="L117" i="1" s="1"/>
  <c r="I100" i="2" s="1"/>
  <c r="M155" i="1"/>
  <c r="M125" i="1" s="1"/>
  <c r="J108" i="2" s="1"/>
  <c r="M154" i="1"/>
  <c r="M117" i="1" s="1"/>
  <c r="J100" i="2" s="1"/>
  <c r="M153" i="1"/>
  <c r="M107" i="1" s="1"/>
  <c r="J90" i="2" s="1"/>
  <c r="L153" i="1"/>
  <c r="L107" i="1" s="1"/>
  <c r="I90" i="2" s="1"/>
  <c r="N155" i="1"/>
  <c r="N125" i="1" s="1"/>
  <c r="N153" i="1"/>
  <c r="N107" i="1" s="1"/>
  <c r="N154" i="1"/>
  <c r="U52" i="6"/>
  <c r="V52" i="6"/>
  <c r="T52" i="6"/>
  <c r="R52" i="6"/>
  <c r="S52" i="6"/>
  <c r="Q52" i="6"/>
  <c r="O52" i="6"/>
  <c r="P52" i="6"/>
  <c r="N52" i="6"/>
  <c r="U48" i="6"/>
  <c r="V48" i="6"/>
  <c r="T48" i="6"/>
  <c r="R48" i="6"/>
  <c r="S48" i="6"/>
  <c r="Q48" i="6"/>
  <c r="O48" i="6"/>
  <c r="P48" i="6"/>
  <c r="N48" i="6"/>
  <c r="M52" i="6"/>
  <c r="M48" i="6"/>
  <c r="L52" i="6"/>
  <c r="L48" i="6"/>
  <c r="J52" i="6"/>
  <c r="J48" i="6"/>
  <c r="I52" i="6"/>
  <c r="I48" i="6"/>
  <c r="G52" i="6"/>
  <c r="F52" i="6"/>
  <c r="G48" i="6"/>
  <c r="F48" i="6"/>
  <c r="C339" i="21"/>
  <c r="C338" i="21"/>
  <c r="T338" i="21" s="1"/>
  <c r="C337" i="21"/>
  <c r="X337" i="21" s="1"/>
  <c r="C336" i="21"/>
  <c r="C335" i="21"/>
  <c r="C334" i="21"/>
  <c r="Z334" i="21" s="1"/>
  <c r="C333" i="21"/>
  <c r="I333" i="21" s="1"/>
  <c r="C332" i="21"/>
  <c r="AD332" i="21" s="1"/>
  <c r="C331" i="21"/>
  <c r="I331" i="21" s="1"/>
  <c r="C330" i="21"/>
  <c r="AF330" i="21" s="1"/>
  <c r="C329" i="21"/>
  <c r="AD329" i="21" s="1"/>
  <c r="C328" i="21"/>
  <c r="C327" i="21"/>
  <c r="P327" i="21" s="1"/>
  <c r="C326" i="21"/>
  <c r="T326" i="21" s="1"/>
  <c r="C325" i="21"/>
  <c r="C324" i="21"/>
  <c r="Z324" i="21" s="1"/>
  <c r="C323" i="21"/>
  <c r="R323" i="21" s="1"/>
  <c r="C322" i="21"/>
  <c r="AF322" i="21" s="1"/>
  <c r="C321" i="21"/>
  <c r="C320" i="21"/>
  <c r="H320" i="21" s="1"/>
  <c r="C319" i="21"/>
  <c r="H319" i="21" s="1"/>
  <c r="C318" i="21"/>
  <c r="T318" i="21" s="1"/>
  <c r="C317" i="21"/>
  <c r="P317" i="21" s="1"/>
  <c r="C316" i="21"/>
  <c r="I316" i="21" s="1"/>
  <c r="C315" i="21"/>
  <c r="I315" i="21" s="1"/>
  <c r="C314" i="21"/>
  <c r="T314" i="21" s="1"/>
  <c r="C313" i="21"/>
  <c r="AD313" i="21" s="1"/>
  <c r="C312" i="21"/>
  <c r="AF312" i="21" s="1"/>
  <c r="C311" i="21"/>
  <c r="I311" i="21" s="1"/>
  <c r="C310" i="21"/>
  <c r="P310" i="21" s="1"/>
  <c r="C309" i="21"/>
  <c r="AB309" i="21" s="1"/>
  <c r="C308" i="21"/>
  <c r="I308" i="21" s="1"/>
  <c r="C307" i="21"/>
  <c r="P307" i="21" s="1"/>
  <c r="C306" i="21"/>
  <c r="AF306" i="21" s="1"/>
  <c r="C305" i="21"/>
  <c r="T305" i="21" s="1"/>
  <c r="C304" i="21"/>
  <c r="AF304" i="21" s="1"/>
  <c r="C303" i="21"/>
  <c r="C302" i="21"/>
  <c r="AF302" i="21" s="1"/>
  <c r="C301" i="21"/>
  <c r="C300" i="21"/>
  <c r="H300" i="21" s="1"/>
  <c r="C299" i="21"/>
  <c r="I299" i="21" s="1"/>
  <c r="C298" i="21"/>
  <c r="H298" i="21" s="1"/>
  <c r="C297" i="21"/>
  <c r="T297" i="21" s="1"/>
  <c r="C296" i="21"/>
  <c r="C295" i="21"/>
  <c r="C294" i="21"/>
  <c r="H294" i="21" s="1"/>
  <c r="C293" i="21"/>
  <c r="AF293" i="21" s="1"/>
  <c r="C292" i="21"/>
  <c r="P292" i="21" s="1"/>
  <c r="C291" i="21"/>
  <c r="R291" i="21" s="1"/>
  <c r="C290" i="21"/>
  <c r="Z290" i="21" s="1"/>
  <c r="C289" i="21"/>
  <c r="P289" i="21" s="1"/>
  <c r="C288" i="21"/>
  <c r="AD288" i="21" s="1"/>
  <c r="C287" i="21"/>
  <c r="I287" i="21" s="1"/>
  <c r="C286" i="21"/>
  <c r="H286" i="21" s="1"/>
  <c r="C285" i="21"/>
  <c r="AF285" i="21" s="1"/>
  <c r="C284" i="21"/>
  <c r="H284" i="21" s="1"/>
  <c r="C283" i="21"/>
  <c r="C282" i="21"/>
  <c r="C281" i="21"/>
  <c r="C280" i="21"/>
  <c r="P280" i="21" s="1"/>
  <c r="C279" i="21"/>
  <c r="C278" i="21"/>
  <c r="AB278" i="21" s="1"/>
  <c r="C277" i="21"/>
  <c r="C276" i="21"/>
  <c r="AD276" i="21" s="1"/>
  <c r="C275" i="21"/>
  <c r="C274" i="21"/>
  <c r="I274" i="21" s="1"/>
  <c r="C273" i="21"/>
  <c r="P273" i="21" s="1"/>
  <c r="C272" i="21"/>
  <c r="C271" i="21"/>
  <c r="R271" i="21" s="1"/>
  <c r="C270" i="21"/>
  <c r="C269" i="21"/>
  <c r="AF269" i="21" s="1"/>
  <c r="C268" i="21"/>
  <c r="C267" i="21"/>
  <c r="X267" i="21" s="1"/>
  <c r="C266" i="21"/>
  <c r="C265" i="21"/>
  <c r="C264" i="21"/>
  <c r="H264" i="21" s="1"/>
  <c r="C263" i="21"/>
  <c r="C262" i="21"/>
  <c r="I262" i="21" s="1"/>
  <c r="C261" i="21"/>
  <c r="C260" i="21"/>
  <c r="Z260" i="21" s="1"/>
  <c r="C259" i="21"/>
  <c r="C258" i="21"/>
  <c r="AB258" i="21" s="1"/>
  <c r="C257" i="21"/>
  <c r="AB257" i="21" s="1"/>
  <c r="C256" i="21"/>
  <c r="H256" i="21" s="1"/>
  <c r="C255" i="21"/>
  <c r="C254" i="21"/>
  <c r="P254" i="21" s="1"/>
  <c r="C253" i="21"/>
  <c r="C252" i="21"/>
  <c r="P252" i="21" s="1"/>
  <c r="C251" i="21"/>
  <c r="T251" i="21" s="1"/>
  <c r="C250" i="21"/>
  <c r="C249" i="21"/>
  <c r="P249" i="21" s="1"/>
  <c r="C248" i="21"/>
  <c r="T248" i="21" s="1"/>
  <c r="C247" i="21"/>
  <c r="AB247" i="21" s="1"/>
  <c r="C246" i="21"/>
  <c r="C245" i="21"/>
  <c r="C244" i="21"/>
  <c r="C243" i="21"/>
  <c r="I243" i="21" s="1"/>
  <c r="C242" i="21"/>
  <c r="Z242" i="21" s="1"/>
  <c r="C241" i="21"/>
  <c r="P241" i="21" s="1"/>
  <c r="C240" i="21"/>
  <c r="P240" i="21" s="1"/>
  <c r="C239" i="21"/>
  <c r="C238" i="21"/>
  <c r="C237" i="21"/>
  <c r="P237" i="21" s="1"/>
  <c r="C236" i="21"/>
  <c r="I236" i="21" s="1"/>
  <c r="C235" i="21"/>
  <c r="T235" i="21" s="1"/>
  <c r="C234" i="21"/>
  <c r="C233" i="21"/>
  <c r="T233" i="21" s="1"/>
  <c r="C232" i="21"/>
  <c r="AF232" i="21" s="1"/>
  <c r="C231" i="21"/>
  <c r="I231" i="21" s="1"/>
  <c r="C230" i="21"/>
  <c r="C229" i="21"/>
  <c r="AF229" i="21" s="1"/>
  <c r="C228" i="21"/>
  <c r="C227" i="21"/>
  <c r="C226" i="21"/>
  <c r="Z226" i="21" s="1"/>
  <c r="C225" i="21"/>
  <c r="C224" i="21"/>
  <c r="C223" i="21"/>
  <c r="I223" i="21" s="1"/>
  <c r="C222" i="21"/>
  <c r="AF222" i="21" s="1"/>
  <c r="C221" i="21"/>
  <c r="C220" i="21"/>
  <c r="V220" i="21" s="1"/>
  <c r="C219" i="21"/>
  <c r="AD219" i="21" s="1"/>
  <c r="C218" i="21"/>
  <c r="C217" i="21"/>
  <c r="AB217" i="21" s="1"/>
  <c r="C216" i="21"/>
  <c r="C215" i="21"/>
  <c r="R215" i="21" s="1"/>
  <c r="C214" i="21"/>
  <c r="T214" i="21" s="1"/>
  <c r="C213" i="21"/>
  <c r="I213" i="21" s="1"/>
  <c r="C212" i="21"/>
  <c r="R212" i="21" s="1"/>
  <c r="C211" i="21"/>
  <c r="I211" i="21" s="1"/>
  <c r="C210" i="21"/>
  <c r="R210" i="21" s="1"/>
  <c r="C209" i="21"/>
  <c r="AD209" i="21" s="1"/>
  <c r="C208" i="21"/>
  <c r="AD208" i="21" s="1"/>
  <c r="C207" i="21"/>
  <c r="R207" i="21" s="1"/>
  <c r="C206" i="21"/>
  <c r="AF206" i="21" s="1"/>
  <c r="C205" i="21"/>
  <c r="C204" i="21"/>
  <c r="P204" i="21" s="1"/>
  <c r="C203" i="21"/>
  <c r="Z203" i="21" s="1"/>
  <c r="C202" i="21"/>
  <c r="H202" i="21" s="1"/>
  <c r="C201" i="21"/>
  <c r="C200" i="21"/>
  <c r="AF200" i="21" s="1"/>
  <c r="C199" i="21"/>
  <c r="P199" i="21" s="1"/>
  <c r="C198" i="21"/>
  <c r="C197" i="21"/>
  <c r="C196" i="21"/>
  <c r="C195" i="21"/>
  <c r="X195" i="21" s="1"/>
  <c r="C194" i="21"/>
  <c r="T194" i="21" s="1"/>
  <c r="C193" i="21"/>
  <c r="C192" i="21"/>
  <c r="R192" i="21" s="1"/>
  <c r="C191" i="21"/>
  <c r="P191" i="21" s="1"/>
  <c r="C190" i="21"/>
  <c r="Z190" i="21" s="1"/>
  <c r="C189" i="21"/>
  <c r="C188" i="21"/>
  <c r="T188" i="21" s="1"/>
  <c r="C187" i="21"/>
  <c r="AB187" i="21" s="1"/>
  <c r="C186" i="21"/>
  <c r="P186" i="21" s="1"/>
  <c r="C185" i="21"/>
  <c r="AB185" i="21" s="1"/>
  <c r="C184" i="21"/>
  <c r="R184" i="21" s="1"/>
  <c r="C183" i="21"/>
  <c r="I183" i="21" s="1"/>
  <c r="C182" i="21"/>
  <c r="H182" i="21" s="1"/>
  <c r="C181" i="21"/>
  <c r="T181" i="21" s="1"/>
  <c r="C180" i="21"/>
  <c r="C179" i="21"/>
  <c r="I179" i="21" s="1"/>
  <c r="C178" i="21"/>
  <c r="R178" i="21" s="1"/>
  <c r="C177" i="21"/>
  <c r="AF177" i="21" s="1"/>
  <c r="C176" i="21"/>
  <c r="H176" i="21" s="1"/>
  <c r="C175" i="21"/>
  <c r="C174" i="21"/>
  <c r="P174" i="21" s="1"/>
  <c r="C173" i="21"/>
  <c r="AB173" i="21" s="1"/>
  <c r="C172" i="21"/>
  <c r="X172" i="21" s="1"/>
  <c r="C171" i="21"/>
  <c r="AD171" i="21" s="1"/>
  <c r="C170" i="21"/>
  <c r="C169" i="21"/>
  <c r="H169" i="21" s="1"/>
  <c r="C168" i="21"/>
  <c r="R168" i="21" s="1"/>
  <c r="C167" i="21"/>
  <c r="I167" i="21" s="1"/>
  <c r="C166" i="21"/>
  <c r="C165" i="21"/>
  <c r="C164" i="21"/>
  <c r="C163" i="21"/>
  <c r="R163" i="21" s="1"/>
  <c r="C162" i="21"/>
  <c r="C161" i="21"/>
  <c r="T161" i="21" s="1"/>
  <c r="C160" i="21"/>
  <c r="AD160" i="21" s="1"/>
  <c r="C159" i="21"/>
  <c r="C158" i="21"/>
  <c r="C157" i="21"/>
  <c r="AF157" i="21" s="1"/>
  <c r="C156" i="21"/>
  <c r="C155" i="21"/>
  <c r="C154" i="21"/>
  <c r="T154" i="21" s="1"/>
  <c r="C153" i="21"/>
  <c r="AF153" i="21" s="1"/>
  <c r="C152" i="21"/>
  <c r="AB152" i="21" s="1"/>
  <c r="C151" i="21"/>
  <c r="Z151" i="21" s="1"/>
  <c r="C150" i="21"/>
  <c r="V150" i="21" s="1"/>
  <c r="C149" i="21"/>
  <c r="X149" i="21" s="1"/>
  <c r="C148" i="21"/>
  <c r="I148" i="21" s="1"/>
  <c r="C147" i="21"/>
  <c r="V147" i="21" s="1"/>
  <c r="C146" i="21"/>
  <c r="H146" i="21" s="1"/>
  <c r="C145" i="21"/>
  <c r="AB145" i="21" s="1"/>
  <c r="C144" i="21"/>
  <c r="X144" i="21" s="1"/>
  <c r="C143" i="21"/>
  <c r="T143" i="21" s="1"/>
  <c r="C142" i="21"/>
  <c r="I142" i="21" s="1"/>
  <c r="C141" i="21"/>
  <c r="X141" i="21" s="1"/>
  <c r="C140" i="21"/>
  <c r="V140" i="21" s="1"/>
  <c r="C139" i="21"/>
  <c r="V139" i="21" s="1"/>
  <c r="C138" i="21"/>
  <c r="T138" i="21" s="1"/>
  <c r="C137" i="21"/>
  <c r="V137" i="21" s="1"/>
  <c r="C136" i="21"/>
  <c r="AD136" i="21" s="1"/>
  <c r="C135" i="21"/>
  <c r="C134" i="21"/>
  <c r="R134" i="21" s="1"/>
  <c r="C133" i="21"/>
  <c r="C132" i="21"/>
  <c r="I132" i="21" s="1"/>
  <c r="C131" i="21"/>
  <c r="V131" i="21" s="1"/>
  <c r="C130" i="21"/>
  <c r="AD130" i="21" s="1"/>
  <c r="C129" i="21"/>
  <c r="R129" i="21" s="1"/>
  <c r="C128" i="21"/>
  <c r="C127" i="21"/>
  <c r="C126" i="21"/>
  <c r="X126" i="21" s="1"/>
  <c r="C125" i="21"/>
  <c r="R125" i="21" s="1"/>
  <c r="C124" i="21"/>
  <c r="X124" i="21" s="1"/>
  <c r="C123" i="21"/>
  <c r="C122" i="21"/>
  <c r="C121" i="21"/>
  <c r="AF121" i="21" s="1"/>
  <c r="C120" i="21"/>
  <c r="AD120" i="21" s="1"/>
  <c r="C119" i="21"/>
  <c r="P119" i="21" s="1"/>
  <c r="C118" i="21"/>
  <c r="C117" i="21"/>
  <c r="P117" i="21" s="1"/>
  <c r="C116" i="21"/>
  <c r="H116" i="21" s="1"/>
  <c r="C115" i="21"/>
  <c r="C114" i="21"/>
  <c r="AB114" i="21" s="1"/>
  <c r="C113" i="21"/>
  <c r="X113" i="21" s="1"/>
  <c r="C112" i="21"/>
  <c r="H112" i="21" s="1"/>
  <c r="C111" i="21"/>
  <c r="C110" i="21"/>
  <c r="C109" i="21"/>
  <c r="Z109" i="21" s="1"/>
  <c r="C108" i="21"/>
  <c r="C107" i="21"/>
  <c r="R107" i="21" s="1"/>
  <c r="C106" i="21"/>
  <c r="AF106" i="21" s="1"/>
  <c r="C105" i="21"/>
  <c r="V105" i="21" s="1"/>
  <c r="C104" i="21"/>
  <c r="C103" i="21"/>
  <c r="AD103" i="21" s="1"/>
  <c r="C102" i="21"/>
  <c r="R102" i="21" s="1"/>
  <c r="C101" i="21"/>
  <c r="X101" i="21" s="1"/>
  <c r="C100" i="21"/>
  <c r="AF100" i="21" s="1"/>
  <c r="C99" i="21"/>
  <c r="AF99" i="21" s="1"/>
  <c r="C98" i="21"/>
  <c r="AF98" i="21" s="1"/>
  <c r="C97" i="21"/>
  <c r="V97" i="21" s="1"/>
  <c r="C96" i="21"/>
  <c r="C95" i="21"/>
  <c r="T95" i="21" s="1"/>
  <c r="C94" i="21"/>
  <c r="C93" i="21"/>
  <c r="C92" i="21"/>
  <c r="C91" i="21"/>
  <c r="Z91" i="21" s="1"/>
  <c r="C90" i="21"/>
  <c r="C89" i="21"/>
  <c r="C88" i="21"/>
  <c r="X88" i="21" s="1"/>
  <c r="C87" i="21"/>
  <c r="V87" i="21" s="1"/>
  <c r="C86" i="21"/>
  <c r="V86" i="21" s="1"/>
  <c r="C85" i="21"/>
  <c r="R85" i="21" s="1"/>
  <c r="C84" i="21"/>
  <c r="P84" i="21" s="1"/>
  <c r="C83" i="21"/>
  <c r="C82" i="21"/>
  <c r="C81" i="21"/>
  <c r="AD81" i="21" s="1"/>
  <c r="C80" i="21"/>
  <c r="P80" i="21" s="1"/>
  <c r="C79" i="21"/>
  <c r="H79" i="21" s="1"/>
  <c r="C78" i="21"/>
  <c r="Z78" i="21" s="1"/>
  <c r="C77" i="21"/>
  <c r="Z77" i="21" s="1"/>
  <c r="C76" i="21"/>
  <c r="P76" i="21" s="1"/>
  <c r="C75" i="21"/>
  <c r="AD75" i="21" s="1"/>
  <c r="C74" i="21"/>
  <c r="AF74" i="21" s="1"/>
  <c r="C73" i="21"/>
  <c r="Z73" i="21" s="1"/>
  <c r="C72" i="21"/>
  <c r="AB72" i="21" s="1"/>
  <c r="C71" i="21"/>
  <c r="C70" i="21"/>
  <c r="X70" i="21" s="1"/>
  <c r="C69" i="21"/>
  <c r="V69" i="21" s="1"/>
  <c r="C68" i="21"/>
  <c r="R68" i="21" s="1"/>
  <c r="C67" i="21"/>
  <c r="C66" i="21"/>
  <c r="AD66" i="21" s="1"/>
  <c r="C65" i="21"/>
  <c r="P65" i="21" s="1"/>
  <c r="C64" i="21"/>
  <c r="AF64" i="21" s="1"/>
  <c r="C63" i="21"/>
  <c r="Z63" i="21" s="1"/>
  <c r="C62" i="21"/>
  <c r="C61" i="21"/>
  <c r="T61" i="21" s="1"/>
  <c r="C60" i="21"/>
  <c r="T60" i="21" s="1"/>
  <c r="C59" i="21"/>
  <c r="I59" i="21" s="1"/>
  <c r="C58" i="21"/>
  <c r="AF58" i="21" s="1"/>
  <c r="C57" i="21"/>
  <c r="AB57" i="21" s="1"/>
  <c r="C56" i="21"/>
  <c r="AD56" i="21" s="1"/>
  <c r="C55" i="21"/>
  <c r="C54" i="21"/>
  <c r="R54" i="21" s="1"/>
  <c r="C53" i="21"/>
  <c r="X53" i="21" s="1"/>
  <c r="C52" i="21"/>
  <c r="T52" i="21" s="1"/>
  <c r="C51" i="21"/>
  <c r="Z51" i="21" s="1"/>
  <c r="C50" i="21"/>
  <c r="AB50" i="21" s="1"/>
  <c r="C49" i="21"/>
  <c r="P49" i="21" s="1"/>
  <c r="C48" i="21"/>
  <c r="V48" i="21" s="1"/>
  <c r="C47" i="21"/>
  <c r="Z47" i="21" s="1"/>
  <c r="C46" i="21"/>
  <c r="V46" i="21" s="1"/>
  <c r="C45" i="21"/>
  <c r="C44" i="21"/>
  <c r="I44" i="21" s="1"/>
  <c r="C43" i="21"/>
  <c r="C42" i="21"/>
  <c r="C41" i="21"/>
  <c r="V41" i="21" s="1"/>
  <c r="C40" i="21"/>
  <c r="R40" i="21" s="1"/>
  <c r="C39" i="21"/>
  <c r="P39" i="21" s="1"/>
  <c r="C38" i="21"/>
  <c r="I38" i="21" s="1"/>
  <c r="C37" i="21"/>
  <c r="C36" i="21"/>
  <c r="Z36" i="21" s="1"/>
  <c r="AF35" i="21"/>
  <c r="J178" i="1"/>
  <c r="I50" i="6" a="1"/>
  <c r="Q45" i="6" a="1"/>
  <c r="G45" i="6" a="1"/>
  <c r="J51" i="6" a="1"/>
  <c r="T46" i="6" a="1"/>
  <c r="G51" i="6" a="1"/>
  <c r="T49" i="6" a="1"/>
  <c r="R47" i="6" a="1"/>
  <c r="N51" i="6" a="1"/>
  <c r="S49" i="6" a="1"/>
  <c r="P45" i="6" a="1"/>
  <c r="I49" i="6" a="1"/>
  <c r="O45" i="6" a="1"/>
  <c r="M45" i="6" a="1"/>
  <c r="N47" i="6" a="1"/>
  <c r="U49" i="6" a="1"/>
  <c r="O47" i="6" a="1"/>
  <c r="T47" i="6" a="1"/>
  <c r="R45" i="6" a="1"/>
  <c r="V47" i="6" a="1"/>
  <c r="J50" i="6" a="1"/>
  <c r="L50" i="6" a="1"/>
  <c r="F46" i="6" a="1"/>
  <c r="R51" i="6" a="1"/>
  <c r="N45" i="6" a="1"/>
  <c r="M49" i="6" a="1"/>
  <c r="G49" i="6" a="1"/>
  <c r="G47" i="6" a="1"/>
  <c r="I45" i="6" a="1"/>
  <c r="Q51" i="6" a="1"/>
  <c r="Q50" i="6" a="1"/>
  <c r="S45" i="6" a="1"/>
  <c r="O49" i="6" a="1"/>
  <c r="V51" i="6" a="1"/>
  <c r="F51" i="6" a="1"/>
  <c r="F45" i="6" a="1"/>
  <c r="U51" i="6" a="1"/>
  <c r="P47" i="6" a="1"/>
  <c r="T51" i="6" a="1"/>
  <c r="U50" i="6" a="1"/>
  <c r="F47" i="6" a="1"/>
  <c r="F50" i="6" a="1"/>
  <c r="J47" i="6" a="1"/>
  <c r="J46" i="6" a="1"/>
  <c r="T50" i="6" a="1"/>
  <c r="G46" i="6" a="1"/>
  <c r="V46" i="6" a="1"/>
  <c r="P51" i="6" a="1"/>
  <c r="S47" i="6" a="1"/>
  <c r="J49" i="6" a="1"/>
  <c r="I51" i="6" a="1"/>
  <c r="L46" i="6" a="1"/>
  <c r="V49" i="6" a="1"/>
  <c r="Q46" i="6" a="1"/>
  <c r="U47" i="6" a="1"/>
  <c r="U46" i="6" a="1"/>
  <c r="V50" i="6" a="1"/>
  <c r="R46" i="6" a="1"/>
  <c r="L51" i="6" a="1"/>
  <c r="L49" i="6" a="1"/>
  <c r="P46" i="6" a="1"/>
  <c r="S51" i="6" a="1"/>
  <c r="M50" i="6" a="1"/>
  <c r="O46" i="6" a="1"/>
  <c r="Q49" i="6" a="1"/>
  <c r="M51" i="6" a="1"/>
  <c r="G50" i="6" a="1"/>
  <c r="Q47" i="6" a="1"/>
  <c r="T45" i="6" a="1"/>
  <c r="R49" i="6" a="1"/>
  <c r="I46" i="6" a="1"/>
  <c r="M47" i="6" a="1"/>
  <c r="V45" i="6" a="1"/>
  <c r="N49" i="6" a="1"/>
  <c r="O50" i="6" a="1"/>
  <c r="M46" i="6" a="1"/>
  <c r="N46" i="6" a="1"/>
  <c r="L45" i="6" a="1"/>
  <c r="U45" i="6" a="1"/>
  <c r="R50" i="6" a="1"/>
  <c r="P49" i="6" a="1"/>
  <c r="P50" i="6" a="1"/>
  <c r="N50" i="6" a="1"/>
  <c r="S46" i="6" a="1"/>
  <c r="L47" i="6" a="1"/>
  <c r="F49" i="6" a="1"/>
  <c r="S50" i="6" a="1"/>
  <c r="O51" i="6" a="1"/>
  <c r="I47" i="6" a="1"/>
  <c r="K108" i="2" l="1"/>
  <c r="L147" i="4"/>
  <c r="O147" i="4" s="1"/>
  <c r="K99" i="2"/>
  <c r="L139" i="4"/>
  <c r="O139" i="4" s="1"/>
  <c r="K101" i="2"/>
  <c r="L141" i="4"/>
  <c r="O141" i="4" s="1"/>
  <c r="K106" i="2"/>
  <c r="L145" i="4"/>
  <c r="O145" i="4" s="1"/>
  <c r="Z157" i="21"/>
  <c r="AD241" i="21"/>
  <c r="AF241" i="21"/>
  <c r="AF138" i="21"/>
  <c r="AD80" i="21"/>
  <c r="Z194" i="21"/>
  <c r="X68" i="21"/>
  <c r="Z178" i="21"/>
  <c r="AF226" i="21"/>
  <c r="V181" i="21"/>
  <c r="T320" i="21"/>
  <c r="AF264" i="21"/>
  <c r="Z326" i="21"/>
  <c r="AB211" i="21"/>
  <c r="AD326" i="21"/>
  <c r="Z141" i="21"/>
  <c r="AB318" i="21"/>
  <c r="Z204" i="21"/>
  <c r="H274" i="21"/>
  <c r="R154" i="21"/>
  <c r="AD194" i="21"/>
  <c r="AB289" i="21"/>
  <c r="Z300" i="21"/>
  <c r="T310" i="21"/>
  <c r="X54" i="21"/>
  <c r="AD154" i="21"/>
  <c r="AB300" i="21"/>
  <c r="AF310" i="21"/>
  <c r="AD54" i="21"/>
  <c r="AF154" i="21"/>
  <c r="X176" i="21"/>
  <c r="R240" i="21"/>
  <c r="V280" i="21"/>
  <c r="T249" i="21"/>
  <c r="AD125" i="21"/>
  <c r="T241" i="21"/>
  <c r="X249" i="21"/>
  <c r="Z120" i="21"/>
  <c r="X292" i="21"/>
  <c r="AF326" i="21"/>
  <c r="X208" i="21"/>
  <c r="V252" i="21"/>
  <c r="R292" i="21"/>
  <c r="H68" i="21"/>
  <c r="X240" i="21"/>
  <c r="I312" i="21"/>
  <c r="AD320" i="21"/>
  <c r="AB74" i="21"/>
  <c r="X120" i="21"/>
  <c r="I68" i="21"/>
  <c r="X142" i="21"/>
  <c r="V194" i="21"/>
  <c r="V202" i="21"/>
  <c r="Z211" i="21"/>
  <c r="P231" i="21"/>
  <c r="R249" i="21"/>
  <c r="AF320" i="21"/>
  <c r="AB194" i="21"/>
  <c r="AD211" i="21"/>
  <c r="V249" i="21"/>
  <c r="R257" i="21"/>
  <c r="AD249" i="21"/>
  <c r="AD289" i="21"/>
  <c r="Z332" i="21"/>
  <c r="AD138" i="21"/>
  <c r="V317" i="21"/>
  <c r="H100" i="21"/>
  <c r="I100" i="21"/>
  <c r="I120" i="21"/>
  <c r="AB138" i="21"/>
  <c r="AF142" i="21"/>
  <c r="V178" i="21"/>
  <c r="AD199" i="21"/>
  <c r="V204" i="21"/>
  <c r="AB237" i="21"/>
  <c r="Z289" i="21"/>
  <c r="X300" i="21"/>
  <c r="Z286" i="21"/>
  <c r="X84" i="21"/>
  <c r="Z179" i="21"/>
  <c r="X187" i="21"/>
  <c r="AF289" i="21"/>
  <c r="AF300" i="21"/>
  <c r="Z84" i="21"/>
  <c r="Z187" i="21"/>
  <c r="P202" i="21"/>
  <c r="AB77" i="21"/>
  <c r="X112" i="21"/>
  <c r="AF60" i="21"/>
  <c r="T44" i="21"/>
  <c r="AF77" i="21"/>
  <c r="T176" i="21"/>
  <c r="R202" i="21"/>
  <c r="T240" i="21"/>
  <c r="I288" i="21"/>
  <c r="Z310" i="21"/>
  <c r="AF329" i="21"/>
  <c r="AF276" i="21"/>
  <c r="AD101" i="21"/>
  <c r="AD77" i="21"/>
  <c r="AF95" i="21"/>
  <c r="X44" i="21"/>
  <c r="V54" i="21"/>
  <c r="V176" i="21"/>
  <c r="R181" i="21"/>
  <c r="R195" i="21"/>
  <c r="T202" i="21"/>
  <c r="V208" i="21"/>
  <c r="V240" i="21"/>
  <c r="R252" i="21"/>
  <c r="P288" i="21"/>
  <c r="AB310" i="21"/>
  <c r="Z318" i="21"/>
  <c r="P323" i="21"/>
  <c r="AB101" i="21"/>
  <c r="V125" i="21"/>
  <c r="H142" i="21"/>
  <c r="AD169" i="21"/>
  <c r="Z176" i="21"/>
  <c r="AD181" i="21"/>
  <c r="AB202" i="21"/>
  <c r="Z208" i="21"/>
  <c r="T237" i="21"/>
  <c r="Z240" i="21"/>
  <c r="H289" i="21"/>
  <c r="T292" i="21"/>
  <c r="P300" i="21"/>
  <c r="AD318" i="21"/>
  <c r="AF46" i="21"/>
  <c r="AF54" i="21"/>
  <c r="AB80" i="21"/>
  <c r="T99" i="21"/>
  <c r="AB125" i="21"/>
  <c r="V142" i="21"/>
  <c r="AF169" i="21"/>
  <c r="AF202" i="21"/>
  <c r="AB208" i="21"/>
  <c r="V237" i="21"/>
  <c r="H249" i="21"/>
  <c r="V264" i="21"/>
  <c r="T289" i="21"/>
  <c r="V292" i="21"/>
  <c r="R300" i="21"/>
  <c r="AF318" i="21"/>
  <c r="X332" i="21"/>
  <c r="X237" i="21"/>
  <c r="V289" i="21"/>
  <c r="T300" i="21"/>
  <c r="AD142" i="21"/>
  <c r="T178" i="21"/>
  <c r="Z237" i="21"/>
  <c r="X289" i="21"/>
  <c r="AD292" i="21"/>
  <c r="V300" i="21"/>
  <c r="AB326" i="21"/>
  <c r="I64" i="21"/>
  <c r="R160" i="21"/>
  <c r="I232" i="21"/>
  <c r="AD46" i="21"/>
  <c r="AB54" i="21"/>
  <c r="Z70" i="21"/>
  <c r="Z80" i="21"/>
  <c r="V84" i="21"/>
  <c r="AF87" i="21"/>
  <c r="AD95" i="21"/>
  <c r="Z101" i="21"/>
  <c r="H120" i="21"/>
  <c r="T125" i="21"/>
  <c r="Z138" i="21"/>
  <c r="Z146" i="21"/>
  <c r="AB169" i="21"/>
  <c r="I147" i="21"/>
  <c r="T39" i="21"/>
  <c r="Z44" i="21"/>
  <c r="R47" i="21"/>
  <c r="T51" i="21"/>
  <c r="P64" i="21"/>
  <c r="AF80" i="21"/>
  <c r="AB84" i="21"/>
  <c r="P100" i="21"/>
  <c r="P116" i="21"/>
  <c r="P147" i="21"/>
  <c r="T160" i="21"/>
  <c r="H222" i="21"/>
  <c r="Z232" i="21"/>
  <c r="X252" i="21"/>
  <c r="V256" i="21"/>
  <c r="R273" i="21"/>
  <c r="AB285" i="21"/>
  <c r="R288" i="21"/>
  <c r="T298" i="21"/>
  <c r="H306" i="21"/>
  <c r="H309" i="21"/>
  <c r="R331" i="21"/>
  <c r="P333" i="21"/>
  <c r="V39" i="21"/>
  <c r="AB44" i="21"/>
  <c r="T47" i="21"/>
  <c r="AD51" i="21"/>
  <c r="R64" i="21"/>
  <c r="Z68" i="21"/>
  <c r="AD84" i="21"/>
  <c r="R100" i="21"/>
  <c r="X102" i="21"/>
  <c r="R116" i="21"/>
  <c r="AB120" i="21"/>
  <c r="AF125" i="21"/>
  <c r="R147" i="21"/>
  <c r="V160" i="21"/>
  <c r="AB176" i="21"/>
  <c r="AD178" i="21"/>
  <c r="AB183" i="21"/>
  <c r="AF194" i="21"/>
  <c r="I200" i="21"/>
  <c r="Z202" i="21"/>
  <c r="P206" i="21"/>
  <c r="AF208" i="21"/>
  <c r="H219" i="21"/>
  <c r="AB222" i="21"/>
  <c r="X229" i="21"/>
  <c r="Z252" i="21"/>
  <c r="X256" i="21"/>
  <c r="AB267" i="21"/>
  <c r="T273" i="21"/>
  <c r="I276" i="21"/>
  <c r="AD285" i="21"/>
  <c r="T288" i="21"/>
  <c r="Z298" i="21"/>
  <c r="I306" i="21"/>
  <c r="I309" i="21"/>
  <c r="T331" i="21"/>
  <c r="R333" i="21"/>
  <c r="R39" i="21"/>
  <c r="X39" i="21"/>
  <c r="AD44" i="21"/>
  <c r="V47" i="21"/>
  <c r="AF51" i="21"/>
  <c r="T64" i="21"/>
  <c r="AB68" i="21"/>
  <c r="V74" i="21"/>
  <c r="AB81" i="21"/>
  <c r="AF84" i="21"/>
  <c r="AD91" i="21"/>
  <c r="T100" i="21"/>
  <c r="Z102" i="21"/>
  <c r="T116" i="21"/>
  <c r="T147" i="21"/>
  <c r="I154" i="21"/>
  <c r="V157" i="21"/>
  <c r="X160" i="21"/>
  <c r="V168" i="21"/>
  <c r="AD176" i="21"/>
  <c r="AD183" i="21"/>
  <c r="T200" i="21"/>
  <c r="AD206" i="21"/>
  <c r="I219" i="21"/>
  <c r="AD222" i="21"/>
  <c r="AB229" i="21"/>
  <c r="AD237" i="21"/>
  <c r="Z249" i="21"/>
  <c r="AB252" i="21"/>
  <c r="AB256" i="21"/>
  <c r="R264" i="21"/>
  <c r="V273" i="21"/>
  <c r="P276" i="21"/>
  <c r="R280" i="21"/>
  <c r="X288" i="21"/>
  <c r="R293" i="21"/>
  <c r="AB298" i="21"/>
  <c r="P306" i="21"/>
  <c r="R309" i="21"/>
  <c r="I317" i="21"/>
  <c r="H323" i="21"/>
  <c r="R327" i="21"/>
  <c r="V331" i="21"/>
  <c r="T333" i="21"/>
  <c r="R51" i="21"/>
  <c r="I273" i="21"/>
  <c r="Z39" i="21"/>
  <c r="AF44" i="21"/>
  <c r="V64" i="21"/>
  <c r="AD68" i="21"/>
  <c r="Z74" i="21"/>
  <c r="R99" i="21"/>
  <c r="AD100" i="21"/>
  <c r="AB102" i="21"/>
  <c r="AD116" i="21"/>
  <c r="P154" i="21"/>
  <c r="X157" i="21"/>
  <c r="Z160" i="21"/>
  <c r="AB168" i="21"/>
  <c r="Z172" i="21"/>
  <c r="AF176" i="21"/>
  <c r="P195" i="21"/>
  <c r="V200" i="21"/>
  <c r="AD202" i="21"/>
  <c r="AD213" i="21"/>
  <c r="P219" i="21"/>
  <c r="AD229" i="21"/>
  <c r="AF237" i="21"/>
  <c r="R241" i="21"/>
  <c r="AB249" i="21"/>
  <c r="AF252" i="21"/>
  <c r="T264" i="21"/>
  <c r="X273" i="21"/>
  <c r="R276" i="21"/>
  <c r="T280" i="21"/>
  <c r="Z288" i="21"/>
  <c r="T293" i="21"/>
  <c r="AD298" i="21"/>
  <c r="AD300" i="21"/>
  <c r="T306" i="21"/>
  <c r="T309" i="21"/>
  <c r="H312" i="21"/>
  <c r="R320" i="21"/>
  <c r="I323" i="21"/>
  <c r="T327" i="21"/>
  <c r="AB331" i="21"/>
  <c r="V333" i="21"/>
  <c r="P298" i="21"/>
  <c r="AD39" i="21"/>
  <c r="X64" i="21"/>
  <c r="AF68" i="21"/>
  <c r="P85" i="21"/>
  <c r="Z112" i="21"/>
  <c r="AF116" i="21"/>
  <c r="AB160" i="21"/>
  <c r="X200" i="21"/>
  <c r="R219" i="21"/>
  <c r="Z273" i="21"/>
  <c r="T276" i="21"/>
  <c r="AB288" i="21"/>
  <c r="AD293" i="21"/>
  <c r="AF298" i="21"/>
  <c r="Z306" i="21"/>
  <c r="V309" i="21"/>
  <c r="X333" i="21"/>
  <c r="AD74" i="21"/>
  <c r="R80" i="21"/>
  <c r="V99" i="21"/>
  <c r="P138" i="21"/>
  <c r="AB141" i="21"/>
  <c r="I146" i="21"/>
  <c r="V154" i="21"/>
  <c r="AB157" i="21"/>
  <c r="AF160" i="21"/>
  <c r="T169" i="21"/>
  <c r="X177" i="21"/>
  <c r="V185" i="21"/>
  <c r="Z200" i="21"/>
  <c r="AB207" i="21"/>
  <c r="P211" i="21"/>
  <c r="T219" i="21"/>
  <c r="V241" i="21"/>
  <c r="AF249" i="21"/>
  <c r="X264" i="21"/>
  <c r="AB273" i="21"/>
  <c r="X276" i="21"/>
  <c r="X280" i="21"/>
  <c r="AB306" i="21"/>
  <c r="X309" i="21"/>
  <c r="P312" i="21"/>
  <c r="V320" i="21"/>
  <c r="I332" i="21"/>
  <c r="Z333" i="21"/>
  <c r="I116" i="21"/>
  <c r="H46" i="21"/>
  <c r="T49" i="21"/>
  <c r="T80" i="21"/>
  <c r="Z99" i="21"/>
  <c r="I101" i="21"/>
  <c r="V113" i="21"/>
  <c r="R138" i="21"/>
  <c r="P146" i="21"/>
  <c r="Z149" i="21"/>
  <c r="X154" i="21"/>
  <c r="AD157" i="21"/>
  <c r="V169" i="21"/>
  <c r="T174" i="21"/>
  <c r="AB177" i="21"/>
  <c r="AB200" i="21"/>
  <c r="R211" i="21"/>
  <c r="Z215" i="21"/>
  <c r="V219" i="21"/>
  <c r="X241" i="21"/>
  <c r="H248" i="21"/>
  <c r="Z254" i="21"/>
  <c r="Z264" i="21"/>
  <c r="AD273" i="21"/>
  <c r="Z276" i="21"/>
  <c r="AD280" i="21"/>
  <c r="P287" i="21"/>
  <c r="H292" i="21"/>
  <c r="AD306" i="21"/>
  <c r="Z309" i="21"/>
  <c r="R312" i="21"/>
  <c r="H318" i="21"/>
  <c r="X320" i="21"/>
  <c r="H329" i="21"/>
  <c r="R332" i="21"/>
  <c r="AB333" i="21"/>
  <c r="P256" i="21"/>
  <c r="I46" i="21"/>
  <c r="AB49" i="21"/>
  <c r="I70" i="21"/>
  <c r="V80" i="21"/>
  <c r="R84" i="21"/>
  <c r="V95" i="21"/>
  <c r="AD99" i="21"/>
  <c r="P101" i="21"/>
  <c r="T105" i="21"/>
  <c r="V138" i="21"/>
  <c r="R146" i="21"/>
  <c r="Z154" i="21"/>
  <c r="X169" i="21"/>
  <c r="AD177" i="21"/>
  <c r="R194" i="21"/>
  <c r="R204" i="21"/>
  <c r="R208" i="21"/>
  <c r="T211" i="21"/>
  <c r="AB215" i="21"/>
  <c r="Z219" i="21"/>
  <c r="H231" i="21"/>
  <c r="H237" i="21"/>
  <c r="H240" i="21"/>
  <c r="Z241" i="21"/>
  <c r="AB254" i="21"/>
  <c r="AF258" i="21"/>
  <c r="AB264" i="21"/>
  <c r="I271" i="21"/>
  <c r="AF273" i="21"/>
  <c r="AB276" i="21"/>
  <c r="T287" i="21"/>
  <c r="R289" i="21"/>
  <c r="I300" i="21"/>
  <c r="V312" i="21"/>
  <c r="I318" i="21"/>
  <c r="Z320" i="21"/>
  <c r="I329" i="21"/>
  <c r="T332" i="21"/>
  <c r="AD333" i="21"/>
  <c r="X46" i="21"/>
  <c r="AF49" i="21"/>
  <c r="Z54" i="21"/>
  <c r="P70" i="21"/>
  <c r="X80" i="21"/>
  <c r="T84" i="21"/>
  <c r="AD87" i="21"/>
  <c r="X95" i="21"/>
  <c r="X138" i="21"/>
  <c r="R142" i="21"/>
  <c r="V146" i="21"/>
  <c r="X150" i="21"/>
  <c r="AB154" i="21"/>
  <c r="Z169" i="21"/>
  <c r="T204" i="21"/>
  <c r="T208" i="21"/>
  <c r="X211" i="21"/>
  <c r="AD215" i="21"/>
  <c r="AB226" i="21"/>
  <c r="R237" i="21"/>
  <c r="AB241" i="21"/>
  <c r="I251" i="21"/>
  <c r="AD254" i="21"/>
  <c r="AD264" i="21"/>
  <c r="X287" i="21"/>
  <c r="AB320" i="21"/>
  <c r="V332" i="21"/>
  <c r="AF333" i="21"/>
  <c r="J446" i="1"/>
  <c r="G149" i="2" s="1"/>
  <c r="G78" i="2"/>
  <c r="G494" i="1"/>
  <c r="D92" i="2"/>
  <c r="K446" i="1"/>
  <c r="H149" i="2" s="1"/>
  <c r="H78" i="2"/>
  <c r="L446" i="1"/>
  <c r="I149" i="2" s="1"/>
  <c r="I78" i="2"/>
  <c r="E49" i="4"/>
  <c r="E88" i="4" s="1"/>
  <c r="K91" i="2"/>
  <c r="E41" i="4"/>
  <c r="K83" i="2"/>
  <c r="E51" i="4"/>
  <c r="E87" i="4" s="1"/>
  <c r="K93" i="2"/>
  <c r="I446" i="1"/>
  <c r="F149" i="2" s="1"/>
  <c r="F78" i="2"/>
  <c r="M446" i="1"/>
  <c r="J149" i="2" s="1"/>
  <c r="J78" i="2"/>
  <c r="E48" i="4"/>
  <c r="E84" i="4" s="1"/>
  <c r="K90" i="2"/>
  <c r="H446" i="1"/>
  <c r="E149" i="2" s="1"/>
  <c r="E78" i="2"/>
  <c r="G446" i="1"/>
  <c r="D149" i="2" s="1"/>
  <c r="D78" i="2"/>
  <c r="E495" i="1"/>
  <c r="F492" i="1"/>
  <c r="N493" i="1"/>
  <c r="M493" i="1"/>
  <c r="L493" i="1"/>
  <c r="I492" i="1"/>
  <c r="L495" i="1"/>
  <c r="J493" i="1"/>
  <c r="L492" i="1"/>
  <c r="K495" i="1"/>
  <c r="I493" i="1"/>
  <c r="H494" i="1"/>
  <c r="J492" i="1"/>
  <c r="E494" i="1"/>
  <c r="N495" i="1"/>
  <c r="M495" i="1"/>
  <c r="M492" i="1"/>
  <c r="J495" i="1"/>
  <c r="H492" i="1"/>
  <c r="I495" i="1"/>
  <c r="G493" i="1"/>
  <c r="K492" i="1"/>
  <c r="N492" i="1"/>
  <c r="H493" i="1"/>
  <c r="G492" i="1"/>
  <c r="H495" i="1"/>
  <c r="F493" i="1"/>
  <c r="F494" i="1"/>
  <c r="G495" i="1"/>
  <c r="E493" i="1"/>
  <c r="K493" i="1"/>
  <c r="F495" i="1"/>
  <c r="G106" i="1"/>
  <c r="D89" i="2" s="1"/>
  <c r="H106" i="1"/>
  <c r="E89" i="2" s="1"/>
  <c r="F106" i="1"/>
  <c r="Y52" i="6"/>
  <c r="D82" i="6"/>
  <c r="D83" i="6" s="1"/>
  <c r="AF164" i="21"/>
  <c r="X164" i="21"/>
  <c r="V164" i="21"/>
  <c r="T164" i="21"/>
  <c r="P265" i="21"/>
  <c r="Z265" i="21"/>
  <c r="X265" i="21"/>
  <c r="V265" i="21"/>
  <c r="T265" i="21"/>
  <c r="AF265" i="21"/>
  <c r="AD265" i="21"/>
  <c r="AB265" i="21"/>
  <c r="R265" i="21"/>
  <c r="Z82" i="21"/>
  <c r="P82" i="21"/>
  <c r="I82" i="21"/>
  <c r="H82" i="21"/>
  <c r="AB82" i="21"/>
  <c r="H165" i="21"/>
  <c r="AF165" i="21"/>
  <c r="AD165" i="21"/>
  <c r="AB165" i="21"/>
  <c r="Z165" i="21"/>
  <c r="V165" i="21"/>
  <c r="P165" i="21"/>
  <c r="T165" i="21"/>
  <c r="X165" i="21"/>
  <c r="R165" i="21"/>
  <c r="P245" i="21"/>
  <c r="AF245" i="21"/>
  <c r="AD245" i="21"/>
  <c r="Z245" i="21"/>
  <c r="AB245" i="21"/>
  <c r="V245" i="21"/>
  <c r="T245" i="21"/>
  <c r="H262" i="21"/>
  <c r="R245" i="21"/>
  <c r="AD62" i="21"/>
  <c r="AF62" i="21"/>
  <c r="X62" i="21"/>
  <c r="AB62" i="21"/>
  <c r="V62" i="21"/>
  <c r="T110" i="21"/>
  <c r="AB110" i="21"/>
  <c r="Z110" i="21"/>
  <c r="X110" i="21"/>
  <c r="V110" i="21"/>
  <c r="R110" i="21"/>
  <c r="P110" i="21"/>
  <c r="I110" i="21"/>
  <c r="H110" i="21"/>
  <c r="AF92" i="21"/>
  <c r="X92" i="21"/>
  <c r="AB92" i="21"/>
  <c r="P92" i="21"/>
  <c r="R92" i="21"/>
  <c r="Z92" i="21"/>
  <c r="T92" i="21"/>
  <c r="AB279" i="21"/>
  <c r="X279" i="21"/>
  <c r="R279" i="21"/>
  <c r="AB111" i="21"/>
  <c r="AF111" i="21"/>
  <c r="Z111" i="21"/>
  <c r="R111" i="21"/>
  <c r="P111" i="21"/>
  <c r="I111" i="21"/>
  <c r="H111" i="21"/>
  <c r="AD111" i="21"/>
  <c r="V111" i="21"/>
  <c r="T111" i="21"/>
  <c r="X111" i="21"/>
  <c r="I117" i="21"/>
  <c r="T228" i="21"/>
  <c r="P228" i="21"/>
  <c r="R228" i="21"/>
  <c r="AB83" i="21"/>
  <c r="R83" i="21"/>
  <c r="P83" i="21"/>
  <c r="H83" i="21"/>
  <c r="I83" i="21"/>
  <c r="V83" i="21"/>
  <c r="T83" i="21"/>
  <c r="AD83" i="21"/>
  <c r="Z83" i="21"/>
  <c r="X83" i="21"/>
  <c r="AF83" i="21"/>
  <c r="I165" i="21"/>
  <c r="I265" i="21"/>
  <c r="X245" i="21"/>
  <c r="R62" i="21"/>
  <c r="AF110" i="21"/>
  <c r="I203" i="21"/>
  <c r="AB134" i="21"/>
  <c r="Z134" i="21"/>
  <c r="X134" i="21"/>
  <c r="V134" i="21"/>
  <c r="P134" i="21"/>
  <c r="AF134" i="21"/>
  <c r="AF152" i="21"/>
  <c r="V152" i="21"/>
  <c r="I152" i="21"/>
  <c r="T152" i="21"/>
  <c r="R152" i="21"/>
  <c r="AD152" i="21"/>
  <c r="X203" i="21"/>
  <c r="H265" i="21"/>
  <c r="AF115" i="21"/>
  <c r="AD115" i="21"/>
  <c r="V115" i="21"/>
  <c r="I115" i="21"/>
  <c r="H115" i="21"/>
  <c r="T115" i="21"/>
  <c r="R115" i="21"/>
  <c r="AF262" i="21"/>
  <c r="Z262" i="21"/>
  <c r="AD262" i="21"/>
  <c r="AB262" i="21"/>
  <c r="I92" i="21"/>
  <c r="P301" i="21"/>
  <c r="V301" i="21"/>
  <c r="T301" i="21"/>
  <c r="R301" i="21"/>
  <c r="I301" i="21"/>
  <c r="AD301" i="21"/>
  <c r="AB301" i="21"/>
  <c r="AF301" i="21"/>
  <c r="H301" i="21"/>
  <c r="Z301" i="21"/>
  <c r="X301" i="21"/>
  <c r="T279" i="21"/>
  <c r="P305" i="21"/>
  <c r="AF305" i="21"/>
  <c r="AD305" i="21"/>
  <c r="AB305" i="21"/>
  <c r="Z305" i="21"/>
  <c r="V305" i="21"/>
  <c r="X305" i="21"/>
  <c r="R305" i="21"/>
  <c r="I305" i="21"/>
  <c r="AF71" i="21"/>
  <c r="AD71" i="21"/>
  <c r="Z71" i="21"/>
  <c r="R71" i="21"/>
  <c r="P71" i="21"/>
  <c r="Z104" i="21"/>
  <c r="V104" i="21"/>
  <c r="X104" i="21"/>
  <c r="P164" i="21"/>
  <c r="X79" i="21"/>
  <c r="T79" i="21"/>
  <c r="V79" i="21"/>
  <c r="R79" i="21"/>
  <c r="R97" i="21"/>
  <c r="AF97" i="21"/>
  <c r="AD97" i="21"/>
  <c r="Z97" i="21"/>
  <c r="X97" i="21"/>
  <c r="AB97" i="21"/>
  <c r="I79" i="21"/>
  <c r="AB127" i="21"/>
  <c r="Z127" i="21"/>
  <c r="X127" i="21"/>
  <c r="V127" i="21"/>
  <c r="T127" i="21"/>
  <c r="AD127" i="21"/>
  <c r="AF127" i="21"/>
  <c r="P127" i="21"/>
  <c r="R127" i="21"/>
  <c r="I127" i="21"/>
  <c r="Z196" i="21"/>
  <c r="X196" i="21"/>
  <c r="R196" i="21"/>
  <c r="P196" i="21"/>
  <c r="AF196" i="21"/>
  <c r="AB196" i="21"/>
  <c r="H245" i="21"/>
  <c r="P79" i="21"/>
  <c r="H127" i="21"/>
  <c r="AD284" i="21"/>
  <c r="AB284" i="21"/>
  <c r="AF284" i="21"/>
  <c r="T284" i="21"/>
  <c r="Z284" i="21"/>
  <c r="T262" i="21"/>
  <c r="I284" i="21"/>
  <c r="P175" i="21"/>
  <c r="I175" i="21"/>
  <c r="H175" i="21"/>
  <c r="Z175" i="21"/>
  <c r="X175" i="21"/>
  <c r="AD110" i="21"/>
  <c r="H117" i="21"/>
  <c r="AD117" i="21"/>
  <c r="AB117" i="21"/>
  <c r="Z117" i="21"/>
  <c r="X117" i="21"/>
  <c r="T117" i="21"/>
  <c r="AF117" i="21"/>
  <c r="V117" i="21"/>
  <c r="R117" i="21"/>
  <c r="AD134" i="21"/>
  <c r="Z227" i="21"/>
  <c r="V227" i="21"/>
  <c r="T227" i="21"/>
  <c r="R227" i="21"/>
  <c r="AB227" i="21"/>
  <c r="P227" i="21"/>
  <c r="Z234" i="21"/>
  <c r="T234" i="21"/>
  <c r="R234" i="21"/>
  <c r="P234" i="21"/>
  <c r="AF234" i="21"/>
  <c r="I234" i="21"/>
  <c r="AB234" i="21"/>
  <c r="H305" i="21"/>
  <c r="Z122" i="21"/>
  <c r="V122" i="21"/>
  <c r="P253" i="21"/>
  <c r="X253" i="21"/>
  <c r="V253" i="21"/>
  <c r="T253" i="21"/>
  <c r="R253" i="21"/>
  <c r="AD253" i="21"/>
  <c r="AB253" i="21"/>
  <c r="AF325" i="21"/>
  <c r="AD325" i="21"/>
  <c r="X325" i="21"/>
  <c r="AB325" i="21"/>
  <c r="Z325" i="21"/>
  <c r="T325" i="21"/>
  <c r="R325" i="21"/>
  <c r="H325" i="21"/>
  <c r="V75" i="21"/>
  <c r="P197" i="21"/>
  <c r="AD197" i="21"/>
  <c r="AF197" i="21"/>
  <c r="Z197" i="21"/>
  <c r="X197" i="21"/>
  <c r="I266" i="21"/>
  <c r="P266" i="21"/>
  <c r="AF118" i="21"/>
  <c r="AB118" i="21"/>
  <c r="AB136" i="21"/>
  <c r="Z224" i="21"/>
  <c r="T224" i="21"/>
  <c r="R224" i="21"/>
  <c r="H247" i="21"/>
  <c r="X321" i="21"/>
  <c r="V321" i="21"/>
  <c r="T321" i="21"/>
  <c r="R321" i="21"/>
  <c r="AD321" i="21"/>
  <c r="AB321" i="21"/>
  <c r="AB335" i="21"/>
  <c r="T335" i="21"/>
  <c r="R335" i="21"/>
  <c r="P335" i="21"/>
  <c r="P161" i="21"/>
  <c r="T197" i="21"/>
  <c r="Z118" i="21"/>
  <c r="AF230" i="21"/>
  <c r="AD230" i="21"/>
  <c r="R230" i="21"/>
  <c r="V303" i="21"/>
  <c r="T303" i="21"/>
  <c r="R303" i="21"/>
  <c r="P303" i="21"/>
  <c r="H330" i="21"/>
  <c r="I137" i="21"/>
  <c r="H230" i="21"/>
  <c r="R247" i="21"/>
  <c r="P269" i="21"/>
  <c r="V269" i="21"/>
  <c r="T269" i="21"/>
  <c r="R269" i="21"/>
  <c r="I269" i="21"/>
  <c r="H303" i="21"/>
  <c r="I330" i="21"/>
  <c r="T35" i="21"/>
  <c r="I50" i="21"/>
  <c r="I69" i="21"/>
  <c r="AF89" i="21"/>
  <c r="AD89" i="21"/>
  <c r="AB89" i="21"/>
  <c r="R89" i="21"/>
  <c r="I109" i="21"/>
  <c r="H168" i="21"/>
  <c r="R214" i="21"/>
  <c r="T247" i="21"/>
  <c r="H269" i="21"/>
  <c r="AB47" i="21"/>
  <c r="AF47" i="21"/>
  <c r="AD47" i="21"/>
  <c r="X47" i="21"/>
  <c r="I89" i="21"/>
  <c r="P109" i="21"/>
  <c r="H132" i="21"/>
  <c r="Z162" i="21"/>
  <c r="P162" i="21"/>
  <c r="X162" i="21"/>
  <c r="V162" i="21"/>
  <c r="I168" i="21"/>
  <c r="T171" i="21"/>
  <c r="P185" i="21"/>
  <c r="AF185" i="21"/>
  <c r="AD185" i="21"/>
  <c r="Z185" i="21"/>
  <c r="X185" i="21"/>
  <c r="Z188" i="21"/>
  <c r="AF221" i="21"/>
  <c r="AD221" i="21"/>
  <c r="Z221" i="21"/>
  <c r="AB221" i="21"/>
  <c r="T221" i="21"/>
  <c r="R221" i="21"/>
  <c r="P226" i="21"/>
  <c r="I242" i="21"/>
  <c r="X247" i="21"/>
  <c r="T255" i="21"/>
  <c r="R255" i="21"/>
  <c r="X269" i="21"/>
  <c r="P281" i="21"/>
  <c r="AF281" i="21"/>
  <c r="AD281" i="21"/>
  <c r="AB281" i="21"/>
  <c r="Z281" i="21"/>
  <c r="T281" i="21"/>
  <c r="H281" i="21"/>
  <c r="R281" i="21"/>
  <c r="I281" i="21"/>
  <c r="H297" i="21"/>
  <c r="X303" i="21"/>
  <c r="AF321" i="21"/>
  <c r="T330" i="21"/>
  <c r="P337" i="21"/>
  <c r="AD246" i="21"/>
  <c r="AB246" i="21"/>
  <c r="Z246" i="21"/>
  <c r="H246" i="21"/>
  <c r="I122" i="21"/>
  <c r="V148" i="21"/>
  <c r="T148" i="21"/>
  <c r="R148" i="21"/>
  <c r="P148" i="21"/>
  <c r="H148" i="21"/>
  <c r="P217" i="21"/>
  <c r="AF217" i="21"/>
  <c r="AD217" i="21"/>
  <c r="X299" i="21"/>
  <c r="T299" i="21"/>
  <c r="P299" i="21"/>
  <c r="P223" i="21"/>
  <c r="Z253" i="21"/>
  <c r="H299" i="21"/>
  <c r="H313" i="21"/>
  <c r="H220" i="21"/>
  <c r="AD220" i="21"/>
  <c r="AB220" i="21"/>
  <c r="Z220" i="21"/>
  <c r="X220" i="21"/>
  <c r="AF214" i="21"/>
  <c r="AD214" i="21"/>
  <c r="V224" i="21"/>
  <c r="I235" i="21"/>
  <c r="AF260" i="21"/>
  <c r="AB260" i="21"/>
  <c r="T313" i="21"/>
  <c r="V325" i="21"/>
  <c r="I53" i="21"/>
  <c r="H214" i="21"/>
  <c r="H260" i="21"/>
  <c r="AD93" i="21"/>
  <c r="AB93" i="21"/>
  <c r="T93" i="21"/>
  <c r="R93" i="21"/>
  <c r="AD118" i="21"/>
  <c r="H159" i="21"/>
  <c r="AD159" i="21"/>
  <c r="P214" i="21"/>
  <c r="P260" i="21"/>
  <c r="P321" i="21"/>
  <c r="H337" i="21"/>
  <c r="T43" i="21"/>
  <c r="R43" i="21"/>
  <c r="P43" i="21"/>
  <c r="I43" i="21"/>
  <c r="R53" i="21"/>
  <c r="P137" i="21"/>
  <c r="R159" i="21"/>
  <c r="V184" i="21"/>
  <c r="AF220" i="21"/>
  <c r="AD286" i="21"/>
  <c r="AB286" i="21"/>
  <c r="I303" i="21"/>
  <c r="X319" i="21"/>
  <c r="R319" i="21"/>
  <c r="P319" i="21"/>
  <c r="P330" i="21"/>
  <c r="T53" i="21"/>
  <c r="X159" i="21"/>
  <c r="H47" i="21"/>
  <c r="R50" i="21"/>
  <c r="Z60" i="21"/>
  <c r="X69" i="21"/>
  <c r="T74" i="21"/>
  <c r="R74" i="21"/>
  <c r="P74" i="21"/>
  <c r="I74" i="21"/>
  <c r="H74" i="21"/>
  <c r="P89" i="21"/>
  <c r="R109" i="21"/>
  <c r="AF159" i="21"/>
  <c r="AD162" i="21"/>
  <c r="P168" i="21"/>
  <c r="X171" i="21"/>
  <c r="I185" i="21"/>
  <c r="AB188" i="21"/>
  <c r="V214" i="21"/>
  <c r="H221" i="21"/>
  <c r="R226" i="21"/>
  <c r="P242" i="21"/>
  <c r="P261" i="21"/>
  <c r="X261" i="21"/>
  <c r="V261" i="21"/>
  <c r="T261" i="21"/>
  <c r="R261" i="21"/>
  <c r="AB261" i="21"/>
  <c r="Z261" i="21"/>
  <c r="H261" i="21"/>
  <c r="I261" i="21"/>
  <c r="Z269" i="21"/>
  <c r="V281" i="21"/>
  <c r="I286" i="21"/>
  <c r="AB303" i="21"/>
  <c r="I319" i="21"/>
  <c r="AB330" i="21"/>
  <c r="R337" i="21"/>
  <c r="Z193" i="21"/>
  <c r="X193" i="21"/>
  <c r="V193" i="21"/>
  <c r="H253" i="21"/>
  <c r="AF313" i="21"/>
  <c r="AB313" i="21"/>
  <c r="Z313" i="21"/>
  <c r="V313" i="21"/>
  <c r="X313" i="21"/>
  <c r="R313" i="21"/>
  <c r="P313" i="21"/>
  <c r="I52" i="21"/>
  <c r="P122" i="21"/>
  <c r="H161" i="21"/>
  <c r="AB161" i="21"/>
  <c r="Z161" i="21"/>
  <c r="X161" i="21"/>
  <c r="V161" i="21"/>
  <c r="AF161" i="21"/>
  <c r="T193" i="21"/>
  <c r="I217" i="21"/>
  <c r="I325" i="21"/>
  <c r="I313" i="21"/>
  <c r="P325" i="21"/>
  <c r="AF40" i="21"/>
  <c r="H53" i="21"/>
  <c r="AF53" i="21"/>
  <c r="AD53" i="21"/>
  <c r="AB53" i="21"/>
  <c r="Z53" i="21"/>
  <c r="V53" i="21"/>
  <c r="R118" i="21"/>
  <c r="AF166" i="21"/>
  <c r="AD166" i="21"/>
  <c r="AB166" i="21"/>
  <c r="Z166" i="21"/>
  <c r="T217" i="21"/>
  <c r="I239" i="21"/>
  <c r="AB239" i="21"/>
  <c r="X239" i="21"/>
  <c r="AB291" i="21"/>
  <c r="X291" i="21"/>
  <c r="T291" i="21"/>
  <c r="H137" i="21"/>
  <c r="AF137" i="21"/>
  <c r="AD137" i="21"/>
  <c r="AB137" i="21"/>
  <c r="X137" i="21"/>
  <c r="Z137" i="21"/>
  <c r="T137" i="21"/>
  <c r="R161" i="21"/>
  <c r="R188" i="21"/>
  <c r="T220" i="21"/>
  <c r="I35" i="21"/>
  <c r="P53" i="21"/>
  <c r="Z72" i="21"/>
  <c r="AD148" i="21"/>
  <c r="AB197" i="21"/>
  <c r="AF132" i="21"/>
  <c r="AD132" i="21"/>
  <c r="X132" i="21"/>
  <c r="V132" i="21"/>
  <c r="AD161" i="21"/>
  <c r="X188" i="21"/>
  <c r="P210" i="21"/>
  <c r="I226" i="21"/>
  <c r="H242" i="21"/>
  <c r="X260" i="21"/>
  <c r="AF43" i="21"/>
  <c r="X60" i="21"/>
  <c r="R137" i="21"/>
  <c r="AB60" i="21"/>
  <c r="AF69" i="21"/>
  <c r="X89" i="21"/>
  <c r="T109" i="21"/>
  <c r="P132" i="21"/>
  <c r="AB147" i="21"/>
  <c r="AF147" i="21"/>
  <c r="AD147" i="21"/>
  <c r="Z147" i="21"/>
  <c r="X147" i="21"/>
  <c r="AF162" i="21"/>
  <c r="R185" i="21"/>
  <c r="AB189" i="21"/>
  <c r="V189" i="21"/>
  <c r="R189" i="21"/>
  <c r="I189" i="21"/>
  <c r="AD189" i="21"/>
  <c r="H189" i="21"/>
  <c r="Z214" i="21"/>
  <c r="V221" i="21"/>
  <c r="T226" i="21"/>
  <c r="AD261" i="21"/>
  <c r="AB269" i="21"/>
  <c r="P277" i="21"/>
  <c r="T277" i="21"/>
  <c r="R277" i="21"/>
  <c r="I277" i="21"/>
  <c r="H277" i="21"/>
  <c r="AF277" i="21"/>
  <c r="AB277" i="21"/>
  <c r="AD277" i="21"/>
  <c r="X277" i="21"/>
  <c r="V277" i="21"/>
  <c r="X281" i="21"/>
  <c r="P286" i="21"/>
  <c r="AF317" i="21"/>
  <c r="AD317" i="21"/>
  <c r="AB317" i="21"/>
  <c r="X317" i="21"/>
  <c r="Z317" i="21"/>
  <c r="T317" i="21"/>
  <c r="R317" i="21"/>
  <c r="AD330" i="21"/>
  <c r="AF75" i="21"/>
  <c r="Z75" i="21"/>
  <c r="AF182" i="21"/>
  <c r="AD182" i="21"/>
  <c r="AB182" i="21"/>
  <c r="V182" i="21"/>
  <c r="Z182" i="21"/>
  <c r="R182" i="21"/>
  <c r="P182" i="21"/>
  <c r="H75" i="21"/>
  <c r="R193" i="21"/>
  <c r="AF246" i="21"/>
  <c r="I136" i="21"/>
  <c r="Z136" i="21"/>
  <c r="V136" i="21"/>
  <c r="T136" i="21"/>
  <c r="R136" i="21"/>
  <c r="T182" i="21"/>
  <c r="X75" i="21"/>
  <c r="X122" i="21"/>
  <c r="I139" i="21"/>
  <c r="Z139" i="21"/>
  <c r="X139" i="21"/>
  <c r="R139" i="21"/>
  <c r="X148" i="21"/>
  <c r="I161" i="21"/>
  <c r="H197" i="21"/>
  <c r="R217" i="21"/>
  <c r="AF253" i="21"/>
  <c r="Z148" i="21"/>
  <c r="P188" i="21"/>
  <c r="I220" i="21"/>
  <c r="I247" i="21"/>
  <c r="H321" i="21"/>
  <c r="AB148" i="21"/>
  <c r="V197" i="21"/>
  <c r="V217" i="21"/>
  <c r="R235" i="21"/>
  <c r="P247" i="21"/>
  <c r="H291" i="21"/>
  <c r="I321" i="21"/>
  <c r="AF337" i="21"/>
  <c r="AD337" i="21"/>
  <c r="Z337" i="21"/>
  <c r="AB337" i="21"/>
  <c r="V337" i="21"/>
  <c r="T337" i="21"/>
  <c r="H50" i="21"/>
  <c r="AD168" i="21"/>
  <c r="AF168" i="21"/>
  <c r="Z168" i="21"/>
  <c r="X168" i="21"/>
  <c r="X217" i="21"/>
  <c r="AF148" i="21"/>
  <c r="Z217" i="21"/>
  <c r="P297" i="21"/>
  <c r="AF297" i="21"/>
  <c r="AD297" i="21"/>
  <c r="AB297" i="21"/>
  <c r="Z297" i="21"/>
  <c r="V297" i="21"/>
  <c r="X297" i="21"/>
  <c r="R297" i="21"/>
  <c r="I297" i="21"/>
  <c r="Z321" i="21"/>
  <c r="I337" i="21"/>
  <c r="P50" i="21"/>
  <c r="I47" i="21"/>
  <c r="V50" i="21"/>
  <c r="V44" i="21"/>
  <c r="P47" i="21"/>
  <c r="AD60" i="21"/>
  <c r="X74" i="21"/>
  <c r="AB100" i="21"/>
  <c r="Z100" i="21"/>
  <c r="X100" i="21"/>
  <c r="V100" i="21"/>
  <c r="V109" i="21"/>
  <c r="T132" i="21"/>
  <c r="H147" i="21"/>
  <c r="T168" i="21"/>
  <c r="T185" i="21"/>
  <c r="AF189" i="21"/>
  <c r="AB214" i="21"/>
  <c r="T222" i="21"/>
  <c r="R222" i="21"/>
  <c r="P222" i="21"/>
  <c r="I222" i="21"/>
  <c r="AF261" i="21"/>
  <c r="AD269" i="21"/>
  <c r="Z277" i="21"/>
  <c r="T286" i="21"/>
  <c r="H317" i="21"/>
  <c r="AD179" i="21"/>
  <c r="AB179" i="21"/>
  <c r="AF236" i="21"/>
  <c r="AB236" i="21"/>
  <c r="Z236" i="21"/>
  <c r="X236" i="21"/>
  <c r="AF238" i="21"/>
  <c r="AD238" i="21"/>
  <c r="AB238" i="21"/>
  <c r="Z238" i="21"/>
  <c r="P257" i="21"/>
  <c r="AF257" i="21"/>
  <c r="AD257" i="21"/>
  <c r="AB308" i="21"/>
  <c r="X308" i="21"/>
  <c r="V308" i="21"/>
  <c r="T308" i="21"/>
  <c r="R308" i="21"/>
  <c r="H101" i="21"/>
  <c r="AF101" i="21"/>
  <c r="H179" i="21"/>
  <c r="R201" i="21"/>
  <c r="I201" i="21"/>
  <c r="H236" i="21"/>
  <c r="P238" i="21"/>
  <c r="I248" i="21"/>
  <c r="AB248" i="21"/>
  <c r="Z248" i="21"/>
  <c r="X248" i="21"/>
  <c r="V248" i="21"/>
  <c r="H257" i="21"/>
  <c r="AD274" i="21"/>
  <c r="AB274" i="21"/>
  <c r="Z274" i="21"/>
  <c r="T274" i="21"/>
  <c r="H308" i="21"/>
  <c r="V329" i="21"/>
  <c r="T329" i="21"/>
  <c r="R329" i="21"/>
  <c r="P329" i="21"/>
  <c r="T257" i="21"/>
  <c r="P285" i="21"/>
  <c r="V285" i="21"/>
  <c r="T285" i="21"/>
  <c r="R285" i="21"/>
  <c r="I285" i="21"/>
  <c r="Z308" i="21"/>
  <c r="V51" i="21"/>
  <c r="P68" i="21"/>
  <c r="R70" i="21"/>
  <c r="R101" i="21"/>
  <c r="V123" i="21"/>
  <c r="I123" i="21"/>
  <c r="R179" i="21"/>
  <c r="T190" i="21"/>
  <c r="H213" i="21"/>
  <c r="AB225" i="21"/>
  <c r="X225" i="21"/>
  <c r="V225" i="21"/>
  <c r="H225" i="21"/>
  <c r="AB232" i="21"/>
  <c r="R236" i="21"/>
  <c r="AD248" i="21"/>
  <c r="H252" i="21"/>
  <c r="H254" i="21"/>
  <c r="V257" i="21"/>
  <c r="AF272" i="21"/>
  <c r="AB272" i="21"/>
  <c r="H285" i="21"/>
  <c r="P293" i="21"/>
  <c r="AB293" i="21"/>
  <c r="Z293" i="21"/>
  <c r="X293" i="21"/>
  <c r="V293" i="21"/>
  <c r="I302" i="21"/>
  <c r="AD308" i="21"/>
  <c r="AB322" i="21"/>
  <c r="X329" i="21"/>
  <c r="P236" i="21"/>
  <c r="R46" i="21"/>
  <c r="X51" i="21"/>
  <c r="V59" i="21"/>
  <c r="T68" i="21"/>
  <c r="V70" i="21"/>
  <c r="H77" i="21"/>
  <c r="X77" i="21"/>
  <c r="V77" i="21"/>
  <c r="T77" i="21"/>
  <c r="T101" i="21"/>
  <c r="I105" i="21"/>
  <c r="I174" i="21"/>
  <c r="T179" i="21"/>
  <c r="V190" i="21"/>
  <c r="AF198" i="21"/>
  <c r="Z198" i="21"/>
  <c r="T198" i="21"/>
  <c r="R198" i="21"/>
  <c r="AB209" i="21"/>
  <c r="AD225" i="21"/>
  <c r="AD232" i="21"/>
  <c r="V236" i="21"/>
  <c r="AF248" i="21"/>
  <c r="I252" i="21"/>
  <c r="I254" i="21"/>
  <c r="X257" i="21"/>
  <c r="X272" i="21"/>
  <c r="X285" i="21"/>
  <c r="H293" i="21"/>
  <c r="AB302" i="21"/>
  <c r="AF308" i="21"/>
  <c r="Z329" i="21"/>
  <c r="P179" i="21"/>
  <c r="X213" i="21"/>
  <c r="V213" i="21"/>
  <c r="T213" i="21"/>
  <c r="R213" i="21"/>
  <c r="P46" i="21"/>
  <c r="AF59" i="21"/>
  <c r="V68" i="21"/>
  <c r="R77" i="21"/>
  <c r="V101" i="21"/>
  <c r="P105" i="21"/>
  <c r="AF120" i="21"/>
  <c r="V120" i="21"/>
  <c r="T120" i="21"/>
  <c r="R120" i="21"/>
  <c r="P120" i="21"/>
  <c r="H157" i="21"/>
  <c r="T157" i="21"/>
  <c r="R157" i="21"/>
  <c r="P157" i="21"/>
  <c r="I157" i="21"/>
  <c r="X179" i="21"/>
  <c r="Z213" i="21"/>
  <c r="AF225" i="21"/>
  <c r="AF240" i="21"/>
  <c r="AB240" i="21"/>
  <c r="Z257" i="21"/>
  <c r="Z272" i="21"/>
  <c r="Z285" i="21"/>
  <c r="H288" i="21"/>
  <c r="I293" i="21"/>
  <c r="P309" i="21"/>
  <c r="AF309" i="21"/>
  <c r="AD309" i="21"/>
  <c r="T312" i="21"/>
  <c r="AD312" i="21"/>
  <c r="AB312" i="21"/>
  <c r="Z312" i="21"/>
  <c r="X312" i="21"/>
  <c r="AB323" i="21"/>
  <c r="X323" i="21"/>
  <c r="V323" i="21"/>
  <c r="T323" i="21"/>
  <c r="AB329" i="21"/>
  <c r="H332" i="21"/>
  <c r="H80" i="21"/>
  <c r="H84" i="21"/>
  <c r="H87" i="21"/>
  <c r="V91" i="21"/>
  <c r="AF145" i="21"/>
  <c r="R149" i="21"/>
  <c r="H160" i="21"/>
  <c r="I169" i="21"/>
  <c r="R172" i="21"/>
  <c r="I176" i="21"/>
  <c r="H178" i="21"/>
  <c r="H204" i="21"/>
  <c r="H208" i="21"/>
  <c r="H215" i="21"/>
  <c r="H280" i="21"/>
  <c r="I80" i="21"/>
  <c r="I84" i="21"/>
  <c r="I87" i="21"/>
  <c r="X91" i="21"/>
  <c r="P102" i="21"/>
  <c r="R112" i="21"/>
  <c r="H138" i="21"/>
  <c r="V149" i="21"/>
  <c r="I160" i="21"/>
  <c r="P169" i="21"/>
  <c r="V172" i="21"/>
  <c r="P176" i="21"/>
  <c r="P178" i="21"/>
  <c r="I204" i="21"/>
  <c r="I208" i="21"/>
  <c r="H211" i="21"/>
  <c r="I215" i="21"/>
  <c r="V243" i="21"/>
  <c r="I264" i="21"/>
  <c r="I280" i="21"/>
  <c r="H287" i="21"/>
  <c r="I314" i="21"/>
  <c r="I320" i="21"/>
  <c r="P326" i="21"/>
  <c r="H331" i="21"/>
  <c r="H333" i="21"/>
  <c r="P338" i="21"/>
  <c r="V112" i="21"/>
  <c r="I138" i="21"/>
  <c r="H154" i="21"/>
  <c r="P160" i="21"/>
  <c r="R169" i="21"/>
  <c r="R176" i="21"/>
  <c r="P208" i="21"/>
  <c r="H241" i="21"/>
  <c r="X243" i="21"/>
  <c r="P264" i="21"/>
  <c r="H273" i="21"/>
  <c r="I289" i="21"/>
  <c r="P320" i="21"/>
  <c r="X48" i="6"/>
  <c r="W52" i="6"/>
  <c r="W48" i="6"/>
  <c r="X52" i="6"/>
  <c r="Z52" i="6"/>
  <c r="Y48" i="6"/>
  <c r="AA48" i="6"/>
  <c r="Z48" i="6"/>
  <c r="G46" i="6"/>
  <c r="AA52" i="6"/>
  <c r="N156" i="1"/>
  <c r="E156" i="1"/>
  <c r="H156" i="1"/>
  <c r="E107" i="1"/>
  <c r="E492" i="1" s="1"/>
  <c r="M156" i="1"/>
  <c r="J156" i="1"/>
  <c r="N117" i="1"/>
  <c r="G156" i="1"/>
  <c r="I156" i="1"/>
  <c r="F156" i="1"/>
  <c r="L156" i="1"/>
  <c r="K156" i="1"/>
  <c r="V51" i="6"/>
  <c r="V50" i="6"/>
  <c r="V49" i="6"/>
  <c r="V46" i="6"/>
  <c r="V47" i="6"/>
  <c r="V45" i="6"/>
  <c r="U51" i="6"/>
  <c r="U50" i="6"/>
  <c r="U49" i="6"/>
  <c r="U46" i="6"/>
  <c r="U47" i="6"/>
  <c r="U45" i="6"/>
  <c r="T51" i="6"/>
  <c r="T50" i="6"/>
  <c r="T49" i="6"/>
  <c r="T46" i="6"/>
  <c r="T47" i="6"/>
  <c r="T45" i="6"/>
  <c r="S51" i="6"/>
  <c r="S50" i="6"/>
  <c r="S49" i="6"/>
  <c r="S46" i="6"/>
  <c r="S47" i="6"/>
  <c r="S45" i="6"/>
  <c r="R51" i="6"/>
  <c r="R50" i="6"/>
  <c r="R49" i="6"/>
  <c r="R46" i="6"/>
  <c r="R47" i="6"/>
  <c r="R45" i="6"/>
  <c r="Q51" i="6"/>
  <c r="Q50" i="6"/>
  <c r="Q49" i="6"/>
  <c r="Q46" i="6"/>
  <c r="Q47" i="6"/>
  <c r="Q45" i="6"/>
  <c r="P49" i="6"/>
  <c r="P51" i="6"/>
  <c r="P50" i="6"/>
  <c r="O51" i="6"/>
  <c r="O50" i="6"/>
  <c r="O49" i="6"/>
  <c r="P46" i="6"/>
  <c r="P47" i="6"/>
  <c r="P45" i="6"/>
  <c r="O46" i="6"/>
  <c r="O47" i="6"/>
  <c r="O45" i="6"/>
  <c r="N46" i="6"/>
  <c r="N47" i="6"/>
  <c r="N45" i="6"/>
  <c r="N50" i="6"/>
  <c r="N51" i="6"/>
  <c r="N49" i="6"/>
  <c r="M50" i="6"/>
  <c r="M46" i="6"/>
  <c r="M51" i="6"/>
  <c r="M49" i="6"/>
  <c r="M47" i="6"/>
  <c r="M45" i="6"/>
  <c r="L50" i="6"/>
  <c r="L46" i="6"/>
  <c r="L51" i="6"/>
  <c r="L49" i="6"/>
  <c r="L47" i="6"/>
  <c r="L45" i="6"/>
  <c r="J50" i="6"/>
  <c r="J46" i="6"/>
  <c r="J51" i="6"/>
  <c r="J49" i="6"/>
  <c r="J47" i="6"/>
  <c r="I50" i="6"/>
  <c r="I46" i="6"/>
  <c r="I51" i="6"/>
  <c r="I49" i="6"/>
  <c r="I47" i="6"/>
  <c r="I45" i="6"/>
  <c r="H48" i="6"/>
  <c r="F46" i="6"/>
  <c r="F50" i="6"/>
  <c r="F51" i="6"/>
  <c r="F49" i="6"/>
  <c r="F47" i="6"/>
  <c r="F45" i="6"/>
  <c r="G45" i="6"/>
  <c r="T90" i="21"/>
  <c r="V90" i="21"/>
  <c r="R90" i="21"/>
  <c r="P90" i="21"/>
  <c r="AD90" i="21"/>
  <c r="AB90" i="21"/>
  <c r="T57" i="21"/>
  <c r="H88" i="21"/>
  <c r="Z268" i="21"/>
  <c r="P268" i="21"/>
  <c r="AF268" i="21"/>
  <c r="AB268" i="21"/>
  <c r="I268" i="21"/>
  <c r="H268" i="21"/>
  <c r="AD268" i="21"/>
  <c r="P38" i="21"/>
  <c r="V73" i="21"/>
  <c r="H86" i="21"/>
  <c r="V130" i="21"/>
  <c r="R268" i="21"/>
  <c r="R38" i="21"/>
  <c r="R88" i="21"/>
  <c r="X130" i="21"/>
  <c r="T140" i="21"/>
  <c r="AF259" i="21"/>
  <c r="AD259" i="21"/>
  <c r="Z259" i="21"/>
  <c r="P259" i="21"/>
  <c r="AB259" i="21"/>
  <c r="X259" i="21"/>
  <c r="V259" i="21"/>
  <c r="Z38" i="21"/>
  <c r="AB55" i="21"/>
  <c r="V55" i="21"/>
  <c r="AD55" i="21"/>
  <c r="Z55" i="21"/>
  <c r="X55" i="21"/>
  <c r="H63" i="21"/>
  <c r="T88" i="21"/>
  <c r="AD106" i="21"/>
  <c r="T170" i="21"/>
  <c r="R170" i="21"/>
  <c r="I170" i="21"/>
  <c r="AB170" i="21"/>
  <c r="H259" i="21"/>
  <c r="V268" i="21"/>
  <c r="R48" i="21"/>
  <c r="H55" i="21"/>
  <c r="T63" i="21"/>
  <c r="R86" i="21"/>
  <c r="AF140" i="21"/>
  <c r="H170" i="21"/>
  <c r="X268" i="21"/>
  <c r="V36" i="21"/>
  <c r="X41" i="21"/>
  <c r="I55" i="21"/>
  <c r="X66" i="21"/>
  <c r="AB41" i="21"/>
  <c r="Z48" i="21"/>
  <c r="I61" i="21"/>
  <c r="AB66" i="21"/>
  <c r="H76" i="21"/>
  <c r="Z86" i="21"/>
  <c r="T94" i="21"/>
  <c r="P94" i="21"/>
  <c r="AF94" i="21"/>
  <c r="AD94" i="21"/>
  <c r="Z94" i="21"/>
  <c r="X94" i="21"/>
  <c r="V94" i="21"/>
  <c r="T103" i="21"/>
  <c r="R114" i="21"/>
  <c r="H124" i="21"/>
  <c r="I126" i="21"/>
  <c r="V128" i="21"/>
  <c r="T128" i="21"/>
  <c r="H128" i="21"/>
  <c r="X128" i="21"/>
  <c r="R128" i="21"/>
  <c r="P128" i="21"/>
  <c r="T144" i="21"/>
  <c r="R151" i="21"/>
  <c r="P153" i="21"/>
  <c r="AB155" i="21"/>
  <c r="V155" i="21"/>
  <c r="T155" i="21"/>
  <c r="H155" i="21"/>
  <c r="R155" i="21"/>
  <c r="P155" i="21"/>
  <c r="I155" i="21"/>
  <c r="X170" i="21"/>
  <c r="T191" i="21"/>
  <c r="H278" i="21"/>
  <c r="X282" i="21"/>
  <c r="V282" i="21"/>
  <c r="R282" i="21"/>
  <c r="AB282" i="21"/>
  <c r="H282" i="21"/>
  <c r="AD282" i="21"/>
  <c r="Z282" i="21"/>
  <c r="P282" i="21"/>
  <c r="P290" i="21"/>
  <c r="AF294" i="21"/>
  <c r="T42" i="21"/>
  <c r="AB42" i="21"/>
  <c r="I42" i="21"/>
  <c r="H42" i="21"/>
  <c r="X42" i="21"/>
  <c r="V42" i="21"/>
  <c r="R42" i="21"/>
  <c r="P42" i="21"/>
  <c r="AF48" i="21"/>
  <c r="T55" i="21"/>
  <c r="R61" i="21"/>
  <c r="H94" i="21"/>
  <c r="V114" i="21"/>
  <c r="R124" i="21"/>
  <c r="V144" i="21"/>
  <c r="R153" i="21"/>
  <c r="Z170" i="21"/>
  <c r="I278" i="21"/>
  <c r="I282" i="21"/>
  <c r="AF295" i="21"/>
  <c r="AD295" i="21"/>
  <c r="Z295" i="21"/>
  <c r="I295" i="21"/>
  <c r="R295" i="21"/>
  <c r="P295" i="21"/>
  <c r="AB295" i="21"/>
  <c r="X295" i="21"/>
  <c r="V295" i="21"/>
  <c r="I37" i="21"/>
  <c r="AB37" i="21"/>
  <c r="Z37" i="21"/>
  <c r="T37" i="21"/>
  <c r="H37" i="21"/>
  <c r="R37" i="21"/>
  <c r="P37" i="21"/>
  <c r="AB94" i="21"/>
  <c r="X108" i="21"/>
  <c r="V108" i="21"/>
  <c r="I108" i="21"/>
  <c r="T108" i="21"/>
  <c r="R108" i="21"/>
  <c r="P108" i="21"/>
  <c r="AD108" i="21"/>
  <c r="AB108" i="21"/>
  <c r="Z108" i="21"/>
  <c r="H108" i="21"/>
  <c r="AD128" i="21"/>
  <c r="H149" i="21"/>
  <c r="AD149" i="21"/>
  <c r="AB149" i="21"/>
  <c r="T149" i="21"/>
  <c r="AF149" i="21"/>
  <c r="AF155" i="21"/>
  <c r="P184" i="21"/>
  <c r="AF207" i="21"/>
  <c r="V207" i="21"/>
  <c r="AD207" i="21"/>
  <c r="Z207" i="21"/>
  <c r="X207" i="21"/>
  <c r="T207" i="21"/>
  <c r="H207" i="21"/>
  <c r="P209" i="21"/>
  <c r="V209" i="21"/>
  <c r="T209" i="21"/>
  <c r="I209" i="21"/>
  <c r="X209" i="21"/>
  <c r="R209" i="21"/>
  <c r="AF209" i="21"/>
  <c r="AF239" i="21"/>
  <c r="AD239" i="21"/>
  <c r="Z239" i="21"/>
  <c r="V239" i="21"/>
  <c r="R239" i="21"/>
  <c r="P239" i="21"/>
  <c r="H239" i="21"/>
  <c r="Z278" i="21"/>
  <c r="AF283" i="21"/>
  <c r="AD283" i="21"/>
  <c r="Z283" i="21"/>
  <c r="AB283" i="21"/>
  <c r="X283" i="21"/>
  <c r="P283" i="21"/>
  <c r="V283" i="21"/>
  <c r="T283" i="21"/>
  <c r="R283" i="21"/>
  <c r="H65" i="21"/>
  <c r="V65" i="21"/>
  <c r="AF65" i="21"/>
  <c r="AD65" i="21"/>
  <c r="AB65" i="21"/>
  <c r="Z65" i="21"/>
  <c r="T65" i="21"/>
  <c r="R65" i="21"/>
  <c r="AF275" i="21"/>
  <c r="AD275" i="21"/>
  <c r="Z275" i="21"/>
  <c r="AB275" i="21"/>
  <c r="V275" i="21"/>
  <c r="R275" i="21"/>
  <c r="X275" i="21"/>
  <c r="T275" i="21"/>
  <c r="P275" i="21"/>
  <c r="H38" i="21"/>
  <c r="I65" i="21"/>
  <c r="H275" i="21"/>
  <c r="X270" i="21"/>
  <c r="V270" i="21"/>
  <c r="R270" i="21"/>
  <c r="H270" i="21"/>
  <c r="AB270" i="21"/>
  <c r="Z270" i="21"/>
  <c r="P270" i="21"/>
  <c r="AF270" i="21"/>
  <c r="I41" i="21"/>
  <c r="V57" i="21"/>
  <c r="X65" i="21"/>
  <c r="I88" i="21"/>
  <c r="H133" i="21"/>
  <c r="AB133" i="21"/>
  <c r="Z133" i="21"/>
  <c r="X133" i="21"/>
  <c r="V133" i="21"/>
  <c r="AF133" i="21"/>
  <c r="AD133" i="21"/>
  <c r="R133" i="21"/>
  <c r="P133" i="21"/>
  <c r="I133" i="21"/>
  <c r="H140" i="21"/>
  <c r="T66" i="21"/>
  <c r="AF66" i="21"/>
  <c r="R66" i="21"/>
  <c r="P66" i="21"/>
  <c r="I66" i="21"/>
  <c r="AB96" i="21"/>
  <c r="AF96" i="21"/>
  <c r="AD96" i="21"/>
  <c r="Z96" i="21"/>
  <c r="V96" i="21"/>
  <c r="T96" i="21"/>
  <c r="R96" i="21"/>
  <c r="T268" i="21"/>
  <c r="Z57" i="21"/>
  <c r="H66" i="21"/>
  <c r="AD270" i="21"/>
  <c r="V66" i="21"/>
  <c r="P173" i="21"/>
  <c r="I173" i="21"/>
  <c r="H173" i="21"/>
  <c r="X173" i="21"/>
  <c r="V173" i="21"/>
  <c r="T173" i="21"/>
  <c r="AF173" i="21"/>
  <c r="AD173" i="21"/>
  <c r="X290" i="21"/>
  <c r="V290" i="21"/>
  <c r="R290" i="21"/>
  <c r="T290" i="21"/>
  <c r="AB290" i="21"/>
  <c r="T58" i="21"/>
  <c r="R58" i="21"/>
  <c r="AD58" i="21"/>
  <c r="AB58" i="21"/>
  <c r="Z58" i="21"/>
  <c r="V58" i="21"/>
  <c r="P58" i="21"/>
  <c r="I58" i="21"/>
  <c r="H58" i="21"/>
  <c r="P96" i="21"/>
  <c r="AB103" i="21"/>
  <c r="AF103" i="21"/>
  <c r="P103" i="21"/>
  <c r="I103" i="21"/>
  <c r="H103" i="21"/>
  <c r="Z103" i="21"/>
  <c r="X103" i="21"/>
  <c r="V103" i="21"/>
  <c r="AB107" i="21"/>
  <c r="I107" i="21"/>
  <c r="H107" i="21"/>
  <c r="AF107" i="21"/>
  <c r="AD107" i="21"/>
  <c r="Z107" i="21"/>
  <c r="T114" i="21"/>
  <c r="P114" i="21"/>
  <c r="I114" i="21"/>
  <c r="AF114" i="21"/>
  <c r="AD114" i="21"/>
  <c r="T126" i="21"/>
  <c r="Z126" i="21"/>
  <c r="AF126" i="21"/>
  <c r="AD126" i="21"/>
  <c r="AB126" i="21"/>
  <c r="P144" i="21"/>
  <c r="AB151" i="21"/>
  <c r="P151" i="21"/>
  <c r="I151" i="21"/>
  <c r="AF151" i="21"/>
  <c r="H153" i="21"/>
  <c r="Z153" i="21"/>
  <c r="AD153" i="21"/>
  <c r="AB153" i="21"/>
  <c r="X153" i="21"/>
  <c r="P170" i="21"/>
  <c r="R173" i="21"/>
  <c r="X218" i="21"/>
  <c r="Z218" i="21"/>
  <c r="I218" i="21"/>
  <c r="AB218" i="21"/>
  <c r="V218" i="21"/>
  <c r="R218" i="21"/>
  <c r="T218" i="21"/>
  <c r="P218" i="21"/>
  <c r="AF218" i="21"/>
  <c r="AD218" i="21"/>
  <c r="R259" i="21"/>
  <c r="H290" i="21"/>
  <c r="X58" i="21"/>
  <c r="P124" i="21"/>
  <c r="I124" i="21"/>
  <c r="AF124" i="21"/>
  <c r="AD124" i="21"/>
  <c r="I153" i="21"/>
  <c r="I290" i="21"/>
  <c r="R55" i="21"/>
  <c r="Z42" i="21"/>
  <c r="AF55" i="21"/>
  <c r="H59" i="21"/>
  <c r="AB67" i="21"/>
  <c r="AF67" i="21"/>
  <c r="AD67" i="21"/>
  <c r="Z67" i="21"/>
  <c r="T67" i="21"/>
  <c r="X67" i="21"/>
  <c r="V67" i="21"/>
  <c r="P67" i="21"/>
  <c r="I67" i="21"/>
  <c r="I94" i="21"/>
  <c r="V107" i="21"/>
  <c r="X114" i="21"/>
  <c r="T124" i="21"/>
  <c r="R126" i="21"/>
  <c r="Z128" i="21"/>
  <c r="V151" i="21"/>
  <c r="T153" i="21"/>
  <c r="Z155" i="21"/>
  <c r="T158" i="21"/>
  <c r="R158" i="21"/>
  <c r="V158" i="21"/>
  <c r="P158" i="21"/>
  <c r="AF158" i="21"/>
  <c r="AD158" i="21"/>
  <c r="AB158" i="21"/>
  <c r="Z158" i="21"/>
  <c r="H158" i="21"/>
  <c r="X158" i="21"/>
  <c r="I158" i="21"/>
  <c r="AB167" i="21"/>
  <c r="Z167" i="21"/>
  <c r="V167" i="21"/>
  <c r="T167" i="21"/>
  <c r="AF167" i="21"/>
  <c r="AD167" i="21"/>
  <c r="X167" i="21"/>
  <c r="R167" i="21"/>
  <c r="AD170" i="21"/>
  <c r="H184" i="21"/>
  <c r="X186" i="21"/>
  <c r="I186" i="21"/>
  <c r="Z186" i="21"/>
  <c r="V186" i="21"/>
  <c r="R186" i="21"/>
  <c r="AB186" i="21"/>
  <c r="AF186" i="21"/>
  <c r="AD186" i="21"/>
  <c r="AD216" i="21"/>
  <c r="AB216" i="21"/>
  <c r="X216" i="21"/>
  <c r="V216" i="21"/>
  <c r="I216" i="21"/>
  <c r="Z216" i="21"/>
  <c r="T216" i="21"/>
  <c r="R216" i="21"/>
  <c r="AF216" i="21"/>
  <c r="P216" i="21"/>
  <c r="AF243" i="21"/>
  <c r="AD243" i="21"/>
  <c r="Z243" i="21"/>
  <c r="P243" i="21"/>
  <c r="AB243" i="21"/>
  <c r="P278" i="21"/>
  <c r="T282" i="21"/>
  <c r="AD290" i="21"/>
  <c r="H295" i="21"/>
  <c r="AF315" i="21"/>
  <c r="AD315" i="21"/>
  <c r="Z315" i="21"/>
  <c r="R315" i="21"/>
  <c r="T315" i="21"/>
  <c r="P315" i="21"/>
  <c r="AB315" i="21"/>
  <c r="X315" i="21"/>
  <c r="V315" i="21"/>
  <c r="X72" i="21"/>
  <c r="T72" i="21"/>
  <c r="R72" i="21"/>
  <c r="P72" i="21"/>
  <c r="AF72" i="21"/>
  <c r="AD72" i="21"/>
  <c r="H81" i="21"/>
  <c r="I81" i="21"/>
  <c r="V81" i="21"/>
  <c r="T81" i="21"/>
  <c r="R81" i="21"/>
  <c r="AF81" i="21"/>
  <c r="R94" i="21"/>
  <c r="Z114" i="21"/>
  <c r="V124" i="21"/>
  <c r="X151" i="21"/>
  <c r="AD155" i="21"/>
  <c r="H167" i="21"/>
  <c r="I184" i="21"/>
  <c r="T278" i="21"/>
  <c r="H45" i="21"/>
  <c r="X45" i="21"/>
  <c r="P45" i="21"/>
  <c r="I45" i="21"/>
  <c r="AF45" i="21"/>
  <c r="AD45" i="21"/>
  <c r="AB45" i="21"/>
  <c r="V45" i="21"/>
  <c r="T45" i="21"/>
  <c r="AB43" i="21"/>
  <c r="Z43" i="21"/>
  <c r="X43" i="21"/>
  <c r="AD43" i="21"/>
  <c r="V43" i="21"/>
  <c r="AF128" i="21"/>
  <c r="AF156" i="21"/>
  <c r="AD156" i="21"/>
  <c r="V156" i="21"/>
  <c r="AB156" i="21"/>
  <c r="T156" i="21"/>
  <c r="Z156" i="21"/>
  <c r="X156" i="21"/>
  <c r="P156" i="21"/>
  <c r="I156" i="21"/>
  <c r="H156" i="21"/>
  <c r="P167" i="21"/>
  <c r="T186" i="21"/>
  <c r="I207" i="21"/>
  <c r="H209" i="21"/>
  <c r="AF235" i="21"/>
  <c r="AD235" i="21"/>
  <c r="Z235" i="21"/>
  <c r="P235" i="21"/>
  <c r="AB235" i="21"/>
  <c r="V235" i="21"/>
  <c r="X235" i="21"/>
  <c r="R243" i="21"/>
  <c r="X250" i="21"/>
  <c r="V250" i="21"/>
  <c r="R250" i="21"/>
  <c r="AD250" i="21"/>
  <c r="I250" i="21"/>
  <c r="H250" i="21"/>
  <c r="AF250" i="21"/>
  <c r="AB250" i="21"/>
  <c r="Z250" i="21"/>
  <c r="T250" i="21"/>
  <c r="H283" i="21"/>
  <c r="AF316" i="21"/>
  <c r="V316" i="21"/>
  <c r="X316" i="21"/>
  <c r="T316" i="21"/>
  <c r="P316" i="21"/>
  <c r="AD316" i="21"/>
  <c r="AB316" i="21"/>
  <c r="Z316" i="21"/>
  <c r="R316" i="21"/>
  <c r="AB336" i="21"/>
  <c r="R336" i="21"/>
  <c r="T336" i="21"/>
  <c r="P336" i="21"/>
  <c r="H336" i="21"/>
  <c r="AD336" i="21"/>
  <c r="AF336" i="21"/>
  <c r="Z336" i="21"/>
  <c r="X336" i="21"/>
  <c r="V336" i="21"/>
  <c r="V38" i="21"/>
  <c r="AF38" i="21"/>
  <c r="AD38" i="21"/>
  <c r="AB38" i="21"/>
  <c r="X38" i="21"/>
  <c r="T38" i="21"/>
  <c r="T98" i="21"/>
  <c r="X98" i="21"/>
  <c r="I98" i="21"/>
  <c r="Z98" i="21"/>
  <c r="V98" i="21"/>
  <c r="R98" i="21"/>
  <c r="AD98" i="21"/>
  <c r="AB98" i="21"/>
  <c r="P98" i="21"/>
  <c r="H57" i="21"/>
  <c r="R57" i="21"/>
  <c r="P57" i="21"/>
  <c r="I57" i="21"/>
  <c r="AF57" i="21"/>
  <c r="AD57" i="21"/>
  <c r="P88" i="21"/>
  <c r="AF88" i="21"/>
  <c r="AD88" i="21"/>
  <c r="AB88" i="21"/>
  <c r="Z88" i="21"/>
  <c r="H90" i="21"/>
  <c r="H98" i="21"/>
  <c r="T130" i="21"/>
  <c r="AF130" i="21"/>
  <c r="P130" i="21"/>
  <c r="I130" i="21"/>
  <c r="H130" i="21"/>
  <c r="AB163" i="21"/>
  <c r="Z163" i="21"/>
  <c r="V163" i="21"/>
  <c r="I163" i="21"/>
  <c r="H163" i="21"/>
  <c r="AD163" i="21"/>
  <c r="X163" i="21"/>
  <c r="T163" i="21"/>
  <c r="AF307" i="21"/>
  <c r="AD307" i="21"/>
  <c r="Z307" i="21"/>
  <c r="X307" i="21"/>
  <c r="I307" i="21"/>
  <c r="T307" i="21"/>
  <c r="AB307" i="21"/>
  <c r="V307" i="21"/>
  <c r="R307" i="21"/>
  <c r="H41" i="21"/>
  <c r="R41" i="21"/>
  <c r="AF41" i="21"/>
  <c r="AD41" i="21"/>
  <c r="H73" i="21"/>
  <c r="AF73" i="21"/>
  <c r="AD73" i="21"/>
  <c r="AB73" i="21"/>
  <c r="T73" i="21"/>
  <c r="R73" i="21"/>
  <c r="P73" i="21"/>
  <c r="I73" i="21"/>
  <c r="T86" i="21"/>
  <c r="AD86" i="21"/>
  <c r="AF86" i="21"/>
  <c r="I90" i="21"/>
  <c r="R130" i="21"/>
  <c r="AD140" i="21"/>
  <c r="R140" i="21"/>
  <c r="P140" i="21"/>
  <c r="I140" i="21"/>
  <c r="AB140" i="21"/>
  <c r="Z140" i="21"/>
  <c r="X140" i="21"/>
  <c r="P163" i="21"/>
  <c r="I275" i="21"/>
  <c r="H307" i="21"/>
  <c r="R36" i="21"/>
  <c r="P36" i="21"/>
  <c r="AF36" i="21"/>
  <c r="AD36" i="21"/>
  <c r="X90" i="21"/>
  <c r="AB143" i="21"/>
  <c r="Z143" i="21"/>
  <c r="AD143" i="21"/>
  <c r="X143" i="21"/>
  <c r="V143" i="21"/>
  <c r="R143" i="21"/>
  <c r="P143" i="21"/>
  <c r="I143" i="21"/>
  <c r="H143" i="21"/>
  <c r="P233" i="21"/>
  <c r="I233" i="21"/>
  <c r="AB233" i="21"/>
  <c r="R233" i="21"/>
  <c r="AD233" i="21"/>
  <c r="AF233" i="21"/>
  <c r="Z233" i="21"/>
  <c r="X233" i="21"/>
  <c r="V233" i="21"/>
  <c r="AF263" i="21"/>
  <c r="AD263" i="21"/>
  <c r="Z263" i="21"/>
  <c r="T263" i="21"/>
  <c r="AB263" i="21"/>
  <c r="V263" i="21"/>
  <c r="X263" i="21"/>
  <c r="R263" i="21"/>
  <c r="P263" i="21"/>
  <c r="I270" i="21"/>
  <c r="H36" i="21"/>
  <c r="P41" i="21"/>
  <c r="T48" i="21"/>
  <c r="I48" i="21"/>
  <c r="H48" i="21"/>
  <c r="AD48" i="21"/>
  <c r="AB48" i="21"/>
  <c r="X57" i="21"/>
  <c r="AB63" i="21"/>
  <c r="R63" i="21"/>
  <c r="P63" i="21"/>
  <c r="I63" i="21"/>
  <c r="AD63" i="21"/>
  <c r="AF63" i="21"/>
  <c r="X63" i="21"/>
  <c r="V63" i="21"/>
  <c r="X73" i="21"/>
  <c r="I86" i="21"/>
  <c r="Z90" i="21"/>
  <c r="T106" i="21"/>
  <c r="AB106" i="21"/>
  <c r="Z106" i="21"/>
  <c r="X106" i="21"/>
  <c r="V106" i="21"/>
  <c r="R106" i="21"/>
  <c r="H106" i="21"/>
  <c r="P106" i="21"/>
  <c r="I106" i="21"/>
  <c r="T133" i="21"/>
  <c r="AF163" i="21"/>
  <c r="H233" i="21"/>
  <c r="H263" i="21"/>
  <c r="T270" i="21"/>
  <c r="I36" i="21"/>
  <c r="T41" i="21"/>
  <c r="P48" i="21"/>
  <c r="P86" i="21"/>
  <c r="AF90" i="21"/>
  <c r="H96" i="21"/>
  <c r="Z130" i="21"/>
  <c r="AF143" i="21"/>
  <c r="I263" i="21"/>
  <c r="T36" i="21"/>
  <c r="T78" i="21"/>
  <c r="P78" i="21"/>
  <c r="V78" i="21"/>
  <c r="R78" i="21"/>
  <c r="I78" i="21"/>
  <c r="AB78" i="21"/>
  <c r="AF78" i="21"/>
  <c r="AD78" i="21"/>
  <c r="X78" i="21"/>
  <c r="H78" i="21"/>
  <c r="V88" i="21"/>
  <c r="I96" i="21"/>
  <c r="AB130" i="21"/>
  <c r="I144" i="21"/>
  <c r="H144" i="21"/>
  <c r="AD144" i="21"/>
  <c r="AB144" i="21"/>
  <c r="Z144" i="21"/>
  <c r="AD180" i="21"/>
  <c r="V180" i="21"/>
  <c r="T180" i="21"/>
  <c r="P180" i="21"/>
  <c r="AF180" i="21"/>
  <c r="AB180" i="21"/>
  <c r="Z180" i="21"/>
  <c r="X180" i="21"/>
  <c r="R180" i="21"/>
  <c r="I180" i="21"/>
  <c r="H180" i="21"/>
  <c r="AF191" i="21"/>
  <c r="V191" i="21"/>
  <c r="I191" i="21"/>
  <c r="H191" i="21"/>
  <c r="AD191" i="21"/>
  <c r="AB191" i="21"/>
  <c r="Z191" i="21"/>
  <c r="I259" i="21"/>
  <c r="X294" i="21"/>
  <c r="V294" i="21"/>
  <c r="R294" i="21"/>
  <c r="AB294" i="21"/>
  <c r="Z294" i="21"/>
  <c r="T294" i="21"/>
  <c r="I294" i="21"/>
  <c r="AD294" i="21"/>
  <c r="Z328" i="21"/>
  <c r="I328" i="21"/>
  <c r="H328" i="21"/>
  <c r="V328" i="21"/>
  <c r="T328" i="21"/>
  <c r="AF328" i="21"/>
  <c r="AD328" i="21"/>
  <c r="AB328" i="21"/>
  <c r="X328" i="21"/>
  <c r="R328" i="21"/>
  <c r="P328" i="21"/>
  <c r="X36" i="21"/>
  <c r="Z41" i="21"/>
  <c r="X48" i="21"/>
  <c r="P55" i="21"/>
  <c r="H61" i="21"/>
  <c r="P61" i="21"/>
  <c r="AD61" i="21"/>
  <c r="AB61" i="21"/>
  <c r="Z61" i="21"/>
  <c r="X61" i="21"/>
  <c r="V61" i="21"/>
  <c r="Z66" i="21"/>
  <c r="AD76" i="21"/>
  <c r="AF76" i="21"/>
  <c r="AB76" i="21"/>
  <c r="Z76" i="21"/>
  <c r="X76" i="21"/>
  <c r="T76" i="21"/>
  <c r="R76" i="21"/>
  <c r="X86" i="21"/>
  <c r="X96" i="21"/>
  <c r="R103" i="21"/>
  <c r="P107" i="21"/>
  <c r="H114" i="21"/>
  <c r="H126" i="21"/>
  <c r="AB131" i="21"/>
  <c r="R131" i="21"/>
  <c r="P131" i="21"/>
  <c r="AF131" i="21"/>
  <c r="AD131" i="21"/>
  <c r="Z131" i="21"/>
  <c r="X131" i="21"/>
  <c r="T131" i="21"/>
  <c r="I131" i="21"/>
  <c r="H131" i="21"/>
  <c r="R144" i="21"/>
  <c r="H151" i="21"/>
  <c r="V170" i="21"/>
  <c r="Z173" i="21"/>
  <c r="R191" i="21"/>
  <c r="P205" i="21"/>
  <c r="AB205" i="21"/>
  <c r="Z205" i="21"/>
  <c r="R205" i="21"/>
  <c r="X205" i="21"/>
  <c r="V205" i="21"/>
  <c r="AF205" i="21"/>
  <c r="AD205" i="21"/>
  <c r="T205" i="21"/>
  <c r="I205" i="21"/>
  <c r="H205" i="21"/>
  <c r="H218" i="21"/>
  <c r="T259" i="21"/>
  <c r="X278" i="21"/>
  <c r="V278" i="21"/>
  <c r="R278" i="21"/>
  <c r="AF278" i="21"/>
  <c r="P294" i="21"/>
  <c r="AB36" i="21"/>
  <c r="AB59" i="21"/>
  <c r="AD59" i="21"/>
  <c r="Z59" i="21"/>
  <c r="X59" i="21"/>
  <c r="I76" i="21"/>
  <c r="AB86" i="21"/>
  <c r="T107" i="21"/>
  <c r="P126" i="21"/>
  <c r="I128" i="21"/>
  <c r="T151" i="21"/>
  <c r="X155" i="21"/>
  <c r="AD184" i="21"/>
  <c r="AB184" i="21"/>
  <c r="Z184" i="21"/>
  <c r="AF184" i="21"/>
  <c r="X184" i="21"/>
  <c r="X191" i="21"/>
  <c r="V37" i="21"/>
  <c r="AD42" i="21"/>
  <c r="AF56" i="21"/>
  <c r="X56" i="21"/>
  <c r="R56" i="21"/>
  <c r="V56" i="21"/>
  <c r="T56" i="21"/>
  <c r="I56" i="21"/>
  <c r="H56" i="21"/>
  <c r="AF61" i="21"/>
  <c r="H67" i="21"/>
  <c r="V76" i="21"/>
  <c r="X107" i="21"/>
  <c r="AD112" i="21"/>
  <c r="AB112" i="21"/>
  <c r="T112" i="21"/>
  <c r="AF112" i="21"/>
  <c r="H121" i="21"/>
  <c r="T121" i="21"/>
  <c r="R121" i="21"/>
  <c r="AB121" i="21"/>
  <c r="Z121" i="21"/>
  <c r="X121" i="21"/>
  <c r="AD121" i="21"/>
  <c r="V121" i="21"/>
  <c r="P121" i="21"/>
  <c r="I121" i="21"/>
  <c r="V126" i="21"/>
  <c r="AB128" i="21"/>
  <c r="AF144" i="21"/>
  <c r="V153" i="21"/>
  <c r="AB159" i="21"/>
  <c r="Z159" i="21"/>
  <c r="V159" i="21"/>
  <c r="T159" i="21"/>
  <c r="AF170" i="21"/>
  <c r="H186" i="21"/>
  <c r="H216" i="21"/>
  <c r="H243" i="21"/>
  <c r="AF282" i="21"/>
  <c r="AF290" i="21"/>
  <c r="T295" i="21"/>
  <c r="H315" i="21"/>
  <c r="X37" i="21"/>
  <c r="AF42" i="21"/>
  <c r="P56" i="21"/>
  <c r="P59" i="21"/>
  <c r="R67" i="21"/>
  <c r="H72" i="21"/>
  <c r="P81" i="21"/>
  <c r="AD35" i="21"/>
  <c r="AB35" i="21"/>
  <c r="Z35" i="21"/>
  <c r="X35" i="21"/>
  <c r="V35" i="21"/>
  <c r="R35" i="21"/>
  <c r="AD37" i="21"/>
  <c r="Z40" i="21"/>
  <c r="X40" i="21"/>
  <c r="AD40" i="21"/>
  <c r="AB40" i="21"/>
  <c r="V40" i="21"/>
  <c r="T40" i="21"/>
  <c r="P40" i="21"/>
  <c r="I40" i="21"/>
  <c r="R45" i="21"/>
  <c r="Z52" i="21"/>
  <c r="AB52" i="21"/>
  <c r="X52" i="21"/>
  <c r="V52" i="21"/>
  <c r="AD52" i="21"/>
  <c r="AF52" i="21"/>
  <c r="R52" i="21"/>
  <c r="P52" i="21"/>
  <c r="Z56" i="21"/>
  <c r="R59" i="21"/>
  <c r="T70" i="21"/>
  <c r="AF70" i="21"/>
  <c r="AD70" i="21"/>
  <c r="AB70" i="21"/>
  <c r="I72" i="21"/>
  <c r="X81" i="21"/>
  <c r="AF108" i="21"/>
  <c r="I112" i="21"/>
  <c r="T122" i="21"/>
  <c r="AD122" i="21"/>
  <c r="AB122" i="21"/>
  <c r="R122" i="21"/>
  <c r="AF122" i="21"/>
  <c r="Z124" i="21"/>
  <c r="AB135" i="21"/>
  <c r="X135" i="21"/>
  <c r="V135" i="21"/>
  <c r="I135" i="21"/>
  <c r="T135" i="21"/>
  <c r="R135" i="21"/>
  <c r="P135" i="21"/>
  <c r="AD135" i="21"/>
  <c r="Z135" i="21"/>
  <c r="H135" i="21"/>
  <c r="I149" i="21"/>
  <c r="AD151" i="21"/>
  <c r="I159" i="21"/>
  <c r="H35" i="21"/>
  <c r="AF37" i="21"/>
  <c r="H40" i="21"/>
  <c r="H43" i="21"/>
  <c r="Z45" i="21"/>
  <c r="T50" i="21"/>
  <c r="AF50" i="21"/>
  <c r="AD50" i="21"/>
  <c r="Z50" i="21"/>
  <c r="X50" i="21"/>
  <c r="H52" i="21"/>
  <c r="AB56" i="21"/>
  <c r="T59" i="21"/>
  <c r="H70" i="21"/>
  <c r="V72" i="21"/>
  <c r="Z81" i="21"/>
  <c r="H105" i="21"/>
  <c r="AB105" i="21"/>
  <c r="Z105" i="21"/>
  <c r="R105" i="21"/>
  <c r="AF105" i="21"/>
  <c r="AD105" i="21"/>
  <c r="X105" i="21"/>
  <c r="H109" i="21"/>
  <c r="AF109" i="21"/>
  <c r="X109" i="21"/>
  <c r="AD109" i="21"/>
  <c r="AB109" i="21"/>
  <c r="P112" i="21"/>
  <c r="H122" i="21"/>
  <c r="AB124" i="21"/>
  <c r="AF135" i="21"/>
  <c r="T146" i="21"/>
  <c r="AF146" i="21"/>
  <c r="X146" i="21"/>
  <c r="AD146" i="21"/>
  <c r="AB146" i="21"/>
  <c r="P149" i="21"/>
  <c r="R156" i="21"/>
  <c r="P159" i="21"/>
  <c r="T184" i="21"/>
  <c r="P207" i="21"/>
  <c r="Z209" i="21"/>
  <c r="P229" i="21"/>
  <c r="I229" i="21"/>
  <c r="H229" i="21"/>
  <c r="Z229" i="21"/>
  <c r="V229" i="21"/>
  <c r="T229" i="21"/>
  <c r="R229" i="21"/>
  <c r="H235" i="21"/>
  <c r="T239" i="21"/>
  <c r="T243" i="21"/>
  <c r="P250" i="21"/>
  <c r="AD278" i="21"/>
  <c r="I283" i="21"/>
  <c r="AF311" i="21"/>
  <c r="AD311" i="21"/>
  <c r="Z311" i="21"/>
  <c r="V311" i="21"/>
  <c r="T311" i="21"/>
  <c r="P311" i="21"/>
  <c r="AB311" i="21"/>
  <c r="H311" i="21"/>
  <c r="X311" i="21"/>
  <c r="R311" i="21"/>
  <c r="H316" i="21"/>
  <c r="I336" i="21"/>
  <c r="AB119" i="21"/>
  <c r="AF119" i="21"/>
  <c r="V119" i="21"/>
  <c r="AD119" i="21"/>
  <c r="H129" i="21"/>
  <c r="AF129" i="21"/>
  <c r="AD129" i="21"/>
  <c r="V129" i="21"/>
  <c r="AD192" i="21"/>
  <c r="Z192" i="21"/>
  <c r="X192" i="21"/>
  <c r="T192" i="21"/>
  <c r="AF192" i="21"/>
  <c r="AB192" i="21"/>
  <c r="I192" i="21"/>
  <c r="AF199" i="21"/>
  <c r="V199" i="21"/>
  <c r="X199" i="21"/>
  <c r="AD212" i="21"/>
  <c r="V212" i="21"/>
  <c r="T212" i="21"/>
  <c r="P212" i="21"/>
  <c r="X212" i="21"/>
  <c r="AF212" i="21"/>
  <c r="AB212" i="21"/>
  <c r="Z212" i="21"/>
  <c r="AD244" i="21"/>
  <c r="T244" i="21"/>
  <c r="Z244" i="21"/>
  <c r="X244" i="21"/>
  <c r="R244" i="21"/>
  <c r="V244" i="21"/>
  <c r="P244" i="21"/>
  <c r="AF244" i="21"/>
  <c r="AB244" i="21"/>
  <c r="AB71" i="21"/>
  <c r="I71" i="21"/>
  <c r="H85" i="21"/>
  <c r="T85" i="21"/>
  <c r="AF85" i="21"/>
  <c r="AD85" i="21"/>
  <c r="AB85" i="21"/>
  <c r="H113" i="21"/>
  <c r="AD113" i="21"/>
  <c r="R113" i="21"/>
  <c r="P113" i="21"/>
  <c r="I113" i="21"/>
  <c r="H119" i="21"/>
  <c r="AB123" i="21"/>
  <c r="AD123" i="21"/>
  <c r="T123" i="21"/>
  <c r="R123" i="21"/>
  <c r="P123" i="21"/>
  <c r="I129" i="21"/>
  <c r="T150" i="21"/>
  <c r="AD150" i="21"/>
  <c r="R150" i="21"/>
  <c r="P150" i="21"/>
  <c r="I150" i="21"/>
  <c r="H192" i="21"/>
  <c r="H199" i="21"/>
  <c r="P201" i="21"/>
  <c r="AD201" i="21"/>
  <c r="AB201" i="21"/>
  <c r="X201" i="21"/>
  <c r="T201" i="21"/>
  <c r="X210" i="21"/>
  <c r="I210" i="21"/>
  <c r="AF210" i="21"/>
  <c r="AB210" i="21"/>
  <c r="Z210" i="21"/>
  <c r="AD210" i="21"/>
  <c r="V210" i="21"/>
  <c r="H212" i="21"/>
  <c r="H244" i="21"/>
  <c r="AF251" i="21"/>
  <c r="AD251" i="21"/>
  <c r="Z251" i="21"/>
  <c r="P251" i="21"/>
  <c r="X251" i="21"/>
  <c r="V251" i="21"/>
  <c r="R251" i="21"/>
  <c r="AF255" i="21"/>
  <c r="AD255" i="21"/>
  <c r="Z255" i="21"/>
  <c r="V255" i="21"/>
  <c r="I255" i="21"/>
  <c r="H255" i="21"/>
  <c r="AB255" i="21"/>
  <c r="X266" i="21"/>
  <c r="V266" i="21"/>
  <c r="R266" i="21"/>
  <c r="Z266" i="21"/>
  <c r="AF266" i="21"/>
  <c r="AF271" i="21"/>
  <c r="AD271" i="21"/>
  <c r="Z271" i="21"/>
  <c r="AB271" i="21"/>
  <c r="P271" i="21"/>
  <c r="V271" i="21"/>
  <c r="X271" i="21"/>
  <c r="X338" i="21"/>
  <c r="V338" i="21"/>
  <c r="R338" i="21"/>
  <c r="H338" i="21"/>
  <c r="AD338" i="21"/>
  <c r="AF338" i="21"/>
  <c r="H69" i="21"/>
  <c r="AB69" i="21"/>
  <c r="T69" i="21"/>
  <c r="R69" i="21"/>
  <c r="P69" i="21"/>
  <c r="H71" i="21"/>
  <c r="T82" i="21"/>
  <c r="X82" i="21"/>
  <c r="AF82" i="21"/>
  <c r="AD82" i="21"/>
  <c r="I85" i="21"/>
  <c r="AB87" i="21"/>
  <c r="T87" i="21"/>
  <c r="R87" i="21"/>
  <c r="P87" i="21"/>
  <c r="H89" i="21"/>
  <c r="Z89" i="21"/>
  <c r="T113" i="21"/>
  <c r="I119" i="21"/>
  <c r="H123" i="21"/>
  <c r="P129" i="21"/>
  <c r="H150" i="21"/>
  <c r="X174" i="21"/>
  <c r="Z174" i="21"/>
  <c r="V174" i="21"/>
  <c r="R174" i="21"/>
  <c r="AD174" i="21"/>
  <c r="AB174" i="21"/>
  <c r="H174" i="21"/>
  <c r="AF187" i="21"/>
  <c r="V187" i="21"/>
  <c r="AD187" i="21"/>
  <c r="I187" i="21"/>
  <c r="H187" i="21"/>
  <c r="T187" i="21"/>
  <c r="R187" i="21"/>
  <c r="P187" i="21"/>
  <c r="P192" i="21"/>
  <c r="I199" i="21"/>
  <c r="H201" i="21"/>
  <c r="AF203" i="21"/>
  <c r="V203" i="21"/>
  <c r="R203" i="21"/>
  <c r="P203" i="21"/>
  <c r="H203" i="21"/>
  <c r="AD203" i="21"/>
  <c r="T203" i="21"/>
  <c r="H210" i="21"/>
  <c r="I212" i="21"/>
  <c r="AF223" i="21"/>
  <c r="AD223" i="21"/>
  <c r="H223" i="21"/>
  <c r="X223" i="21"/>
  <c r="V223" i="21"/>
  <c r="R223" i="21"/>
  <c r="T223" i="21"/>
  <c r="Z228" i="21"/>
  <c r="AD228" i="21"/>
  <c r="AB228" i="21"/>
  <c r="V228" i="21"/>
  <c r="I228" i="21"/>
  <c r="H228" i="21"/>
  <c r="AF231" i="21"/>
  <c r="AD231" i="21"/>
  <c r="Z231" i="21"/>
  <c r="X231" i="21"/>
  <c r="V231" i="21"/>
  <c r="T231" i="21"/>
  <c r="R231" i="21"/>
  <c r="I244" i="21"/>
  <c r="H251" i="21"/>
  <c r="P255" i="21"/>
  <c r="H266" i="21"/>
  <c r="H271" i="21"/>
  <c r="I338" i="21"/>
  <c r="AB296" i="21"/>
  <c r="R296" i="21"/>
  <c r="V296" i="21"/>
  <c r="T296" i="21"/>
  <c r="I296" i="21"/>
  <c r="AF296" i="21"/>
  <c r="X296" i="21"/>
  <c r="P296" i="21"/>
  <c r="H296" i="21"/>
  <c r="T62" i="21"/>
  <c r="Z62" i="21"/>
  <c r="AB91" i="21"/>
  <c r="T91" i="21"/>
  <c r="H91" i="21"/>
  <c r="AF91" i="21"/>
  <c r="AB99" i="21"/>
  <c r="X99" i="21"/>
  <c r="R104" i="21"/>
  <c r="P104" i="21"/>
  <c r="AF104" i="21"/>
  <c r="AD104" i="21"/>
  <c r="AB104" i="21"/>
  <c r="T129" i="21"/>
  <c r="H141" i="21"/>
  <c r="R141" i="21"/>
  <c r="P141" i="21"/>
  <c r="AF141" i="21"/>
  <c r="AD141" i="21"/>
  <c r="AF172" i="21"/>
  <c r="AD172" i="21"/>
  <c r="AB172" i="21"/>
  <c r="T172" i="21"/>
  <c r="R199" i="21"/>
  <c r="Z296" i="21"/>
  <c r="X304" i="21"/>
  <c r="I304" i="21"/>
  <c r="AD304" i="21"/>
  <c r="AB304" i="21"/>
  <c r="V304" i="21"/>
  <c r="T304" i="21"/>
  <c r="R304" i="21"/>
  <c r="H324" i="21"/>
  <c r="H44" i="21"/>
  <c r="I49" i="21"/>
  <c r="H60" i="21"/>
  <c r="H62" i="21"/>
  <c r="T71" i="21"/>
  <c r="V85" i="21"/>
  <c r="I91" i="21"/>
  <c r="H93" i="21"/>
  <c r="AF93" i="21"/>
  <c r="Z93" i="21"/>
  <c r="X93" i="21"/>
  <c r="V93" i="21"/>
  <c r="P97" i="21"/>
  <c r="H99" i="21"/>
  <c r="T102" i="21"/>
  <c r="AF102" i="21"/>
  <c r="AD102" i="21"/>
  <c r="V102" i="21"/>
  <c r="H104" i="21"/>
  <c r="Z113" i="21"/>
  <c r="T119" i="21"/>
  <c r="X123" i="21"/>
  <c r="X129" i="21"/>
  <c r="H136" i="21"/>
  <c r="H139" i="21"/>
  <c r="I141" i="21"/>
  <c r="P145" i="21"/>
  <c r="Z150" i="21"/>
  <c r="T166" i="21"/>
  <c r="R166" i="21"/>
  <c r="I166" i="21"/>
  <c r="V166" i="21"/>
  <c r="P166" i="21"/>
  <c r="H172" i="21"/>
  <c r="X190" i="21"/>
  <c r="I190" i="21"/>
  <c r="AF190" i="21"/>
  <c r="AD190" i="21"/>
  <c r="AB190" i="21"/>
  <c r="R190" i="21"/>
  <c r="P193" i="21"/>
  <c r="AF193" i="21"/>
  <c r="AD193" i="21"/>
  <c r="AB193" i="21"/>
  <c r="AF195" i="21"/>
  <c r="V195" i="21"/>
  <c r="AB195" i="21"/>
  <c r="Z195" i="21"/>
  <c r="T195" i="21"/>
  <c r="AD195" i="21"/>
  <c r="T199" i="21"/>
  <c r="V201" i="21"/>
  <c r="T210" i="21"/>
  <c r="Z223" i="21"/>
  <c r="AB251" i="21"/>
  <c r="X255" i="21"/>
  <c r="T266" i="21"/>
  <c r="T271" i="21"/>
  <c r="AD296" i="21"/>
  <c r="H304" i="21"/>
  <c r="X322" i="21"/>
  <c r="V322" i="21"/>
  <c r="R322" i="21"/>
  <c r="T322" i="21"/>
  <c r="AD322" i="21"/>
  <c r="Z322" i="21"/>
  <c r="P322" i="21"/>
  <c r="P324" i="21"/>
  <c r="Z338" i="21"/>
  <c r="P44" i="21"/>
  <c r="I62" i="21"/>
  <c r="H64" i="21"/>
  <c r="AD64" i="21"/>
  <c r="AB64" i="21"/>
  <c r="Z64" i="21"/>
  <c r="Z69" i="21"/>
  <c r="V71" i="21"/>
  <c r="AB75" i="21"/>
  <c r="T75" i="21"/>
  <c r="R75" i="21"/>
  <c r="P75" i="21"/>
  <c r="I75" i="21"/>
  <c r="I77" i="21"/>
  <c r="R82" i="21"/>
  <c r="X85" i="21"/>
  <c r="X87" i="21"/>
  <c r="T89" i="21"/>
  <c r="P91" i="21"/>
  <c r="I93" i="21"/>
  <c r="AB95" i="21"/>
  <c r="Z95" i="21"/>
  <c r="R95" i="21"/>
  <c r="P95" i="21"/>
  <c r="I95" i="21"/>
  <c r="H95" i="21"/>
  <c r="I99" i="21"/>
  <c r="H102" i="21"/>
  <c r="I104" i="21"/>
  <c r="AB113" i="21"/>
  <c r="X119" i="21"/>
  <c r="Z123" i="21"/>
  <c r="Z129" i="21"/>
  <c r="T134" i="21"/>
  <c r="I134" i="21"/>
  <c r="H134" i="21"/>
  <c r="T141" i="21"/>
  <c r="AB150" i="21"/>
  <c r="H166" i="21"/>
  <c r="I172" i="21"/>
  <c r="AF174" i="21"/>
  <c r="AD188" i="21"/>
  <c r="I188" i="21"/>
  <c r="H188" i="21"/>
  <c r="AF188" i="21"/>
  <c r="V188" i="21"/>
  <c r="H190" i="21"/>
  <c r="H193" i="21"/>
  <c r="H195" i="21"/>
  <c r="Z199" i="21"/>
  <c r="Z201" i="21"/>
  <c r="AB203" i="21"/>
  <c r="AB223" i="21"/>
  <c r="X228" i="21"/>
  <c r="AB231" i="21"/>
  <c r="I256" i="21"/>
  <c r="AF256" i="21"/>
  <c r="AD256" i="21"/>
  <c r="Z256" i="21"/>
  <c r="T256" i="21"/>
  <c r="R256" i="21"/>
  <c r="X258" i="21"/>
  <c r="V258" i="21"/>
  <c r="R258" i="21"/>
  <c r="AD258" i="21"/>
  <c r="Z258" i="21"/>
  <c r="T258" i="21"/>
  <c r="I258" i="21"/>
  <c r="P258" i="21"/>
  <c r="H258" i="21"/>
  <c r="AB266" i="21"/>
  <c r="X302" i="21"/>
  <c r="V302" i="21"/>
  <c r="R302" i="21"/>
  <c r="T302" i="21"/>
  <c r="AD302" i="21"/>
  <c r="Z302" i="21"/>
  <c r="P302" i="21"/>
  <c r="P304" i="21"/>
  <c r="X310" i="21"/>
  <c r="V310" i="21"/>
  <c r="R310" i="21"/>
  <c r="AD310" i="21"/>
  <c r="I310" i="21"/>
  <c r="X314" i="21"/>
  <c r="V314" i="21"/>
  <c r="R314" i="21"/>
  <c r="AF314" i="21"/>
  <c r="AB314" i="21"/>
  <c r="Z314" i="21"/>
  <c r="P314" i="21"/>
  <c r="AD314" i="21"/>
  <c r="H322" i="21"/>
  <c r="X334" i="21"/>
  <c r="V334" i="21"/>
  <c r="R334" i="21"/>
  <c r="AB334" i="21"/>
  <c r="T334" i="21"/>
  <c r="P334" i="21"/>
  <c r="H334" i="21"/>
  <c r="AF334" i="21"/>
  <c r="AD334" i="21"/>
  <c r="AB338" i="21"/>
  <c r="X324" i="21"/>
  <c r="I324" i="21"/>
  <c r="AD324" i="21"/>
  <c r="AB324" i="21"/>
  <c r="V324" i="21"/>
  <c r="T324" i="21"/>
  <c r="R324" i="21"/>
  <c r="H49" i="21"/>
  <c r="AD49" i="21"/>
  <c r="Z49" i="21"/>
  <c r="X49" i="21"/>
  <c r="V49" i="21"/>
  <c r="R60" i="21"/>
  <c r="P60" i="21"/>
  <c r="I60" i="21"/>
  <c r="H97" i="21"/>
  <c r="I97" i="21"/>
  <c r="R119" i="21"/>
  <c r="AF136" i="21"/>
  <c r="X136" i="21"/>
  <c r="AB139" i="21"/>
  <c r="AF139" i="21"/>
  <c r="AD139" i="21"/>
  <c r="T139" i="21"/>
  <c r="H145" i="21"/>
  <c r="X145" i="21"/>
  <c r="V145" i="21"/>
  <c r="I145" i="21"/>
  <c r="Z145" i="21"/>
  <c r="T145" i="21"/>
  <c r="R145" i="21"/>
  <c r="V192" i="21"/>
  <c r="AB39" i="21"/>
  <c r="AF39" i="21"/>
  <c r="I39" i="21"/>
  <c r="H39" i="21"/>
  <c r="R44" i="21"/>
  <c r="T46" i="21"/>
  <c r="AB46" i="21"/>
  <c r="Z46" i="21"/>
  <c r="R49" i="21"/>
  <c r="V60" i="21"/>
  <c r="P62" i="21"/>
  <c r="AD69" i="21"/>
  <c r="X71" i="21"/>
  <c r="P77" i="21"/>
  <c r="AB79" i="21"/>
  <c r="Z79" i="21"/>
  <c r="AF79" i="21"/>
  <c r="AD79" i="21"/>
  <c r="V82" i="21"/>
  <c r="Z85" i="21"/>
  <c r="Z87" i="21"/>
  <c r="V89" i="21"/>
  <c r="R91" i="21"/>
  <c r="P93" i="21"/>
  <c r="T97" i="21"/>
  <c r="P99" i="21"/>
  <c r="I102" i="21"/>
  <c r="T104" i="21"/>
  <c r="AF113" i="21"/>
  <c r="Z116" i="21"/>
  <c r="AB116" i="21"/>
  <c r="X116" i="21"/>
  <c r="V116" i="21"/>
  <c r="Z119" i="21"/>
  <c r="AF123" i="21"/>
  <c r="AB129" i="21"/>
  <c r="P136" i="21"/>
  <c r="P139" i="21"/>
  <c r="V141" i="21"/>
  <c r="AD145" i="21"/>
  <c r="AF150" i="21"/>
  <c r="X166" i="21"/>
  <c r="P172" i="21"/>
  <c r="AF175" i="21"/>
  <c r="AB175" i="21"/>
  <c r="AD175" i="21"/>
  <c r="V175" i="21"/>
  <c r="T175" i="21"/>
  <c r="R175" i="21"/>
  <c r="P190" i="21"/>
  <c r="I193" i="21"/>
  <c r="I195" i="21"/>
  <c r="AB199" i="21"/>
  <c r="AF201" i="21"/>
  <c r="X206" i="21"/>
  <c r="I206" i="21"/>
  <c r="T206" i="21"/>
  <c r="R206" i="21"/>
  <c r="H206" i="21"/>
  <c r="AB206" i="21"/>
  <c r="Z206" i="21"/>
  <c r="V206" i="21"/>
  <c r="AF215" i="21"/>
  <c r="V215" i="21"/>
  <c r="X215" i="21"/>
  <c r="T215" i="21"/>
  <c r="P215" i="21"/>
  <c r="X224" i="21"/>
  <c r="I224" i="21"/>
  <c r="P224" i="21"/>
  <c r="H224" i="21"/>
  <c r="AF224" i="21"/>
  <c r="AD224" i="21"/>
  <c r="AB224" i="21"/>
  <c r="AF228" i="21"/>
  <c r="P232" i="21"/>
  <c r="T232" i="21"/>
  <c r="R232" i="21"/>
  <c r="H232" i="21"/>
  <c r="X232" i="21"/>
  <c r="V232" i="21"/>
  <c r="AD266" i="21"/>
  <c r="H302" i="21"/>
  <c r="Z304" i="21"/>
  <c r="H310" i="21"/>
  <c r="H314" i="21"/>
  <c r="I322" i="21"/>
  <c r="AF324" i="21"/>
  <c r="I334" i="21"/>
  <c r="AB51" i="21"/>
  <c r="P51" i="21"/>
  <c r="T54" i="21"/>
  <c r="H54" i="21"/>
  <c r="T118" i="21"/>
  <c r="X118" i="21"/>
  <c r="V118" i="21"/>
  <c r="H118" i="21"/>
  <c r="AD164" i="21"/>
  <c r="AB164" i="21"/>
  <c r="Z164" i="21"/>
  <c r="R164" i="21"/>
  <c r="AF171" i="21"/>
  <c r="AB171" i="21"/>
  <c r="Z171" i="21"/>
  <c r="V171" i="21"/>
  <c r="I171" i="21"/>
  <c r="H171" i="21"/>
  <c r="P177" i="21"/>
  <c r="V177" i="21"/>
  <c r="T177" i="21"/>
  <c r="I177" i="21"/>
  <c r="Z177" i="21"/>
  <c r="AF267" i="21"/>
  <c r="AD267" i="21"/>
  <c r="Z267" i="21"/>
  <c r="H267" i="21"/>
  <c r="P267" i="21"/>
  <c r="I267" i="21"/>
  <c r="V267" i="21"/>
  <c r="H51" i="21"/>
  <c r="I54" i="21"/>
  <c r="AD92" i="21"/>
  <c r="V92" i="21"/>
  <c r="I118" i="21"/>
  <c r="H125" i="21"/>
  <c r="Z125" i="21"/>
  <c r="X125" i="21"/>
  <c r="P125" i="21"/>
  <c r="Z152" i="21"/>
  <c r="X152" i="21"/>
  <c r="P152" i="21"/>
  <c r="T162" i="21"/>
  <c r="R162" i="21"/>
  <c r="I162" i="21"/>
  <c r="AB162" i="21"/>
  <c r="H164" i="21"/>
  <c r="P171" i="21"/>
  <c r="H177" i="21"/>
  <c r="P181" i="21"/>
  <c r="AF181" i="21"/>
  <c r="AB181" i="21"/>
  <c r="Z181" i="21"/>
  <c r="X181" i="21"/>
  <c r="I181" i="21"/>
  <c r="AF183" i="21"/>
  <c r="V183" i="21"/>
  <c r="X183" i="21"/>
  <c r="T183" i="21"/>
  <c r="P183" i="21"/>
  <c r="Z183" i="21"/>
  <c r="R183" i="21"/>
  <c r="AD196" i="21"/>
  <c r="V196" i="21"/>
  <c r="T196" i="21"/>
  <c r="H196" i="21"/>
  <c r="R267" i="21"/>
  <c r="AD272" i="21"/>
  <c r="V272" i="21"/>
  <c r="T272" i="21"/>
  <c r="P272" i="21"/>
  <c r="R272" i="21"/>
  <c r="I272" i="21"/>
  <c r="AF327" i="21"/>
  <c r="AD327" i="21"/>
  <c r="Z327" i="21"/>
  <c r="V327" i="21"/>
  <c r="H327" i="21"/>
  <c r="AB327" i="21"/>
  <c r="X327" i="21"/>
  <c r="AF339" i="21"/>
  <c r="AD339" i="21"/>
  <c r="Z339" i="21"/>
  <c r="AB339" i="21"/>
  <c r="P339" i="21"/>
  <c r="X339" i="21"/>
  <c r="V339" i="21"/>
  <c r="R339" i="21"/>
  <c r="T339" i="21"/>
  <c r="I339" i="21"/>
  <c r="I51" i="21"/>
  <c r="P54" i="21"/>
  <c r="H92" i="21"/>
  <c r="AB115" i="21"/>
  <c r="Z115" i="21"/>
  <c r="X115" i="21"/>
  <c r="P115" i="21"/>
  <c r="P118" i="21"/>
  <c r="I125" i="21"/>
  <c r="AB132" i="21"/>
  <c r="Z132" i="21"/>
  <c r="R132" i="21"/>
  <c r="T142" i="21"/>
  <c r="AB142" i="21"/>
  <c r="Z142" i="21"/>
  <c r="P142" i="21"/>
  <c r="H152" i="21"/>
  <c r="H162" i="21"/>
  <c r="I164" i="21"/>
  <c r="R171" i="21"/>
  <c r="R177" i="21"/>
  <c r="H181" i="21"/>
  <c r="H183" i="21"/>
  <c r="I196" i="21"/>
  <c r="X198" i="21"/>
  <c r="I198" i="21"/>
  <c r="AD198" i="21"/>
  <c r="AB198" i="21"/>
  <c r="V198" i="21"/>
  <c r="P198" i="21"/>
  <c r="H198" i="21"/>
  <c r="AF219" i="21"/>
  <c r="X219" i="21"/>
  <c r="AB219" i="21"/>
  <c r="X238" i="21"/>
  <c r="V238" i="21"/>
  <c r="R238" i="21"/>
  <c r="T238" i="21"/>
  <c r="I238" i="21"/>
  <c r="H238" i="21"/>
  <c r="AF247" i="21"/>
  <c r="AD247" i="21"/>
  <c r="Z247" i="21"/>
  <c r="V247" i="21"/>
  <c r="T267" i="21"/>
  <c r="H272" i="21"/>
  <c r="I292" i="21"/>
  <c r="AF292" i="21"/>
  <c r="AB292" i="21"/>
  <c r="Z292" i="21"/>
  <c r="I327" i="21"/>
  <c r="AF335" i="21"/>
  <c r="AD335" i="21"/>
  <c r="Z335" i="21"/>
  <c r="I335" i="21"/>
  <c r="X335" i="21"/>
  <c r="V335" i="21"/>
  <c r="H335" i="21"/>
  <c r="H339" i="21"/>
  <c r="X194" i="21"/>
  <c r="I194" i="21"/>
  <c r="P194" i="21"/>
  <c r="H194" i="21"/>
  <c r="I240" i="21"/>
  <c r="AD240" i="21"/>
  <c r="AD252" i="21"/>
  <c r="T252" i="21"/>
  <c r="AD260" i="21"/>
  <c r="T260" i="21"/>
  <c r="V260" i="21"/>
  <c r="R260" i="21"/>
  <c r="I260" i="21"/>
  <c r="AF279" i="21"/>
  <c r="AD279" i="21"/>
  <c r="Z279" i="21"/>
  <c r="V279" i="21"/>
  <c r="H279" i="21"/>
  <c r="P279" i="21"/>
  <c r="I279" i="21"/>
  <c r="AF287" i="21"/>
  <c r="AD287" i="21"/>
  <c r="Z287" i="21"/>
  <c r="R287" i="21"/>
  <c r="AB287" i="21"/>
  <c r="V287" i="21"/>
  <c r="X178" i="21"/>
  <c r="I178" i="21"/>
  <c r="AF178" i="21"/>
  <c r="AB178" i="21"/>
  <c r="AD200" i="21"/>
  <c r="R200" i="21"/>
  <c r="P200" i="21"/>
  <c r="H200" i="21"/>
  <c r="X202" i="21"/>
  <c r="I202" i="21"/>
  <c r="P213" i="21"/>
  <c r="AF213" i="21"/>
  <c r="AB213" i="21"/>
  <c r="X222" i="21"/>
  <c r="V222" i="21"/>
  <c r="Z222" i="21"/>
  <c r="X226" i="21"/>
  <c r="V226" i="21"/>
  <c r="H226" i="21"/>
  <c r="AD226" i="21"/>
  <c r="X230" i="21"/>
  <c r="V230" i="21"/>
  <c r="AB230" i="21"/>
  <c r="I230" i="21"/>
  <c r="Z230" i="21"/>
  <c r="T230" i="21"/>
  <c r="P230" i="21"/>
  <c r="X242" i="21"/>
  <c r="V242" i="21"/>
  <c r="R242" i="21"/>
  <c r="AD242" i="21"/>
  <c r="AF242" i="21"/>
  <c r="AB242" i="21"/>
  <c r="T242" i="21"/>
  <c r="X254" i="21"/>
  <c r="V254" i="21"/>
  <c r="R254" i="21"/>
  <c r="T254" i="21"/>
  <c r="AF254" i="21"/>
  <c r="AF299" i="21"/>
  <c r="AD299" i="21"/>
  <c r="Z299" i="21"/>
  <c r="R299" i="21"/>
  <c r="AB299" i="21"/>
  <c r="V299" i="21"/>
  <c r="AF319" i="21"/>
  <c r="AD319" i="21"/>
  <c r="Z319" i="21"/>
  <c r="T319" i="21"/>
  <c r="AB319" i="21"/>
  <c r="V319" i="21"/>
  <c r="X326" i="21"/>
  <c r="V326" i="21"/>
  <c r="R326" i="21"/>
  <c r="I326" i="21"/>
  <c r="H326" i="21"/>
  <c r="P189" i="21"/>
  <c r="Z189" i="21"/>
  <c r="X189" i="21"/>
  <c r="T189" i="21"/>
  <c r="AD204" i="21"/>
  <c r="AF204" i="21"/>
  <c r="AB204" i="21"/>
  <c r="X204" i="21"/>
  <c r="Z280" i="21"/>
  <c r="AF280" i="21"/>
  <c r="AB280" i="21"/>
  <c r="R284" i="21"/>
  <c r="X284" i="21"/>
  <c r="V284" i="21"/>
  <c r="P284" i="21"/>
  <c r="P332" i="21"/>
  <c r="AF332" i="21"/>
  <c r="AB332" i="21"/>
  <c r="P225" i="21"/>
  <c r="I225" i="21"/>
  <c r="Z225" i="21"/>
  <c r="X246" i="21"/>
  <c r="V246" i="21"/>
  <c r="R246" i="21"/>
  <c r="T246" i="21"/>
  <c r="AF291" i="21"/>
  <c r="AD291" i="21"/>
  <c r="Z291" i="21"/>
  <c r="V291" i="21"/>
  <c r="AF331" i="21"/>
  <c r="AD331" i="21"/>
  <c r="Z331" i="21"/>
  <c r="X331" i="21"/>
  <c r="I197" i="21"/>
  <c r="P220" i="21"/>
  <c r="R225" i="21"/>
  <c r="AF227" i="21"/>
  <c r="AD227" i="21"/>
  <c r="X227" i="21"/>
  <c r="I227" i="21"/>
  <c r="X234" i="21"/>
  <c r="V234" i="21"/>
  <c r="AD234" i="21"/>
  <c r="I246" i="21"/>
  <c r="P248" i="21"/>
  <c r="I291" i="21"/>
  <c r="AF179" i="21"/>
  <c r="V179" i="21"/>
  <c r="X182" i="21"/>
  <c r="I182" i="21"/>
  <c r="H185" i="21"/>
  <c r="R197" i="21"/>
  <c r="AF211" i="21"/>
  <c r="V211" i="21"/>
  <c r="X214" i="21"/>
  <c r="I214" i="21"/>
  <c r="H217" i="21"/>
  <c r="R220" i="21"/>
  <c r="T225" i="21"/>
  <c r="H227" i="21"/>
  <c r="H234" i="21"/>
  <c r="AD236" i="21"/>
  <c r="T236" i="21"/>
  <c r="P246" i="21"/>
  <c r="R248" i="21"/>
  <c r="X262" i="21"/>
  <c r="V262" i="21"/>
  <c r="R262" i="21"/>
  <c r="P262" i="21"/>
  <c r="X274" i="21"/>
  <c r="V274" i="21"/>
  <c r="R274" i="21"/>
  <c r="AF274" i="21"/>
  <c r="P274" i="21"/>
  <c r="V276" i="21"/>
  <c r="H276" i="21"/>
  <c r="X286" i="21"/>
  <c r="V286" i="21"/>
  <c r="R286" i="21"/>
  <c r="AF286" i="21"/>
  <c r="AF288" i="21"/>
  <c r="V288" i="21"/>
  <c r="P291" i="21"/>
  <c r="X298" i="21"/>
  <c r="V298" i="21"/>
  <c r="R298" i="21"/>
  <c r="I298" i="21"/>
  <c r="P308" i="21"/>
  <c r="X318" i="21"/>
  <c r="V318" i="21"/>
  <c r="R318" i="21"/>
  <c r="P318" i="21"/>
  <c r="P331" i="21"/>
  <c r="P221" i="21"/>
  <c r="I221" i="21"/>
  <c r="X330" i="21"/>
  <c r="V330" i="21"/>
  <c r="R330" i="21"/>
  <c r="X221" i="21"/>
  <c r="AF303" i="21"/>
  <c r="AD303" i="21"/>
  <c r="Z303" i="21"/>
  <c r="X306" i="21"/>
  <c r="V306" i="21"/>
  <c r="R306" i="21"/>
  <c r="AF323" i="21"/>
  <c r="AD323" i="21"/>
  <c r="Z323" i="21"/>
  <c r="Z330" i="21"/>
  <c r="I237" i="21"/>
  <c r="I241" i="21"/>
  <c r="I245" i="21"/>
  <c r="I249" i="21"/>
  <c r="I253" i="21"/>
  <c r="I257" i="21"/>
  <c r="G51" i="6"/>
  <c r="G47" i="6"/>
  <c r="G49" i="6"/>
  <c r="G50" i="6"/>
  <c r="M124" i="1"/>
  <c r="J107" i="2" s="1"/>
  <c r="L124" i="1"/>
  <c r="I107" i="2" s="1"/>
  <c r="K124" i="1"/>
  <c r="H107" i="2" s="1"/>
  <c r="J124" i="1"/>
  <c r="G107" i="2" s="1"/>
  <c r="I124" i="1"/>
  <c r="F107" i="2" s="1"/>
  <c r="H124" i="1"/>
  <c r="E107" i="2" s="1"/>
  <c r="G124" i="1"/>
  <c r="D107" i="2" s="1"/>
  <c r="F124" i="1"/>
  <c r="E124" i="1"/>
  <c r="N124" i="1"/>
  <c r="N120" i="1"/>
  <c r="K100" i="2" l="1"/>
  <c r="L140" i="4"/>
  <c r="O140" i="4" s="1"/>
  <c r="E491" i="1"/>
  <c r="K103" i="2"/>
  <c r="L142" i="4"/>
  <c r="K107" i="2"/>
  <c r="L146" i="4"/>
  <c r="H491" i="1"/>
  <c r="F491" i="1"/>
  <c r="F483" i="1" s="1"/>
  <c r="G491" i="1"/>
  <c r="E106" i="1"/>
  <c r="F57" i="6"/>
  <c r="K48" i="6"/>
  <c r="H70" i="6" s="1"/>
  <c r="F70" i="6"/>
  <c r="F61" i="6"/>
  <c r="F58" i="6"/>
  <c r="F60" i="6"/>
  <c r="F59" i="6"/>
  <c r="T33" i="21"/>
  <c r="G7" i="21" s="1"/>
  <c r="I7" i="21" s="1"/>
  <c r="AF33" i="21"/>
  <c r="G13" i="21" s="1"/>
  <c r="I13" i="21" s="1"/>
  <c r="Y49" i="6"/>
  <c r="Y51" i="6"/>
  <c r="Y45" i="6"/>
  <c r="Y50" i="6"/>
  <c r="W45" i="6"/>
  <c r="X49" i="6"/>
  <c r="AA49" i="6"/>
  <c r="Z45" i="6"/>
  <c r="Z46" i="6"/>
  <c r="Z49" i="6"/>
  <c r="Z50" i="6"/>
  <c r="X47" i="6"/>
  <c r="AA47" i="6"/>
  <c r="W50" i="6"/>
  <c r="Z51" i="6"/>
  <c r="X46" i="6"/>
  <c r="AA46" i="6"/>
  <c r="Y47" i="6"/>
  <c r="Y46" i="6"/>
  <c r="X50" i="6"/>
  <c r="AA50" i="6"/>
  <c r="AA51" i="6"/>
  <c r="X51" i="6"/>
  <c r="W47" i="6"/>
  <c r="W46" i="6"/>
  <c r="W51" i="6"/>
  <c r="Z47" i="6"/>
  <c r="W49" i="6"/>
  <c r="X45" i="6"/>
  <c r="AA45" i="6"/>
  <c r="O59" i="6"/>
  <c r="O57" i="6"/>
  <c r="O60" i="6"/>
  <c r="O61" i="6"/>
  <c r="O58" i="6"/>
  <c r="M57" i="6"/>
  <c r="M58" i="6"/>
  <c r="M60" i="6"/>
  <c r="M59" i="6"/>
  <c r="M61" i="6"/>
  <c r="J60" i="6"/>
  <c r="J61" i="6"/>
  <c r="J57" i="6"/>
  <c r="J58" i="6"/>
  <c r="J59" i="6"/>
  <c r="U58" i="6"/>
  <c r="U59" i="6"/>
  <c r="U60" i="6"/>
  <c r="U57" i="6"/>
  <c r="U61" i="6"/>
  <c r="P59" i="6"/>
  <c r="P57" i="6"/>
  <c r="P61" i="6"/>
  <c r="P58" i="6"/>
  <c r="P60" i="6"/>
  <c r="L57" i="6"/>
  <c r="L59" i="6"/>
  <c r="L60" i="6"/>
  <c r="L61" i="6"/>
  <c r="L58" i="6"/>
  <c r="V57" i="6"/>
  <c r="V59" i="6"/>
  <c r="V58" i="6"/>
  <c r="V60" i="6"/>
  <c r="V61" i="6"/>
  <c r="G57" i="6"/>
  <c r="G58" i="6"/>
  <c r="G61" i="6"/>
  <c r="G59" i="6"/>
  <c r="G60" i="6"/>
  <c r="N58" i="6"/>
  <c r="N59" i="6"/>
  <c r="N60" i="6"/>
  <c r="N61" i="6"/>
  <c r="N57" i="6"/>
  <c r="S60" i="6"/>
  <c r="S59" i="6"/>
  <c r="S61" i="6"/>
  <c r="S57" i="6"/>
  <c r="S58" i="6"/>
  <c r="I59" i="6"/>
  <c r="I60" i="6"/>
  <c r="I57" i="6"/>
  <c r="I58" i="6"/>
  <c r="I61" i="6"/>
  <c r="T59" i="6"/>
  <c r="T61" i="6"/>
  <c r="T60" i="6"/>
  <c r="T57" i="6"/>
  <c r="T58" i="6"/>
  <c r="R61" i="6"/>
  <c r="R59" i="6"/>
  <c r="R57" i="6"/>
  <c r="R60" i="6"/>
  <c r="R58" i="6"/>
  <c r="Q59" i="6"/>
  <c r="Q57" i="6"/>
  <c r="Q60" i="6"/>
  <c r="Q61" i="6"/>
  <c r="Q58" i="6"/>
  <c r="F66" i="6"/>
  <c r="H47" i="6"/>
  <c r="H46" i="6"/>
  <c r="H51" i="6"/>
  <c r="H45" i="6"/>
  <c r="H52" i="6"/>
  <c r="F74" i="6" s="1"/>
  <c r="H50" i="6"/>
  <c r="H49" i="6"/>
  <c r="AB33" i="21"/>
  <c r="G11" i="21" s="1"/>
  <c r="I11" i="21" s="1"/>
  <c r="AD33" i="21"/>
  <c r="G12" i="21" s="1"/>
  <c r="I12" i="21" s="1"/>
  <c r="P33" i="21"/>
  <c r="G5" i="21" s="1"/>
  <c r="I5" i="21" s="1"/>
  <c r="R33" i="21"/>
  <c r="G6" i="21" s="1"/>
  <c r="I6" i="21" s="1"/>
  <c r="V33" i="21"/>
  <c r="G8" i="21" s="1"/>
  <c r="I8" i="21" s="1"/>
  <c r="Z33" i="21"/>
  <c r="G10" i="21" s="1"/>
  <c r="I10" i="21" s="1"/>
  <c r="M33" i="21"/>
  <c r="X33" i="21"/>
  <c r="G9" i="21" s="1"/>
  <c r="I9" i="21" s="1"/>
  <c r="N141" i="1"/>
  <c r="K124" i="2" s="1"/>
  <c r="P460" i="1"/>
  <c r="Q460" i="1" s="1"/>
  <c r="R460" i="1" s="1"/>
  <c r="S460" i="1" s="1"/>
  <c r="T460" i="1" s="1"/>
  <c r="U460" i="1" s="1"/>
  <c r="U473" i="1" s="1"/>
  <c r="U101" i="1" s="1"/>
  <c r="L42" i="4" s="1"/>
  <c r="O473" i="1"/>
  <c r="O101" i="1" s="1"/>
  <c r="F42" i="4" s="1"/>
  <c r="E469" i="1"/>
  <c r="F469" i="1"/>
  <c r="G469" i="1"/>
  <c r="H469" i="1"/>
  <c r="I469" i="1"/>
  <c r="J469" i="1"/>
  <c r="K469" i="1"/>
  <c r="L469" i="1"/>
  <c r="M469" i="1"/>
  <c r="N469" i="1"/>
  <c r="E485" i="1" l="1"/>
  <c r="E484" i="1"/>
  <c r="E483" i="1"/>
  <c r="E482" i="1"/>
  <c r="R74" i="6"/>
  <c r="Q74" i="6"/>
  <c r="O74" i="6"/>
  <c r="T74" i="6"/>
  <c r="S74" i="6"/>
  <c r="P74" i="6"/>
  <c r="L70" i="6"/>
  <c r="N70" i="6"/>
  <c r="M70" i="6"/>
  <c r="K70" i="6"/>
  <c r="J70" i="6"/>
  <c r="I70" i="6"/>
  <c r="Q70" i="6"/>
  <c r="P70" i="6"/>
  <c r="T70" i="6"/>
  <c r="R70" i="6"/>
  <c r="O70" i="6"/>
  <c r="S70" i="6"/>
  <c r="R66" i="6"/>
  <c r="T66" i="6"/>
  <c r="S66" i="6"/>
  <c r="Q66" i="6"/>
  <c r="P66" i="6"/>
  <c r="O66" i="6"/>
  <c r="I15" i="21"/>
  <c r="C20" i="21" s="1"/>
  <c r="G20" i="21" s="1"/>
  <c r="I14" i="21"/>
  <c r="C19" i="21" s="1"/>
  <c r="G19" i="21" s="1"/>
  <c r="G484" i="1"/>
  <c r="H482" i="1"/>
  <c r="F485" i="1"/>
  <c r="F482" i="1"/>
  <c r="G483" i="1"/>
  <c r="G482" i="1"/>
  <c r="F484" i="1"/>
  <c r="H483" i="1"/>
  <c r="H485" i="1"/>
  <c r="H484" i="1"/>
  <c r="G485" i="1"/>
  <c r="C23" i="21"/>
  <c r="G4" i="21"/>
  <c r="I4" i="21" s="1"/>
  <c r="K52" i="6"/>
  <c r="H74" i="6" s="1"/>
  <c r="K51" i="6"/>
  <c r="H73" i="6" s="1"/>
  <c r="F73" i="6"/>
  <c r="K47" i="6"/>
  <c r="H69" i="6" s="1"/>
  <c r="F69" i="6"/>
  <c r="K50" i="6"/>
  <c r="H72" i="6" s="1"/>
  <c r="F72" i="6"/>
  <c r="K45" i="6"/>
  <c r="H67" i="6" s="1"/>
  <c r="F67" i="6"/>
  <c r="K46" i="6"/>
  <c r="H68" i="6" s="1"/>
  <c r="F68" i="6"/>
  <c r="K49" i="6"/>
  <c r="H71" i="6" s="1"/>
  <c r="F71" i="6"/>
  <c r="Y57" i="6"/>
  <c r="Y60" i="6"/>
  <c r="W59" i="6"/>
  <c r="W58" i="6"/>
  <c r="AA59" i="6"/>
  <c r="AA60" i="6"/>
  <c r="AA57" i="6"/>
  <c r="AA61" i="6"/>
  <c r="AA58" i="6"/>
  <c r="Y59" i="6"/>
  <c r="W61" i="6"/>
  <c r="X57" i="6"/>
  <c r="X61" i="6"/>
  <c r="X58" i="6"/>
  <c r="X60" i="6"/>
  <c r="X59" i="6"/>
  <c r="Y58" i="6"/>
  <c r="W57" i="6"/>
  <c r="W60" i="6"/>
  <c r="Z60" i="6"/>
  <c r="Z57" i="6"/>
  <c r="Z61" i="6"/>
  <c r="Z58" i="6"/>
  <c r="Z59" i="6"/>
  <c r="Y61" i="6"/>
  <c r="H66" i="6"/>
  <c r="H57" i="6"/>
  <c r="H61" i="6"/>
  <c r="H58" i="6"/>
  <c r="H59" i="6"/>
  <c r="H60" i="6"/>
  <c r="N99" i="1"/>
  <c r="K82" i="2" s="1"/>
  <c r="M468" i="1"/>
  <c r="L468" i="1"/>
  <c r="K468" i="1"/>
  <c r="J468" i="1"/>
  <c r="I468" i="1"/>
  <c r="H468" i="1"/>
  <c r="G468" i="1"/>
  <c r="F468" i="1"/>
  <c r="E468" i="1"/>
  <c r="C4" i="3" l="1"/>
  <c r="N74" i="6"/>
  <c r="M74" i="6"/>
  <c r="L74" i="6"/>
  <c r="K74" i="6"/>
  <c r="J74" i="6"/>
  <c r="I74" i="6"/>
  <c r="H79" i="6"/>
  <c r="F83" i="6"/>
  <c r="F79" i="6"/>
  <c r="F82" i="6"/>
  <c r="F81" i="6"/>
  <c r="F80" i="6"/>
  <c r="H80" i="6"/>
  <c r="H83" i="6"/>
  <c r="H81" i="6"/>
  <c r="H82" i="6"/>
  <c r="T73" i="6"/>
  <c r="S73" i="6"/>
  <c r="R73" i="6"/>
  <c r="T72" i="6"/>
  <c r="S72" i="6"/>
  <c r="R72" i="6"/>
  <c r="S69" i="6"/>
  <c r="R69" i="6"/>
  <c r="T69" i="6"/>
  <c r="T68" i="6"/>
  <c r="S68" i="6"/>
  <c r="R68" i="6"/>
  <c r="T71" i="6"/>
  <c r="S71" i="6"/>
  <c r="R71" i="6"/>
  <c r="T67" i="6"/>
  <c r="S67" i="6"/>
  <c r="R67" i="6"/>
  <c r="O72" i="6"/>
  <c r="Q72" i="6"/>
  <c r="P72" i="6"/>
  <c r="Q71" i="6"/>
  <c r="O71" i="6"/>
  <c r="P71" i="6"/>
  <c r="P73" i="6"/>
  <c r="Q73" i="6"/>
  <c r="O73" i="6"/>
  <c r="Q68" i="6"/>
  <c r="P68" i="6"/>
  <c r="O68" i="6"/>
  <c r="P69" i="6"/>
  <c r="Q69" i="6"/>
  <c r="O69" i="6"/>
  <c r="Q67" i="6"/>
  <c r="P67" i="6"/>
  <c r="O67" i="6"/>
  <c r="N68" i="6"/>
  <c r="L68" i="6"/>
  <c r="M68" i="6"/>
  <c r="K68" i="6"/>
  <c r="J68" i="6"/>
  <c r="I68" i="6"/>
  <c r="L71" i="6"/>
  <c r="I71" i="6"/>
  <c r="M71" i="6"/>
  <c r="J71" i="6"/>
  <c r="N71" i="6"/>
  <c r="K71" i="6"/>
  <c r="M67" i="6"/>
  <c r="K67" i="6"/>
  <c r="N67" i="6"/>
  <c r="L67" i="6"/>
  <c r="J67" i="6"/>
  <c r="I67" i="6"/>
  <c r="I66" i="6"/>
  <c r="N66" i="6"/>
  <c r="K66" i="6"/>
  <c r="M66" i="6"/>
  <c r="L66" i="6"/>
  <c r="J66" i="6"/>
  <c r="J72" i="6"/>
  <c r="K72" i="6"/>
  <c r="I72" i="6"/>
  <c r="N72" i="6"/>
  <c r="M72" i="6"/>
  <c r="L72" i="6"/>
  <c r="L69" i="6"/>
  <c r="I69" i="6"/>
  <c r="N69" i="6"/>
  <c r="K69" i="6"/>
  <c r="M69" i="6"/>
  <c r="J69" i="6"/>
  <c r="L73" i="6"/>
  <c r="M73" i="6"/>
  <c r="N73" i="6"/>
  <c r="K73" i="6"/>
  <c r="J73" i="6"/>
  <c r="I73" i="6"/>
  <c r="N468" i="1"/>
  <c r="E40" i="4"/>
  <c r="C24" i="21"/>
  <c r="U66" i="6"/>
  <c r="U67" i="6"/>
  <c r="U68" i="6"/>
  <c r="U73" i="6"/>
  <c r="U69" i="6"/>
  <c r="U71" i="6"/>
  <c r="U74" i="6"/>
  <c r="U72" i="6"/>
  <c r="U70" i="6"/>
  <c r="K59" i="6"/>
  <c r="K61" i="6"/>
  <c r="K57" i="6"/>
  <c r="K58" i="6"/>
  <c r="K60" i="6"/>
  <c r="F438" i="1"/>
  <c r="G438" i="1"/>
  <c r="D143" i="2" s="1"/>
  <c r="H438" i="1"/>
  <c r="E143" i="2" s="1"/>
  <c r="I438" i="1"/>
  <c r="F143" i="2" s="1"/>
  <c r="J438" i="1"/>
  <c r="G143" i="2" s="1"/>
  <c r="K438" i="1"/>
  <c r="H143" i="2" s="1"/>
  <c r="L438" i="1"/>
  <c r="I143" i="2" s="1"/>
  <c r="M438" i="1"/>
  <c r="J143" i="2" s="1"/>
  <c r="N438" i="1"/>
  <c r="G440" i="1"/>
  <c r="H440" i="1"/>
  <c r="I440" i="1"/>
  <c r="J440" i="1"/>
  <c r="K440" i="1"/>
  <c r="L440" i="1"/>
  <c r="M440" i="1"/>
  <c r="N440" i="1"/>
  <c r="E438" i="1"/>
  <c r="E440" i="1"/>
  <c r="E16" i="1" s="1"/>
  <c r="E437" i="1"/>
  <c r="F411" i="1"/>
  <c r="G411" i="1"/>
  <c r="D135" i="2" s="1"/>
  <c r="H411" i="1"/>
  <c r="E135" i="2" s="1"/>
  <c r="I411" i="1"/>
  <c r="F135" i="2" s="1"/>
  <c r="J411" i="1"/>
  <c r="G135" i="2" s="1"/>
  <c r="K411" i="1"/>
  <c r="H135" i="2" s="1"/>
  <c r="L411" i="1"/>
  <c r="I135" i="2" s="1"/>
  <c r="M411" i="1"/>
  <c r="J135" i="2" s="1"/>
  <c r="N411" i="1"/>
  <c r="I413" i="1"/>
  <c r="J413" i="1"/>
  <c r="K413" i="1"/>
  <c r="M413" i="1"/>
  <c r="N413" i="1"/>
  <c r="E411" i="1"/>
  <c r="N103" i="1"/>
  <c r="K86" i="2" s="1"/>
  <c r="M471" i="1"/>
  <c r="L471" i="1"/>
  <c r="K471" i="1"/>
  <c r="J471" i="1"/>
  <c r="I471" i="1"/>
  <c r="H471" i="1"/>
  <c r="G471" i="1"/>
  <c r="F471" i="1"/>
  <c r="E471" i="1"/>
  <c r="B103" i="1"/>
  <c r="B86" i="2" s="1"/>
  <c r="F137" i="2" l="1"/>
  <c r="J137" i="2"/>
  <c r="O81" i="6"/>
  <c r="P80" i="6"/>
  <c r="Q80" i="6"/>
  <c r="R83" i="6"/>
  <c r="T81" i="6"/>
  <c r="R81" i="6"/>
  <c r="Q83" i="6"/>
  <c r="R80" i="6"/>
  <c r="S81" i="6"/>
  <c r="O79" i="6"/>
  <c r="Q82" i="6"/>
  <c r="N82" i="6"/>
  <c r="N81" i="6"/>
  <c r="N80" i="6"/>
  <c r="N83" i="6"/>
  <c r="N79" i="6"/>
  <c r="O82" i="6"/>
  <c r="O83" i="6"/>
  <c r="S79" i="6"/>
  <c r="R82" i="6"/>
  <c r="T79" i="6"/>
  <c r="S82" i="6"/>
  <c r="S83" i="6"/>
  <c r="T83" i="6"/>
  <c r="P79" i="6"/>
  <c r="S80" i="6"/>
  <c r="Q79" i="6"/>
  <c r="P81" i="6"/>
  <c r="J99" i="6" s="1"/>
  <c r="S99" i="6" s="1"/>
  <c r="G16" i="6" s="1"/>
  <c r="O80" i="6"/>
  <c r="T80" i="6"/>
  <c r="T82" i="6"/>
  <c r="L80" i="6"/>
  <c r="L83" i="6"/>
  <c r="L81" i="6"/>
  <c r="L79" i="6"/>
  <c r="L82" i="6"/>
  <c r="M80" i="6"/>
  <c r="M83" i="6"/>
  <c r="M82" i="6"/>
  <c r="M81" i="6"/>
  <c r="M79" i="6"/>
  <c r="R79" i="6"/>
  <c r="Q81" i="6"/>
  <c r="J98" i="6" s="1"/>
  <c r="S98" i="6" s="1"/>
  <c r="G15" i="6" s="1"/>
  <c r="P82" i="6"/>
  <c r="I83" i="6"/>
  <c r="I81" i="6"/>
  <c r="I80" i="6"/>
  <c r="I79" i="6"/>
  <c r="I82" i="6"/>
  <c r="P83" i="6"/>
  <c r="J83" i="6"/>
  <c r="J80" i="6"/>
  <c r="J79" i="6"/>
  <c r="J82" i="6"/>
  <c r="J81" i="6"/>
  <c r="K81" i="6"/>
  <c r="K83" i="6"/>
  <c r="K80" i="6"/>
  <c r="K79" i="6"/>
  <c r="K82" i="6"/>
  <c r="F161" i="4"/>
  <c r="K137" i="2"/>
  <c r="G16" i="1"/>
  <c r="D68" i="2" s="1"/>
  <c r="D145" i="2"/>
  <c r="K143" i="2"/>
  <c r="E60" i="4"/>
  <c r="E73" i="4" s="1"/>
  <c r="N16" i="1"/>
  <c r="K145" i="2"/>
  <c r="H137" i="2"/>
  <c r="M16" i="1"/>
  <c r="J68" i="2" s="1"/>
  <c r="J145" i="2"/>
  <c r="G137" i="2"/>
  <c r="L16" i="1"/>
  <c r="I68" i="2" s="1"/>
  <c r="I145" i="2"/>
  <c r="K16" i="1"/>
  <c r="H68" i="2" s="1"/>
  <c r="H145" i="2"/>
  <c r="H16" i="1"/>
  <c r="E68" i="2" s="1"/>
  <c r="E145" i="2"/>
  <c r="K135" i="2"/>
  <c r="E59" i="4"/>
  <c r="E72" i="4" s="1"/>
  <c r="J16" i="1"/>
  <c r="G68" i="2" s="1"/>
  <c r="G145" i="2"/>
  <c r="I16" i="1"/>
  <c r="F68" i="2" s="1"/>
  <c r="F145" i="2"/>
  <c r="N471" i="1"/>
  <c r="E44" i="4"/>
  <c r="C5" i="3"/>
  <c r="C6" i="3" s="1"/>
  <c r="O10" i="3" s="1"/>
  <c r="O13" i="3" s="1"/>
  <c r="O25" i="3" s="1"/>
  <c r="O29" i="3" s="1"/>
  <c r="O34" i="3" s="1"/>
  <c r="I9" i="1"/>
  <c r="F61" i="2" s="1"/>
  <c r="M9" i="1"/>
  <c r="J61" i="2" s="1"/>
  <c r="N9" i="1"/>
  <c r="K9" i="1"/>
  <c r="H61" i="2" s="1"/>
  <c r="J9" i="1"/>
  <c r="G61" i="2" s="1"/>
  <c r="E423" i="1"/>
  <c r="E291" i="1"/>
  <c r="E296" i="1" s="1"/>
  <c r="E444" i="1" s="1"/>
  <c r="F292" i="1"/>
  <c r="F440" i="1" s="1"/>
  <c r="F16" i="1" s="1"/>
  <c r="F291" i="1"/>
  <c r="G291" i="1"/>
  <c r="H291" i="1"/>
  <c r="I291" i="1"/>
  <c r="J291" i="1"/>
  <c r="K291" i="1"/>
  <c r="L291" i="1"/>
  <c r="N291" i="1"/>
  <c r="N296" i="1" s="1"/>
  <c r="M291" i="1"/>
  <c r="E413" i="1"/>
  <c r="E278" i="1"/>
  <c r="F278" i="1"/>
  <c r="G278" i="1"/>
  <c r="H278" i="1"/>
  <c r="I278" i="1"/>
  <c r="J278" i="1"/>
  <c r="K278" i="1"/>
  <c r="L279" i="1"/>
  <c r="L413" i="1" s="1"/>
  <c r="L278" i="1"/>
  <c r="N278" i="1"/>
  <c r="M278" i="1"/>
  <c r="N94" i="1"/>
  <c r="F287" i="1"/>
  <c r="G287" i="1" s="1"/>
  <c r="H287" i="1" s="1"/>
  <c r="I287" i="1" s="1"/>
  <c r="J287" i="1" s="1"/>
  <c r="K287" i="1" s="1"/>
  <c r="L287" i="1" s="1"/>
  <c r="M287" i="1" s="1"/>
  <c r="N287" i="1" s="1"/>
  <c r="F288" i="1"/>
  <c r="G288" i="1" s="1"/>
  <c r="H288" i="1" s="1"/>
  <c r="I288" i="1" s="1"/>
  <c r="J288" i="1" s="1"/>
  <c r="K288" i="1" s="1"/>
  <c r="L288" i="1" s="1"/>
  <c r="M288" i="1" s="1"/>
  <c r="N288" i="1" s="1"/>
  <c r="F274" i="1"/>
  <c r="G274" i="1" s="1"/>
  <c r="H274" i="1" s="1"/>
  <c r="I274" i="1" s="1"/>
  <c r="J274" i="1" s="1"/>
  <c r="K274" i="1" s="1"/>
  <c r="L274" i="1" s="1"/>
  <c r="M274" i="1" s="1"/>
  <c r="N274" i="1" s="1"/>
  <c r="F275" i="1"/>
  <c r="G275" i="1" s="1"/>
  <c r="H275" i="1" s="1"/>
  <c r="I275" i="1" s="1"/>
  <c r="J275" i="1" s="1"/>
  <c r="K275" i="1" s="1"/>
  <c r="L275" i="1" s="1"/>
  <c r="M275" i="1" s="1"/>
  <c r="N275" i="1" s="1"/>
  <c r="N104" i="1"/>
  <c r="K87" i="2" s="1"/>
  <c r="M470" i="1"/>
  <c r="L470" i="1"/>
  <c r="K470" i="1"/>
  <c r="J470" i="1"/>
  <c r="I470" i="1"/>
  <c r="H470" i="1"/>
  <c r="G470" i="1"/>
  <c r="F470" i="1"/>
  <c r="E470" i="1"/>
  <c r="M141" i="1"/>
  <c r="J124" i="2" s="1"/>
  <c r="L141" i="1"/>
  <c r="I124" i="2" s="1"/>
  <c r="K141" i="1"/>
  <c r="H124" i="2" s="1"/>
  <c r="J141" i="1"/>
  <c r="G124" i="2" s="1"/>
  <c r="I141" i="1"/>
  <c r="F124" i="2" s="1"/>
  <c r="E141" i="1"/>
  <c r="N122" i="1"/>
  <c r="K105" i="2" s="1"/>
  <c r="M122" i="1"/>
  <c r="J105" i="2" s="1"/>
  <c r="L122" i="1"/>
  <c r="I105" i="2" s="1"/>
  <c r="K122" i="1"/>
  <c r="H105" i="2" s="1"/>
  <c r="J122" i="1"/>
  <c r="G105" i="2" s="1"/>
  <c r="I122" i="1"/>
  <c r="F105" i="2" s="1"/>
  <c r="H122" i="1"/>
  <c r="E105" i="2" s="1"/>
  <c r="G122" i="1"/>
  <c r="D105" i="2" s="1"/>
  <c r="F122" i="1"/>
  <c r="E122" i="1"/>
  <c r="F132" i="1"/>
  <c r="G132" i="1"/>
  <c r="D115" i="2" s="1"/>
  <c r="H132" i="1"/>
  <c r="E115" i="2" s="1"/>
  <c r="I132" i="1"/>
  <c r="F115" i="2" s="1"/>
  <c r="J132" i="1"/>
  <c r="G115" i="2" s="1"/>
  <c r="K132" i="1"/>
  <c r="H115" i="2" s="1"/>
  <c r="L132" i="1"/>
  <c r="I115" i="2" s="1"/>
  <c r="M132" i="1"/>
  <c r="J115" i="2" s="1"/>
  <c r="N132" i="1"/>
  <c r="K115" i="2" s="1"/>
  <c r="F133" i="1"/>
  <c r="G133" i="1"/>
  <c r="D116" i="2" s="1"/>
  <c r="H133" i="1"/>
  <c r="E116" i="2" s="1"/>
  <c r="I133" i="1"/>
  <c r="F116" i="2" s="1"/>
  <c r="J133" i="1"/>
  <c r="G116" i="2" s="1"/>
  <c r="K133" i="1"/>
  <c r="H116" i="2" s="1"/>
  <c r="L133" i="1"/>
  <c r="I116" i="2" s="1"/>
  <c r="M133" i="1"/>
  <c r="J116" i="2" s="1"/>
  <c r="N133" i="1"/>
  <c r="K116" i="2" s="1"/>
  <c r="F134" i="1"/>
  <c r="G134" i="1"/>
  <c r="D117" i="2" s="1"/>
  <c r="H134" i="1"/>
  <c r="E117" i="2" s="1"/>
  <c r="I134" i="1"/>
  <c r="F117" i="2" s="1"/>
  <c r="J134" i="1"/>
  <c r="G117" i="2" s="1"/>
  <c r="K134" i="1"/>
  <c r="H117" i="2" s="1"/>
  <c r="L134" i="1"/>
  <c r="I117" i="2" s="1"/>
  <c r="M134" i="1"/>
  <c r="J117" i="2" s="1"/>
  <c r="N134" i="1"/>
  <c r="K117" i="2" s="1"/>
  <c r="F135" i="1"/>
  <c r="G135" i="1"/>
  <c r="D118" i="2" s="1"/>
  <c r="H135" i="1"/>
  <c r="E118" i="2" s="1"/>
  <c r="I135" i="1"/>
  <c r="F118" i="2" s="1"/>
  <c r="J135" i="1"/>
  <c r="G118" i="2" s="1"/>
  <c r="K135" i="1"/>
  <c r="H118" i="2" s="1"/>
  <c r="L135" i="1"/>
  <c r="I118" i="2" s="1"/>
  <c r="M135" i="1"/>
  <c r="J118" i="2" s="1"/>
  <c r="N135" i="1"/>
  <c r="K118" i="2" s="1"/>
  <c r="F136" i="1"/>
  <c r="G136" i="1"/>
  <c r="D119" i="2" s="1"/>
  <c r="H136" i="1"/>
  <c r="E119" i="2" s="1"/>
  <c r="I136" i="1"/>
  <c r="F119" i="2" s="1"/>
  <c r="J136" i="1"/>
  <c r="G119" i="2" s="1"/>
  <c r="K136" i="1"/>
  <c r="H119" i="2" s="1"/>
  <c r="L136" i="1"/>
  <c r="I119" i="2" s="1"/>
  <c r="M136" i="1"/>
  <c r="J119" i="2" s="1"/>
  <c r="N136" i="1"/>
  <c r="K119" i="2" s="1"/>
  <c r="F137" i="1"/>
  <c r="G137" i="1"/>
  <c r="D120" i="2" s="1"/>
  <c r="H137" i="1"/>
  <c r="E120" i="2" s="1"/>
  <c r="I137" i="1"/>
  <c r="F120" i="2" s="1"/>
  <c r="J137" i="1"/>
  <c r="G120" i="2" s="1"/>
  <c r="K137" i="1"/>
  <c r="H120" i="2" s="1"/>
  <c r="L137" i="1"/>
  <c r="I120" i="2" s="1"/>
  <c r="M137" i="1"/>
  <c r="J120" i="2" s="1"/>
  <c r="N137" i="1"/>
  <c r="K120" i="2" s="1"/>
  <c r="F138" i="1"/>
  <c r="G138" i="1"/>
  <c r="D121" i="2" s="1"/>
  <c r="H138" i="1"/>
  <c r="E121" i="2" s="1"/>
  <c r="I138" i="1"/>
  <c r="F121" i="2" s="1"/>
  <c r="J138" i="1"/>
  <c r="G121" i="2" s="1"/>
  <c r="K138" i="1"/>
  <c r="H121" i="2" s="1"/>
  <c r="L138" i="1"/>
  <c r="I121" i="2" s="1"/>
  <c r="M138" i="1"/>
  <c r="J121" i="2" s="1"/>
  <c r="N138" i="1"/>
  <c r="K121" i="2" s="1"/>
  <c r="F139" i="1"/>
  <c r="G139" i="1"/>
  <c r="D122" i="2" s="1"/>
  <c r="H139" i="1"/>
  <c r="E122" i="2" s="1"/>
  <c r="I139" i="1"/>
  <c r="F122" i="2" s="1"/>
  <c r="J139" i="1"/>
  <c r="G122" i="2" s="1"/>
  <c r="K139" i="1"/>
  <c r="H122" i="2" s="1"/>
  <c r="L139" i="1"/>
  <c r="I122" i="2" s="1"/>
  <c r="M139" i="1"/>
  <c r="J122" i="2" s="1"/>
  <c r="N139" i="1"/>
  <c r="E139" i="1"/>
  <c r="E138" i="1"/>
  <c r="E137" i="1"/>
  <c r="E136" i="1"/>
  <c r="E135" i="1"/>
  <c r="E134" i="1"/>
  <c r="E133" i="1"/>
  <c r="E132" i="1"/>
  <c r="B131" i="1"/>
  <c r="B114" i="2" s="1"/>
  <c r="B139" i="1"/>
  <c r="B122" i="2" s="1"/>
  <c r="B138" i="1"/>
  <c r="B121" i="2" s="1"/>
  <c r="B137" i="1"/>
  <c r="B120" i="2" s="1"/>
  <c r="B136" i="1"/>
  <c r="B119" i="2" s="1"/>
  <c r="B135" i="1"/>
  <c r="B118" i="2" s="1"/>
  <c r="B134" i="1"/>
  <c r="B117" i="2" s="1"/>
  <c r="B133" i="1"/>
  <c r="B116" i="2" s="1"/>
  <c r="B132" i="1"/>
  <c r="B115" i="2" s="1"/>
  <c r="N192" i="1"/>
  <c r="N191" i="1" s="1"/>
  <c r="M192" i="1"/>
  <c r="M191" i="1" s="1"/>
  <c r="L192" i="1"/>
  <c r="L191" i="1" s="1"/>
  <c r="K192" i="1"/>
  <c r="K191" i="1" s="1"/>
  <c r="J192" i="1"/>
  <c r="J191" i="1" s="1"/>
  <c r="I192" i="1"/>
  <c r="I191" i="1" s="1"/>
  <c r="H192" i="1"/>
  <c r="H191" i="1" s="1"/>
  <c r="G192" i="1"/>
  <c r="G191" i="1" s="1"/>
  <c r="F192" i="1"/>
  <c r="F191" i="1" s="1"/>
  <c r="E192" i="1"/>
  <c r="E191" i="1" s="1"/>
  <c r="I137" i="2" l="1"/>
  <c r="K122" i="2"/>
  <c r="L151" i="4"/>
  <c r="F22" i="2"/>
  <c r="F24" i="2"/>
  <c r="J22" i="2"/>
  <c r="J24" i="2"/>
  <c r="G22" i="2"/>
  <c r="G24" i="2"/>
  <c r="H22" i="2"/>
  <c r="H24" i="2"/>
  <c r="O31" i="3" a="1"/>
  <c r="O31" i="3" s="1"/>
  <c r="L129" i="4" s="1"/>
  <c r="H118" i="6"/>
  <c r="H113" i="6"/>
  <c r="E26" i="4"/>
  <c r="E71" i="4" s="1"/>
  <c r="K68" i="2"/>
  <c r="E35" i="4"/>
  <c r="K77" i="2"/>
  <c r="E19" i="4"/>
  <c r="K61" i="2"/>
  <c r="K24" i="2" s="1"/>
  <c r="N470" i="1"/>
  <c r="N457" i="1" s="1"/>
  <c r="E45" i="4"/>
  <c r="N10" i="3"/>
  <c r="N13" i="3" s="1"/>
  <c r="N25" i="3" s="1"/>
  <c r="N29" i="3" s="1"/>
  <c r="N34" i="3" s="1"/>
  <c r="K10" i="3"/>
  <c r="K13" i="3" s="1"/>
  <c r="K25" i="3" s="1"/>
  <c r="K29" i="3" s="1"/>
  <c r="K34" i="3" s="1"/>
  <c r="J10" i="3"/>
  <c r="J13" i="3" s="1"/>
  <c r="J25" i="3" s="1"/>
  <c r="J29" i="3" s="1"/>
  <c r="J34" i="3" s="1"/>
  <c r="I10" i="3"/>
  <c r="I13" i="3" s="1"/>
  <c r="I25" i="3" s="1"/>
  <c r="I29" i="3" s="1"/>
  <c r="I34" i="3" s="1"/>
  <c r="I31" i="3" s="1" a="1"/>
  <c r="I31" i="3" s="1"/>
  <c r="P10" i="3"/>
  <c r="P13" i="3" s="1"/>
  <c r="P25" i="3" s="1"/>
  <c r="P29" i="3" s="1"/>
  <c r="P34" i="3" s="1"/>
  <c r="P31" i="3" s="1" a="1"/>
  <c r="P31" i="3" s="1"/>
  <c r="L10" i="3"/>
  <c r="L13" i="3" s="1"/>
  <c r="L25" i="3" s="1"/>
  <c r="L29" i="3" s="1"/>
  <c r="L34" i="3" s="1"/>
  <c r="M10" i="3"/>
  <c r="M13" i="3" s="1"/>
  <c r="M25" i="3" s="1"/>
  <c r="M29" i="3" s="1"/>
  <c r="M34" i="3" s="1"/>
  <c r="N281" i="1"/>
  <c r="N415" i="1" s="1"/>
  <c r="I457" i="1"/>
  <c r="K98" i="6"/>
  <c r="T98" i="6" s="1"/>
  <c r="H15" i="6" s="1"/>
  <c r="L98" i="6"/>
  <c r="U98" i="6" s="1"/>
  <c r="I15" i="6" s="1"/>
  <c r="K99" i="6"/>
  <c r="T99" i="6" s="1"/>
  <c r="H16" i="6" s="1"/>
  <c r="L99" i="6"/>
  <c r="U99" i="6" s="1"/>
  <c r="I16" i="6" s="1"/>
  <c r="M346" i="1"/>
  <c r="J346" i="1"/>
  <c r="N346" i="1"/>
  <c r="L9" i="1"/>
  <c r="I61" i="2" s="1"/>
  <c r="K346" i="1"/>
  <c r="M457" i="1"/>
  <c r="E9" i="1"/>
  <c r="I346" i="1"/>
  <c r="I99" i="6"/>
  <c r="R99" i="6" s="1"/>
  <c r="F16" i="6" s="1"/>
  <c r="I98" i="6"/>
  <c r="R98" i="6" s="1"/>
  <c r="F15" i="6" s="1"/>
  <c r="H99" i="6"/>
  <c r="Q99" i="6" s="1"/>
  <c r="E16" i="6" s="1"/>
  <c r="H98" i="6"/>
  <c r="Q98" i="6" s="1"/>
  <c r="E15" i="6" s="1"/>
  <c r="K457" i="1"/>
  <c r="J457" i="1"/>
  <c r="E294" i="1"/>
  <c r="E442" i="1" s="1"/>
  <c r="M412" i="1"/>
  <c r="J136" i="2" s="1"/>
  <c r="M283" i="1"/>
  <c r="M417" i="1" s="1"/>
  <c r="J152" i="2" s="1"/>
  <c r="K412" i="1"/>
  <c r="H136" i="2" s="1"/>
  <c r="K283" i="1"/>
  <c r="K417" i="1" s="1"/>
  <c r="H152" i="2" s="1"/>
  <c r="G439" i="1"/>
  <c r="D144" i="2" s="1"/>
  <c r="G296" i="1"/>
  <c r="G444" i="1" s="1"/>
  <c r="D153" i="2" s="1"/>
  <c r="N439" i="1"/>
  <c r="K144" i="2" s="1"/>
  <c r="N444" i="1"/>
  <c r="K153" i="2" s="1"/>
  <c r="N412" i="1"/>
  <c r="K136" i="2" s="1"/>
  <c r="N283" i="1"/>
  <c r="N417" i="1" s="1"/>
  <c r="K152" i="2" s="1"/>
  <c r="L412" i="1"/>
  <c r="I136" i="2" s="1"/>
  <c r="L283" i="1"/>
  <c r="L417" i="1" s="1"/>
  <c r="I152" i="2" s="1"/>
  <c r="J412" i="1"/>
  <c r="G136" i="2" s="1"/>
  <c r="J283" i="1"/>
  <c r="J417" i="1" s="1"/>
  <c r="G152" i="2" s="1"/>
  <c r="F439" i="1"/>
  <c r="F296" i="1"/>
  <c r="F444" i="1" s="1"/>
  <c r="G412" i="1"/>
  <c r="D136" i="2" s="1"/>
  <c r="G283" i="1"/>
  <c r="G417" i="1" s="1"/>
  <c r="D152" i="2" s="1"/>
  <c r="F412" i="1"/>
  <c r="F283" i="1"/>
  <c r="F417" i="1" s="1"/>
  <c r="J439" i="1"/>
  <c r="G144" i="2" s="1"/>
  <c r="J296" i="1"/>
  <c r="J444" i="1" s="1"/>
  <c r="G153" i="2" s="1"/>
  <c r="I439" i="1"/>
  <c r="F144" i="2" s="1"/>
  <c r="I296" i="1"/>
  <c r="I444" i="1" s="1"/>
  <c r="F153" i="2" s="1"/>
  <c r="H439" i="1"/>
  <c r="E144" i="2" s="1"/>
  <c r="H296" i="1"/>
  <c r="H444" i="1" s="1"/>
  <c r="E153" i="2" s="1"/>
  <c r="I412" i="1"/>
  <c r="F136" i="2" s="1"/>
  <c r="I283" i="1"/>
  <c r="I417" i="1" s="1"/>
  <c r="F152" i="2" s="1"/>
  <c r="M439" i="1"/>
  <c r="J144" i="2" s="1"/>
  <c r="M296" i="1"/>
  <c r="M444" i="1" s="1"/>
  <c r="J153" i="2" s="1"/>
  <c r="L439" i="1"/>
  <c r="I144" i="2" s="1"/>
  <c r="L296" i="1"/>
  <c r="L444" i="1" s="1"/>
  <c r="I153" i="2" s="1"/>
  <c r="K439" i="1"/>
  <c r="H144" i="2" s="1"/>
  <c r="K296" i="1"/>
  <c r="K444" i="1" s="1"/>
  <c r="H153" i="2" s="1"/>
  <c r="H412" i="1"/>
  <c r="E136" i="2" s="1"/>
  <c r="H283" i="1"/>
  <c r="H417" i="1" s="1"/>
  <c r="E152" i="2" s="1"/>
  <c r="E439" i="1"/>
  <c r="E412" i="1"/>
  <c r="E283" i="1"/>
  <c r="E417" i="1" s="1"/>
  <c r="K131" i="1"/>
  <c r="F131" i="1"/>
  <c r="F130" i="1" s="1"/>
  <c r="H131" i="1"/>
  <c r="L131" i="1"/>
  <c r="M131" i="1"/>
  <c r="J131" i="1"/>
  <c r="I131" i="1"/>
  <c r="N131" i="1"/>
  <c r="G131" i="1"/>
  <c r="E131" i="1"/>
  <c r="E130" i="1" s="1"/>
  <c r="E145" i="1" s="1"/>
  <c r="B102" i="1"/>
  <c r="B85" i="2" s="1"/>
  <c r="N101" i="1"/>
  <c r="K84" i="2" s="1"/>
  <c r="M473" i="1"/>
  <c r="M460" i="1" s="1"/>
  <c r="L473" i="1"/>
  <c r="L460" i="1" s="1"/>
  <c r="K473" i="1"/>
  <c r="K460" i="1" s="1"/>
  <c r="J473" i="1"/>
  <c r="J460" i="1" s="1"/>
  <c r="I473" i="1"/>
  <c r="I460" i="1" s="1"/>
  <c r="H473" i="1"/>
  <c r="H460" i="1" s="1"/>
  <c r="G473" i="1"/>
  <c r="G460" i="1" s="1"/>
  <c r="F473" i="1"/>
  <c r="F460" i="1" s="1"/>
  <c r="E473" i="1"/>
  <c r="E460" i="1" s="1"/>
  <c r="B101" i="1"/>
  <c r="B84" i="2" s="1"/>
  <c r="N98" i="1"/>
  <c r="B98" i="1"/>
  <c r="B81" i="2" s="1"/>
  <c r="D167" i="4" l="1"/>
  <c r="D10" i="4"/>
  <c r="O151" i="4"/>
  <c r="L169" i="4"/>
  <c r="I22" i="2"/>
  <c r="I24" i="2"/>
  <c r="I185" i="4"/>
  <c r="J31" i="3" a="1"/>
  <c r="J31" i="3" s="1"/>
  <c r="G129" i="4" s="1"/>
  <c r="L31" i="3" a="1"/>
  <c r="L31" i="3" s="1"/>
  <c r="I129" i="4" s="1"/>
  <c r="N31" i="3" a="1"/>
  <c r="N31" i="3" s="1"/>
  <c r="K129" i="4" s="1"/>
  <c r="M31" i="3" a="1"/>
  <c r="M31" i="3" s="1"/>
  <c r="J129" i="4" s="1"/>
  <c r="K31" i="3" a="1"/>
  <c r="K31" i="3" s="1"/>
  <c r="H129" i="4" s="1"/>
  <c r="H128" i="6"/>
  <c r="G28" i="6" s="1"/>
  <c r="G113" i="6"/>
  <c r="J113" i="6"/>
  <c r="I118" i="6"/>
  <c r="G118" i="6"/>
  <c r="I113" i="6"/>
  <c r="O113" i="6" s="1"/>
  <c r="F113" i="6"/>
  <c r="L113" i="6" s="1"/>
  <c r="J118" i="6"/>
  <c r="F118" i="6"/>
  <c r="F129" i="4"/>
  <c r="E39" i="4"/>
  <c r="K81" i="2"/>
  <c r="K22" i="2" s="1"/>
  <c r="M130" i="1"/>
  <c r="J114" i="2"/>
  <c r="J53" i="2" s="1"/>
  <c r="H130" i="1"/>
  <c r="E113" i="2" s="1"/>
  <c r="E114" i="2"/>
  <c r="G130" i="1"/>
  <c r="D113" i="2" s="1"/>
  <c r="D114" i="2"/>
  <c r="I130" i="1"/>
  <c r="F114" i="2"/>
  <c r="F53" i="2" s="1"/>
  <c r="K130" i="1"/>
  <c r="H114" i="2"/>
  <c r="H53" i="2" s="1"/>
  <c r="O410" i="1"/>
  <c r="O414" i="1" s="1"/>
  <c r="K139" i="2"/>
  <c r="N130" i="1"/>
  <c r="K114" i="2"/>
  <c r="K53" i="2" s="1"/>
  <c r="J130" i="1"/>
  <c r="G114" i="2"/>
  <c r="G53" i="2" s="1"/>
  <c r="L130" i="1"/>
  <c r="I114" i="2"/>
  <c r="I53" i="2" s="1"/>
  <c r="N473" i="1"/>
  <c r="N460" i="1" s="1"/>
  <c r="E42" i="4"/>
  <c r="L457" i="1"/>
  <c r="E346" i="1"/>
  <c r="E457" i="1"/>
  <c r="L346" i="1"/>
  <c r="F289" i="1"/>
  <c r="F437" i="1" s="1"/>
  <c r="F423" i="1" s="1"/>
  <c r="E293" i="1"/>
  <c r="E441" i="1" s="1"/>
  <c r="E467" i="1"/>
  <c r="E454" i="1" s="1"/>
  <c r="I467" i="1"/>
  <c r="I454" i="1" s="1"/>
  <c r="J467" i="1"/>
  <c r="J454" i="1" s="1"/>
  <c r="K467" i="1"/>
  <c r="K454" i="1" s="1"/>
  <c r="L467" i="1"/>
  <c r="L454" i="1" s="1"/>
  <c r="F467" i="1"/>
  <c r="H467" i="1"/>
  <c r="N467" i="1"/>
  <c r="N454" i="1" s="1"/>
  <c r="G467" i="1"/>
  <c r="M467" i="1"/>
  <c r="M454" i="1" s="1"/>
  <c r="P473" i="1"/>
  <c r="P101" i="1" s="1"/>
  <c r="G42" i="4" s="1"/>
  <c r="E427" i="1"/>
  <c r="N95" i="1"/>
  <c r="B115" i="1"/>
  <c r="B98" i="2" s="1"/>
  <c r="B93" i="1"/>
  <c r="B76" i="2" s="1"/>
  <c r="M281" i="1"/>
  <c r="L281" i="1"/>
  <c r="L415" i="1" s="1"/>
  <c r="I139" i="2" s="1"/>
  <c r="K281" i="1"/>
  <c r="K415" i="1" s="1"/>
  <c r="H139" i="2" s="1"/>
  <c r="J281" i="1"/>
  <c r="J415" i="1" s="1"/>
  <c r="G139" i="2" s="1"/>
  <c r="I281" i="1"/>
  <c r="I415" i="1" s="1"/>
  <c r="F139" i="2" s="1"/>
  <c r="H281" i="1"/>
  <c r="H415" i="1" s="1"/>
  <c r="E139" i="2" s="1"/>
  <c r="G281" i="1"/>
  <c r="G415" i="1" s="1"/>
  <c r="D139" i="2" s="1"/>
  <c r="F281" i="1"/>
  <c r="F415" i="1" s="1"/>
  <c r="B94" i="1"/>
  <c r="B77" i="2" s="1"/>
  <c r="D168" i="4" l="1"/>
  <c r="I174" i="4"/>
  <c r="H174" i="4" s="1"/>
  <c r="G174" i="4" s="1"/>
  <c r="F174" i="4" s="1"/>
  <c r="G128" i="6"/>
  <c r="F28" i="6" s="1"/>
  <c r="M118" i="6"/>
  <c r="M113" i="6"/>
  <c r="N118" i="6"/>
  <c r="N113" i="6"/>
  <c r="I128" i="6"/>
  <c r="H28" i="6" s="1"/>
  <c r="P118" i="6"/>
  <c r="J128" i="6"/>
  <c r="I28" i="6" s="1"/>
  <c r="L118" i="6"/>
  <c r="L128" i="6" s="1"/>
  <c r="F128" i="6"/>
  <c r="E28" i="6" s="1"/>
  <c r="O118" i="6"/>
  <c r="O128" i="6" s="1"/>
  <c r="P113" i="6"/>
  <c r="I145" i="1"/>
  <c r="F128" i="2" s="1"/>
  <c r="F52" i="2" s="1"/>
  <c r="F113" i="2"/>
  <c r="L145" i="1"/>
  <c r="I128" i="2" s="1"/>
  <c r="I52" i="2" s="1"/>
  <c r="I113" i="2"/>
  <c r="M145" i="1"/>
  <c r="J128" i="2" s="1"/>
  <c r="J52" i="2" s="1"/>
  <c r="J113" i="2"/>
  <c r="E36" i="4"/>
  <c r="E78" i="4" s="1"/>
  <c r="K78" i="2"/>
  <c r="N145" i="1"/>
  <c r="K128" i="2" s="1"/>
  <c r="K52" i="2" s="1"/>
  <c r="K113" i="2"/>
  <c r="K145" i="1"/>
  <c r="H128" i="2" s="1"/>
  <c r="H52" i="2" s="1"/>
  <c r="H113" i="2"/>
  <c r="J145" i="1"/>
  <c r="G128" i="2" s="1"/>
  <c r="G52" i="2" s="1"/>
  <c r="G113" i="2"/>
  <c r="N92" i="1"/>
  <c r="K75" i="2" s="1"/>
  <c r="N446" i="1"/>
  <c r="K149" i="2" s="1"/>
  <c r="F427" i="1"/>
  <c r="N294" i="1"/>
  <c r="N442" i="1" s="1"/>
  <c r="I294" i="1"/>
  <c r="I442" i="1" s="1"/>
  <c r="F147" i="2" s="1"/>
  <c r="I92" i="1"/>
  <c r="F75" i="2" s="1"/>
  <c r="J294" i="1"/>
  <c r="J442" i="1" s="1"/>
  <c r="G147" i="2" s="1"/>
  <c r="J92" i="1"/>
  <c r="G75" i="2" s="1"/>
  <c r="K294" i="1"/>
  <c r="K442" i="1" s="1"/>
  <c r="H147" i="2" s="1"/>
  <c r="K92" i="1"/>
  <c r="H75" i="2" s="1"/>
  <c r="E281" i="1"/>
  <c r="E415" i="1" s="1"/>
  <c r="E92" i="1"/>
  <c r="L294" i="1"/>
  <c r="L442" i="1" s="1"/>
  <c r="I147" i="2" s="1"/>
  <c r="L92" i="1"/>
  <c r="I75" i="2" s="1"/>
  <c r="M294" i="1"/>
  <c r="M442" i="1" s="1"/>
  <c r="J147" i="2" s="1"/>
  <c r="M92" i="1"/>
  <c r="J75" i="2" s="1"/>
  <c r="Q473" i="1"/>
  <c r="Q101" i="1" s="1"/>
  <c r="H42" i="4" s="1"/>
  <c r="N276" i="1"/>
  <c r="N410" i="1" s="1"/>
  <c r="K134" i="2" s="1"/>
  <c r="K29" i="2" s="1"/>
  <c r="M415" i="1"/>
  <c r="J139" i="2" s="1"/>
  <c r="K276" i="1"/>
  <c r="M276" i="1"/>
  <c r="J276" i="1"/>
  <c r="L276" i="1"/>
  <c r="I276" i="1"/>
  <c r="F91" i="1"/>
  <c r="G91" i="1" s="1"/>
  <c r="F90" i="1"/>
  <c r="G90" i="1" s="1"/>
  <c r="E178" i="4" l="1"/>
  <c r="E189" i="4"/>
  <c r="E188" i="4" s="1"/>
  <c r="E187" i="4" s="1"/>
  <c r="E186" i="4" s="1"/>
  <c r="J174" i="4"/>
  <c r="K174" i="4" s="1"/>
  <c r="L174" i="4" s="1"/>
  <c r="M128" i="6"/>
  <c r="P128" i="6"/>
  <c r="N128" i="6"/>
  <c r="H90" i="1"/>
  <c r="D73" i="2"/>
  <c r="H91" i="1"/>
  <c r="D74" i="2"/>
  <c r="O437" i="1"/>
  <c r="O441" i="1" s="1"/>
  <c r="K147" i="2"/>
  <c r="E33" i="4"/>
  <c r="L289" i="1"/>
  <c r="L437" i="1" s="1"/>
  <c r="N289" i="1"/>
  <c r="N437" i="1" s="1"/>
  <c r="J289" i="1"/>
  <c r="J437" i="1" s="1"/>
  <c r="N280" i="1"/>
  <c r="N414" i="1" s="1"/>
  <c r="K138" i="2" s="1"/>
  <c r="K289" i="1"/>
  <c r="K293" i="1" s="1"/>
  <c r="K441" i="1" s="1"/>
  <c r="H146" i="2" s="1"/>
  <c r="M289" i="1"/>
  <c r="N398" i="1"/>
  <c r="N402" i="1"/>
  <c r="L280" i="1"/>
  <c r="L414" i="1" s="1"/>
  <c r="I138" i="2" s="1"/>
  <c r="L410" i="1"/>
  <c r="I134" i="2" s="1"/>
  <c r="I29" i="2" s="1"/>
  <c r="J280" i="1"/>
  <c r="J414" i="1" s="1"/>
  <c r="G138" i="2" s="1"/>
  <c r="J410" i="1"/>
  <c r="G134" i="2" s="1"/>
  <c r="G29" i="2" s="1"/>
  <c r="M280" i="1"/>
  <c r="M414" i="1" s="1"/>
  <c r="J138" i="2" s="1"/>
  <c r="M410" i="1"/>
  <c r="J134" i="2" s="1"/>
  <c r="J29" i="2" s="1"/>
  <c r="I280" i="1"/>
  <c r="I414" i="1" s="1"/>
  <c r="F138" i="2" s="1"/>
  <c r="I410" i="1"/>
  <c r="F134" i="2" s="1"/>
  <c r="F29" i="2" s="1"/>
  <c r="K280" i="1"/>
  <c r="K414" i="1" s="1"/>
  <c r="H138" i="2" s="1"/>
  <c r="K410" i="1"/>
  <c r="H134" i="2" s="1"/>
  <c r="H29" i="2" s="1"/>
  <c r="N167" i="1"/>
  <c r="M167" i="1"/>
  <c r="M115" i="1" s="1"/>
  <c r="J98" i="2" s="1"/>
  <c r="L167" i="1"/>
  <c r="L115" i="1" s="1"/>
  <c r="I98" i="2" s="1"/>
  <c r="K167" i="1"/>
  <c r="K115" i="1" s="1"/>
  <c r="H98" i="2" s="1"/>
  <c r="J167" i="1"/>
  <c r="J115" i="1" s="1"/>
  <c r="G98" i="2" s="1"/>
  <c r="I167" i="1"/>
  <c r="I115" i="1" s="1"/>
  <c r="F98" i="2" s="1"/>
  <c r="H167" i="1"/>
  <c r="H115" i="1" s="1"/>
  <c r="E98" i="2" s="1"/>
  <c r="G167" i="1"/>
  <c r="G115" i="1" s="1"/>
  <c r="D98" i="2" s="1"/>
  <c r="F167" i="1"/>
  <c r="F115" i="1" s="1"/>
  <c r="E167" i="1"/>
  <c r="E115" i="1" s="1"/>
  <c r="E178" i="1"/>
  <c r="N182" i="1"/>
  <c r="M182" i="1"/>
  <c r="L182" i="1"/>
  <c r="K182" i="1"/>
  <c r="J182" i="1"/>
  <c r="J174" i="1" s="1"/>
  <c r="I182" i="1"/>
  <c r="H182" i="1"/>
  <c r="G182" i="1"/>
  <c r="F182" i="1"/>
  <c r="E182" i="1"/>
  <c r="F465" i="1"/>
  <c r="G465" i="1" s="1"/>
  <c r="H465" i="1" s="1"/>
  <c r="I465" i="1" s="1"/>
  <c r="J465" i="1" s="1"/>
  <c r="K465" i="1" s="1"/>
  <c r="L465" i="1" s="1"/>
  <c r="M465" i="1" s="1"/>
  <c r="N465" i="1" s="1"/>
  <c r="O465" i="1" s="1"/>
  <c r="P465" i="1" s="1"/>
  <c r="Q465" i="1" s="1"/>
  <c r="R465" i="1" s="1"/>
  <c r="S465" i="1" s="1"/>
  <c r="T465" i="1" s="1"/>
  <c r="U465" i="1" s="1"/>
  <c r="F466" i="1"/>
  <c r="G466" i="1" s="1"/>
  <c r="H466" i="1" s="1"/>
  <c r="I466" i="1" s="1"/>
  <c r="J466" i="1" s="1"/>
  <c r="K466" i="1" s="1"/>
  <c r="L466" i="1" s="1"/>
  <c r="M466" i="1" s="1"/>
  <c r="N466" i="1" s="1"/>
  <c r="O466" i="1" s="1"/>
  <c r="P466" i="1" s="1"/>
  <c r="Q466" i="1" s="1"/>
  <c r="R466" i="1" s="1"/>
  <c r="S466" i="1" s="1"/>
  <c r="T466" i="1" s="1"/>
  <c r="U466" i="1" s="1"/>
  <c r="F450" i="1"/>
  <c r="G450" i="1" s="1"/>
  <c r="H450" i="1" s="1"/>
  <c r="I450" i="1" s="1"/>
  <c r="J450" i="1" s="1"/>
  <c r="K450" i="1" s="1"/>
  <c r="L450" i="1" s="1"/>
  <c r="M450" i="1" s="1"/>
  <c r="N450" i="1" s="1"/>
  <c r="O450" i="1" s="1"/>
  <c r="P450" i="1" s="1"/>
  <c r="Q450" i="1" s="1"/>
  <c r="R450" i="1" s="1"/>
  <c r="S450" i="1" s="1"/>
  <c r="T450" i="1" s="1"/>
  <c r="U450" i="1" s="1"/>
  <c r="F451" i="1"/>
  <c r="G451" i="1" s="1"/>
  <c r="H451" i="1" s="1"/>
  <c r="I451" i="1" s="1"/>
  <c r="J451" i="1" s="1"/>
  <c r="K451" i="1" s="1"/>
  <c r="L451" i="1" s="1"/>
  <c r="M451" i="1" s="1"/>
  <c r="N451" i="1" s="1"/>
  <c r="O451" i="1" s="1"/>
  <c r="P451" i="1" s="1"/>
  <c r="Q451" i="1" s="1"/>
  <c r="R451" i="1" s="1"/>
  <c r="S451" i="1" s="1"/>
  <c r="T451" i="1" s="1"/>
  <c r="U451" i="1" s="1"/>
  <c r="F435" i="1"/>
  <c r="G435" i="1" s="1"/>
  <c r="H435" i="1" s="1"/>
  <c r="I435" i="1" s="1"/>
  <c r="J435" i="1" s="1"/>
  <c r="K435" i="1" s="1"/>
  <c r="L435" i="1" s="1"/>
  <c r="M435" i="1" s="1"/>
  <c r="N435" i="1" s="1"/>
  <c r="O435" i="1" s="1"/>
  <c r="P435" i="1" s="1"/>
  <c r="Q435" i="1" s="1"/>
  <c r="R435" i="1" s="1"/>
  <c r="S435" i="1" s="1"/>
  <c r="T435" i="1" s="1"/>
  <c r="U435" i="1" s="1"/>
  <c r="F436" i="1"/>
  <c r="G436" i="1" s="1"/>
  <c r="H436" i="1" s="1"/>
  <c r="I436" i="1" s="1"/>
  <c r="J436" i="1" s="1"/>
  <c r="K436" i="1" s="1"/>
  <c r="L436" i="1" s="1"/>
  <c r="M436" i="1" s="1"/>
  <c r="N436" i="1" s="1"/>
  <c r="O436" i="1" s="1"/>
  <c r="P436" i="1" s="1"/>
  <c r="Q436" i="1" s="1"/>
  <c r="R436" i="1" s="1"/>
  <c r="S436" i="1" s="1"/>
  <c r="T436" i="1" s="1"/>
  <c r="U436" i="1" s="1"/>
  <c r="F421" i="1"/>
  <c r="G421" i="1" s="1"/>
  <c r="H421" i="1" s="1"/>
  <c r="I421" i="1" s="1"/>
  <c r="J421" i="1" s="1"/>
  <c r="K421" i="1" s="1"/>
  <c r="L421" i="1" s="1"/>
  <c r="M421" i="1" s="1"/>
  <c r="N421" i="1" s="1"/>
  <c r="O421" i="1" s="1"/>
  <c r="P421" i="1" s="1"/>
  <c r="Q421" i="1" s="1"/>
  <c r="R421" i="1" s="1"/>
  <c r="S421" i="1" s="1"/>
  <c r="T421" i="1" s="1"/>
  <c r="U421" i="1" s="1"/>
  <c r="F422" i="1"/>
  <c r="G422" i="1" s="1"/>
  <c r="H422" i="1" s="1"/>
  <c r="I422" i="1" s="1"/>
  <c r="J422" i="1" s="1"/>
  <c r="K422" i="1" s="1"/>
  <c r="L422" i="1" s="1"/>
  <c r="M422" i="1" s="1"/>
  <c r="N422" i="1" s="1"/>
  <c r="O422" i="1" s="1"/>
  <c r="P422" i="1" s="1"/>
  <c r="Q422" i="1" s="1"/>
  <c r="R422" i="1" s="1"/>
  <c r="S422" i="1" s="1"/>
  <c r="T422" i="1" s="1"/>
  <c r="U422" i="1" s="1"/>
  <c r="F408" i="1"/>
  <c r="G408" i="1" s="1"/>
  <c r="F409" i="1"/>
  <c r="G409" i="1" s="1"/>
  <c r="E177" i="4" l="1"/>
  <c r="E176" i="4" s="1"/>
  <c r="E175" i="4" s="1"/>
  <c r="E179" i="4"/>
  <c r="E180" i="4" s="1"/>
  <c r="E181" i="4" s="1"/>
  <c r="J423" i="1"/>
  <c r="G142" i="2"/>
  <c r="L423" i="1"/>
  <c r="I142" i="2"/>
  <c r="H409" i="1"/>
  <c r="D133" i="2"/>
  <c r="N427" i="1"/>
  <c r="K142" i="2"/>
  <c r="H408" i="1"/>
  <c r="D132" i="2"/>
  <c r="I91" i="1"/>
  <c r="E74" i="2"/>
  <c r="I90" i="1"/>
  <c r="E73" i="2"/>
  <c r="L427" i="1"/>
  <c r="L293" i="1"/>
  <c r="L441" i="1" s="1"/>
  <c r="I146" i="2" s="1"/>
  <c r="N423" i="1"/>
  <c r="K437" i="1"/>
  <c r="K427" i="1" s="1"/>
  <c r="J293" i="1"/>
  <c r="J441" i="1" s="1"/>
  <c r="G146" i="2" s="1"/>
  <c r="J427" i="1"/>
  <c r="N293" i="1"/>
  <c r="N441" i="1" s="1"/>
  <c r="K146" i="2" s="1"/>
  <c r="M437" i="1"/>
  <c r="J142" i="2" s="1"/>
  <c r="M293" i="1"/>
  <c r="M441" i="1" s="1"/>
  <c r="J146" i="2" s="1"/>
  <c r="R473" i="1"/>
  <c r="R101" i="1" s="1"/>
  <c r="I42" i="4" s="1"/>
  <c r="S473" i="1"/>
  <c r="S101" i="1" s="1"/>
  <c r="J42" i="4" s="1"/>
  <c r="K398" i="1"/>
  <c r="K402" i="1"/>
  <c r="M398" i="1"/>
  <c r="M402" i="1"/>
  <c r="I398" i="1"/>
  <c r="I402" i="1"/>
  <c r="J398" i="1"/>
  <c r="J402" i="1"/>
  <c r="L398" i="1"/>
  <c r="L402" i="1"/>
  <c r="J164" i="1"/>
  <c r="J163" i="1" s="1"/>
  <c r="J187" i="1" s="1"/>
  <c r="M164" i="1"/>
  <c r="N164" i="1"/>
  <c r="N115" i="1"/>
  <c r="K98" i="2" s="1"/>
  <c r="K164" i="1"/>
  <c r="G164" i="1"/>
  <c r="E164" i="1"/>
  <c r="F164" i="1"/>
  <c r="H164" i="1"/>
  <c r="L164" i="1"/>
  <c r="I164" i="1"/>
  <c r="F397" i="1"/>
  <c r="G397" i="1" s="1"/>
  <c r="H397" i="1" s="1"/>
  <c r="I397" i="1" s="1"/>
  <c r="J397" i="1" s="1"/>
  <c r="K397" i="1" s="1"/>
  <c r="L397" i="1" s="1"/>
  <c r="M397" i="1" s="1"/>
  <c r="N397" i="1" s="1"/>
  <c r="O397" i="1" s="1"/>
  <c r="P397" i="1" s="1"/>
  <c r="Q397" i="1" s="1"/>
  <c r="R397" i="1" s="1"/>
  <c r="S397" i="1" s="1"/>
  <c r="T397" i="1" s="1"/>
  <c r="U397" i="1" s="1"/>
  <c r="F396" i="1"/>
  <c r="G396" i="1" s="1"/>
  <c r="H396" i="1" s="1"/>
  <c r="I396" i="1" s="1"/>
  <c r="J396" i="1" s="1"/>
  <c r="K396" i="1" s="1"/>
  <c r="L396" i="1" s="1"/>
  <c r="M396" i="1" s="1"/>
  <c r="N396" i="1" s="1"/>
  <c r="O396" i="1" s="1"/>
  <c r="P396" i="1" s="1"/>
  <c r="Q396" i="1" s="1"/>
  <c r="R396" i="1" s="1"/>
  <c r="S396" i="1" s="1"/>
  <c r="T396" i="1" s="1"/>
  <c r="U396" i="1" s="1"/>
  <c r="K32" i="2" l="1"/>
  <c r="K38" i="2"/>
  <c r="I32" i="2"/>
  <c r="I38" i="2"/>
  <c r="G32" i="2"/>
  <c r="G38" i="2"/>
  <c r="J32" i="2"/>
  <c r="J38" i="2"/>
  <c r="J91" i="1"/>
  <c r="F74" i="2"/>
  <c r="I408" i="1"/>
  <c r="E132" i="2"/>
  <c r="J90" i="1"/>
  <c r="F73" i="2"/>
  <c r="I409" i="1"/>
  <c r="E133" i="2"/>
  <c r="K423" i="1"/>
  <c r="H142" i="2"/>
  <c r="M423" i="1"/>
  <c r="M427" i="1"/>
  <c r="T473" i="1"/>
  <c r="T101" i="1" s="1"/>
  <c r="K42" i="4" s="1"/>
  <c r="E21" i="19"/>
  <c r="E25" i="19"/>
  <c r="H32" i="2" l="1"/>
  <c r="H38" i="2"/>
  <c r="J409" i="1"/>
  <c r="F133" i="2"/>
  <c r="K91" i="1"/>
  <c r="G74" i="2"/>
  <c r="K90" i="1"/>
  <c r="G73" i="2"/>
  <c r="J408" i="1"/>
  <c r="F132" i="2"/>
  <c r="N344" i="1"/>
  <c r="M344" i="1"/>
  <c r="L344" i="1"/>
  <c r="K344" i="1"/>
  <c r="J344" i="1"/>
  <c r="I344" i="1"/>
  <c r="H344" i="1"/>
  <c r="G344" i="1"/>
  <c r="F344" i="1"/>
  <c r="E344" i="1"/>
  <c r="L91" i="1" l="1"/>
  <c r="H74" i="2"/>
  <c r="K409" i="1"/>
  <c r="G133" i="2"/>
  <c r="K408" i="1"/>
  <c r="G132" i="2"/>
  <c r="L90" i="1"/>
  <c r="H73" i="2"/>
  <c r="F342" i="1"/>
  <c r="G342" i="1" s="1"/>
  <c r="H342" i="1" s="1"/>
  <c r="I342" i="1" s="1"/>
  <c r="J342" i="1" s="1"/>
  <c r="K342" i="1" s="1"/>
  <c r="L342" i="1" s="1"/>
  <c r="M342" i="1" s="1"/>
  <c r="N342" i="1" s="1"/>
  <c r="O342" i="1" s="1"/>
  <c r="P342" i="1" s="1"/>
  <c r="Q342" i="1" s="1"/>
  <c r="R342" i="1" s="1"/>
  <c r="S342" i="1" s="1"/>
  <c r="T342" i="1" s="1"/>
  <c r="U342" i="1" s="1"/>
  <c r="F341" i="1"/>
  <c r="G341" i="1" s="1"/>
  <c r="H341" i="1" s="1"/>
  <c r="I341" i="1" s="1"/>
  <c r="J341" i="1" s="1"/>
  <c r="K341" i="1" s="1"/>
  <c r="L341" i="1" s="1"/>
  <c r="M341" i="1" s="1"/>
  <c r="N341" i="1" s="1"/>
  <c r="O341" i="1" s="1"/>
  <c r="P341" i="1" s="1"/>
  <c r="Q341" i="1" s="1"/>
  <c r="R341" i="1" s="1"/>
  <c r="S341" i="1" s="1"/>
  <c r="T341" i="1" s="1"/>
  <c r="U341" i="1" s="1"/>
  <c r="M90" i="1" l="1"/>
  <c r="I73" i="2"/>
  <c r="L408" i="1"/>
  <c r="H132" i="2"/>
  <c r="L409" i="1"/>
  <c r="H133" i="2"/>
  <c r="M91" i="1"/>
  <c r="I74" i="2"/>
  <c r="N26" i="1"/>
  <c r="M26" i="1"/>
  <c r="L26" i="1"/>
  <c r="K26" i="1"/>
  <c r="J26" i="1"/>
  <c r="I26" i="1"/>
  <c r="E26" i="1"/>
  <c r="N25" i="1"/>
  <c r="M25" i="1"/>
  <c r="L25" i="1"/>
  <c r="K25" i="1"/>
  <c r="J25" i="1"/>
  <c r="I25" i="1"/>
  <c r="E25" i="1"/>
  <c r="N24" i="1"/>
  <c r="M24" i="1"/>
  <c r="L24" i="1"/>
  <c r="K24" i="1"/>
  <c r="J24" i="1"/>
  <c r="I24" i="1"/>
  <c r="E24" i="1"/>
  <c r="L14" i="1" l="1"/>
  <c r="L13" i="1"/>
  <c r="I65" i="2" s="1"/>
  <c r="K14" i="1"/>
  <c r="H66" i="2" s="1"/>
  <c r="K13" i="1"/>
  <c r="H65" i="2" s="1"/>
  <c r="E14" i="1"/>
  <c r="E13" i="1"/>
  <c r="M14" i="1"/>
  <c r="J66" i="2" s="1"/>
  <c r="M13" i="1"/>
  <c r="J65" i="2" s="1"/>
  <c r="N14" i="1"/>
  <c r="E24" i="4" s="1"/>
  <c r="N13" i="1"/>
  <c r="I14" i="1"/>
  <c r="F66" i="2" s="1"/>
  <c r="I13" i="1"/>
  <c r="F65" i="2" s="1"/>
  <c r="I66" i="2"/>
  <c r="J14" i="1"/>
  <c r="G66" i="2" s="1"/>
  <c r="J13" i="1"/>
  <c r="G65" i="2" s="1"/>
  <c r="M409" i="1"/>
  <c r="I133" i="2"/>
  <c r="N91" i="1"/>
  <c r="J74" i="2"/>
  <c r="M408" i="1"/>
  <c r="I132" i="2"/>
  <c r="N90" i="1"/>
  <c r="J73" i="2"/>
  <c r="E250" i="1"/>
  <c r="E251" i="1" s="1"/>
  <c r="E252" i="1" s="1"/>
  <c r="E253" i="1" s="1"/>
  <c r="H249" i="1"/>
  <c r="G249" i="1"/>
  <c r="F249" i="1"/>
  <c r="E249" i="1"/>
  <c r="H248" i="1"/>
  <c r="G248" i="1"/>
  <c r="F248" i="1"/>
  <c r="E248" i="1"/>
  <c r="H247" i="1"/>
  <c r="G247" i="1"/>
  <c r="F247" i="1"/>
  <c r="E247" i="1"/>
  <c r="H246" i="1"/>
  <c r="G246" i="1"/>
  <c r="F246" i="1"/>
  <c r="E246" i="1"/>
  <c r="F259" i="1"/>
  <c r="G259" i="1" s="1"/>
  <c r="H259" i="1" s="1"/>
  <c r="I259" i="1" s="1"/>
  <c r="J259" i="1" s="1"/>
  <c r="K259" i="1" s="1"/>
  <c r="L259" i="1" s="1"/>
  <c r="M259" i="1" s="1"/>
  <c r="N259" i="1" s="1"/>
  <c r="B246" i="1"/>
  <c r="B247" i="1" s="1"/>
  <c r="B248" i="1" s="1"/>
  <c r="B249" i="1" s="1"/>
  <c r="B250" i="1" s="1"/>
  <c r="B251" i="1" s="1"/>
  <c r="B252" i="1" s="1"/>
  <c r="B253" i="1" s="1"/>
  <c r="H245" i="1"/>
  <c r="G245" i="1"/>
  <c r="F245" i="1"/>
  <c r="E245" i="1"/>
  <c r="F243" i="1"/>
  <c r="G243" i="1" s="1"/>
  <c r="H243" i="1" s="1"/>
  <c r="I243" i="1" s="1"/>
  <c r="J243" i="1" s="1"/>
  <c r="K243" i="1" s="1"/>
  <c r="L243" i="1" s="1"/>
  <c r="M243" i="1" s="1"/>
  <c r="N243" i="1" s="1"/>
  <c r="H240" i="1"/>
  <c r="H263" i="1" s="1"/>
  <c r="H24" i="1" s="1"/>
  <c r="G240" i="1"/>
  <c r="G263" i="1" s="1"/>
  <c r="G24" i="1" s="1"/>
  <c r="F240" i="1"/>
  <c r="F263" i="1" s="1"/>
  <c r="F24" i="1" s="1"/>
  <c r="H237" i="1"/>
  <c r="H276" i="1" s="1"/>
  <c r="H410" i="1" s="1"/>
  <c r="G237" i="1"/>
  <c r="G276" i="1" s="1"/>
  <c r="G410" i="1" s="1"/>
  <c r="F237" i="1"/>
  <c r="F276" i="1" s="1"/>
  <c r="F410" i="1" s="1"/>
  <c r="F402" i="1" s="1"/>
  <c r="E237" i="1"/>
  <c r="E276" i="1" s="1"/>
  <c r="F232" i="1"/>
  <c r="H28" i="20"/>
  <c r="N382" i="1"/>
  <c r="M382" i="1"/>
  <c r="L382" i="1"/>
  <c r="K382" i="1"/>
  <c r="O381" i="1"/>
  <c r="F380" i="1"/>
  <c r="G380" i="1" s="1"/>
  <c r="H380" i="1" s="1"/>
  <c r="I380" i="1" s="1"/>
  <c r="J380" i="1" s="1"/>
  <c r="K380" i="1" s="1"/>
  <c r="L380" i="1" s="1"/>
  <c r="M380" i="1" s="1"/>
  <c r="N380" i="1" s="1"/>
  <c r="O380" i="1" s="1"/>
  <c r="P380" i="1" s="1"/>
  <c r="Q380" i="1" s="1"/>
  <c r="R380" i="1" s="1"/>
  <c r="S380" i="1" s="1"/>
  <c r="T380" i="1" s="1"/>
  <c r="U380" i="1" s="1"/>
  <c r="F379" i="1"/>
  <c r="G379" i="1" s="1"/>
  <c r="H379" i="1" s="1"/>
  <c r="I379" i="1" s="1"/>
  <c r="J379" i="1" s="1"/>
  <c r="K379" i="1" s="1"/>
  <c r="L379" i="1" s="1"/>
  <c r="M379" i="1" s="1"/>
  <c r="N379" i="1" s="1"/>
  <c r="O379" i="1" s="1"/>
  <c r="P379" i="1" s="1"/>
  <c r="Q379" i="1" s="1"/>
  <c r="R379" i="1" s="1"/>
  <c r="S379" i="1" s="1"/>
  <c r="T379" i="1" s="1"/>
  <c r="U379" i="1" s="1"/>
  <c r="N365" i="1"/>
  <c r="M365" i="1"/>
  <c r="L365" i="1"/>
  <c r="K365" i="1"/>
  <c r="J365" i="1"/>
  <c r="I365" i="1"/>
  <c r="H365" i="1"/>
  <c r="G365" i="1"/>
  <c r="F365" i="1"/>
  <c r="N363" i="1"/>
  <c r="N362" i="1" s="1"/>
  <c r="M363" i="1"/>
  <c r="M362" i="1" s="1"/>
  <c r="L363" i="1"/>
  <c r="L362" i="1" s="1"/>
  <c r="K363" i="1"/>
  <c r="K362" i="1" s="1"/>
  <c r="J363" i="1"/>
  <c r="J362" i="1" s="1"/>
  <c r="I363" i="1"/>
  <c r="I362" i="1" s="1"/>
  <c r="H363" i="1"/>
  <c r="H362" i="1" s="1"/>
  <c r="G363" i="1"/>
  <c r="G362" i="1" s="1"/>
  <c r="F363" i="1"/>
  <c r="F362" i="1" s="1"/>
  <c r="E363" i="1"/>
  <c r="E362" i="1" s="1"/>
  <c r="F358" i="1"/>
  <c r="G358" i="1" s="1"/>
  <c r="H358" i="1" s="1"/>
  <c r="I358" i="1" s="1"/>
  <c r="J358" i="1" s="1"/>
  <c r="K358" i="1" s="1"/>
  <c r="L358" i="1" s="1"/>
  <c r="M358" i="1" s="1"/>
  <c r="N358" i="1" s="1"/>
  <c r="O358" i="1" s="1"/>
  <c r="P358" i="1" s="1"/>
  <c r="Q358" i="1" s="1"/>
  <c r="R358" i="1" s="1"/>
  <c r="S358" i="1" s="1"/>
  <c r="T358" i="1" s="1"/>
  <c r="U358" i="1" s="1"/>
  <c r="F357" i="1"/>
  <c r="G357" i="1" s="1"/>
  <c r="H357" i="1" s="1"/>
  <c r="I357" i="1" s="1"/>
  <c r="J357" i="1" s="1"/>
  <c r="K357" i="1" s="1"/>
  <c r="L357" i="1" s="1"/>
  <c r="M357" i="1" s="1"/>
  <c r="N357" i="1" s="1"/>
  <c r="O357" i="1" s="1"/>
  <c r="P357" i="1" s="1"/>
  <c r="Q357" i="1" s="1"/>
  <c r="R357" i="1" s="1"/>
  <c r="S357" i="1" s="1"/>
  <c r="T357" i="1" s="1"/>
  <c r="U357" i="1" s="1"/>
  <c r="N339" i="1"/>
  <c r="M339" i="1"/>
  <c r="L339" i="1"/>
  <c r="K339" i="1"/>
  <c r="J339" i="1"/>
  <c r="I339" i="1"/>
  <c r="H339" i="1"/>
  <c r="G339" i="1"/>
  <c r="F339" i="1"/>
  <c r="O338" i="1"/>
  <c r="N334" i="1"/>
  <c r="M334" i="1"/>
  <c r="L334" i="1"/>
  <c r="K334" i="1"/>
  <c r="J334" i="1"/>
  <c r="I334" i="1"/>
  <c r="H334" i="1"/>
  <c r="G334" i="1"/>
  <c r="F334" i="1"/>
  <c r="N329" i="1"/>
  <c r="M329" i="1"/>
  <c r="L329" i="1"/>
  <c r="K329" i="1"/>
  <c r="J329" i="1"/>
  <c r="I329" i="1"/>
  <c r="H329" i="1"/>
  <c r="G329" i="1"/>
  <c r="F329" i="1"/>
  <c r="O328" i="1"/>
  <c r="N324" i="1"/>
  <c r="M324" i="1"/>
  <c r="L324" i="1"/>
  <c r="K324" i="1"/>
  <c r="J324" i="1"/>
  <c r="I324" i="1"/>
  <c r="H324" i="1"/>
  <c r="G324" i="1"/>
  <c r="F324" i="1"/>
  <c r="N319" i="1"/>
  <c r="M319" i="1"/>
  <c r="L319" i="1"/>
  <c r="K319" i="1"/>
  <c r="J319" i="1"/>
  <c r="I319" i="1"/>
  <c r="H319" i="1"/>
  <c r="G319" i="1"/>
  <c r="F319" i="1"/>
  <c r="O318" i="1"/>
  <c r="N313" i="1"/>
  <c r="N307" i="1" s="1"/>
  <c r="M313" i="1"/>
  <c r="L313" i="1"/>
  <c r="L307" i="1" s="1"/>
  <c r="K313" i="1"/>
  <c r="K307" i="1" s="1"/>
  <c r="J313" i="1"/>
  <c r="I313" i="1"/>
  <c r="I307" i="1" s="1"/>
  <c r="H313" i="1"/>
  <c r="H307" i="1" s="1"/>
  <c r="G313" i="1"/>
  <c r="G307" i="1" s="1"/>
  <c r="F313" i="1"/>
  <c r="F307" i="1" s="1"/>
  <c r="E313" i="1"/>
  <c r="E307" i="1" s="1"/>
  <c r="E310" i="1" s="1"/>
  <c r="N305" i="1"/>
  <c r="M305" i="1"/>
  <c r="L305" i="1"/>
  <c r="K305" i="1"/>
  <c r="J305" i="1"/>
  <c r="I305" i="1"/>
  <c r="H305" i="1"/>
  <c r="G305" i="1"/>
  <c r="F305" i="1"/>
  <c r="F303" i="1"/>
  <c r="G303" i="1" s="1"/>
  <c r="H303" i="1" s="1"/>
  <c r="I303" i="1" s="1"/>
  <c r="J303" i="1" s="1"/>
  <c r="K303" i="1" s="1"/>
  <c r="L303" i="1" s="1"/>
  <c r="M303" i="1" s="1"/>
  <c r="N303" i="1" s="1"/>
  <c r="O303" i="1" s="1"/>
  <c r="P303" i="1" s="1"/>
  <c r="Q303" i="1" s="1"/>
  <c r="R303" i="1" s="1"/>
  <c r="S303" i="1" s="1"/>
  <c r="T303" i="1" s="1"/>
  <c r="U303" i="1" s="1"/>
  <c r="F302" i="1"/>
  <c r="G302" i="1" s="1"/>
  <c r="H302" i="1" s="1"/>
  <c r="I302" i="1" s="1"/>
  <c r="J302" i="1" s="1"/>
  <c r="K302" i="1" s="1"/>
  <c r="L302" i="1" s="1"/>
  <c r="M302" i="1" s="1"/>
  <c r="N302" i="1" s="1"/>
  <c r="O302" i="1" s="1"/>
  <c r="P302" i="1" s="1"/>
  <c r="Q302" i="1" s="1"/>
  <c r="R302" i="1" s="1"/>
  <c r="S302" i="1" s="1"/>
  <c r="T302" i="1" s="1"/>
  <c r="U302" i="1" s="1"/>
  <c r="N215" i="1"/>
  <c r="M215" i="1"/>
  <c r="L215" i="1"/>
  <c r="K215" i="1"/>
  <c r="J215" i="1"/>
  <c r="I215" i="1"/>
  <c r="H213" i="1"/>
  <c r="H212" i="1" s="1"/>
  <c r="G213" i="1"/>
  <c r="G212" i="1" s="1"/>
  <c r="F213" i="1"/>
  <c r="F212" i="1" s="1"/>
  <c r="E213" i="1"/>
  <c r="E212" i="1" s="1"/>
  <c r="N206" i="1"/>
  <c r="N204" i="1" s="1"/>
  <c r="M206" i="1"/>
  <c r="M204" i="1" s="1"/>
  <c r="M202" i="1" s="1"/>
  <c r="L206" i="1"/>
  <c r="L204" i="1" s="1"/>
  <c r="L202" i="1" s="1"/>
  <c r="K206" i="1"/>
  <c r="K204" i="1" s="1"/>
  <c r="K202" i="1" s="1"/>
  <c r="J206" i="1"/>
  <c r="J204" i="1" s="1"/>
  <c r="J202" i="1" s="1"/>
  <c r="I206" i="1"/>
  <c r="I204" i="1" s="1"/>
  <c r="I202" i="1" s="1"/>
  <c r="H204" i="1"/>
  <c r="H202" i="1" s="1"/>
  <c r="G204" i="1"/>
  <c r="G202" i="1" s="1"/>
  <c r="F204" i="1"/>
  <c r="F202" i="1" s="1"/>
  <c r="E204" i="1"/>
  <c r="E202" i="1" s="1"/>
  <c r="N178" i="1"/>
  <c r="M178" i="1"/>
  <c r="M174" i="1" s="1"/>
  <c r="M163" i="1" s="1"/>
  <c r="M187" i="1" s="1"/>
  <c r="L178" i="1"/>
  <c r="L174" i="1" s="1"/>
  <c r="L163" i="1" s="1"/>
  <c r="L187" i="1" s="1"/>
  <c r="K178" i="1"/>
  <c r="K174" i="1" s="1"/>
  <c r="K163" i="1" s="1"/>
  <c r="K187" i="1" s="1"/>
  <c r="I178" i="1"/>
  <c r="H178" i="1"/>
  <c r="H174" i="1" s="1"/>
  <c r="H163" i="1" s="1"/>
  <c r="H187" i="1" s="1"/>
  <c r="G178" i="1"/>
  <c r="G174" i="1" s="1"/>
  <c r="G163" i="1" s="1"/>
  <c r="G187" i="1" s="1"/>
  <c r="F178" i="1"/>
  <c r="F174" i="1" s="1"/>
  <c r="F163" i="1" s="1"/>
  <c r="F187" i="1" s="1"/>
  <c r="F162" i="1"/>
  <c r="G162" i="1" s="1"/>
  <c r="H162" i="1" s="1"/>
  <c r="I162" i="1" s="1"/>
  <c r="J162" i="1" s="1"/>
  <c r="K162" i="1" s="1"/>
  <c r="L162" i="1" s="1"/>
  <c r="M162" i="1" s="1"/>
  <c r="N162" i="1" s="1"/>
  <c r="F161" i="1"/>
  <c r="G161" i="1" s="1"/>
  <c r="H161" i="1" s="1"/>
  <c r="I161" i="1" s="1"/>
  <c r="J161" i="1" s="1"/>
  <c r="K161" i="1" s="1"/>
  <c r="L161" i="1" s="1"/>
  <c r="M161" i="1" s="1"/>
  <c r="N161" i="1" s="1"/>
  <c r="M78" i="1"/>
  <c r="L78" i="1"/>
  <c r="M75" i="1"/>
  <c r="L75" i="1"/>
  <c r="N68" i="1"/>
  <c r="M68" i="1"/>
  <c r="L68" i="1"/>
  <c r="K68" i="1"/>
  <c r="J68" i="1"/>
  <c r="I68" i="1"/>
  <c r="H68" i="1"/>
  <c r="G68" i="1"/>
  <c r="F68" i="1"/>
  <c r="E68" i="1"/>
  <c r="N61" i="1"/>
  <c r="L138" i="4" s="1"/>
  <c r="M61" i="1"/>
  <c r="L61" i="1"/>
  <c r="K61" i="1"/>
  <c r="J61" i="1"/>
  <c r="I61" i="1"/>
  <c r="H61" i="1"/>
  <c r="G61" i="1"/>
  <c r="F61" i="1"/>
  <c r="E61" i="1"/>
  <c r="N57" i="1"/>
  <c r="M57" i="1"/>
  <c r="L57" i="1"/>
  <c r="K57" i="1"/>
  <c r="J57" i="1"/>
  <c r="I57" i="1"/>
  <c r="H57" i="1"/>
  <c r="G57" i="1"/>
  <c r="F57" i="1"/>
  <c r="E57" i="1"/>
  <c r="N53" i="1"/>
  <c r="M53" i="1"/>
  <c r="L53" i="1"/>
  <c r="K53" i="1"/>
  <c r="J53" i="1"/>
  <c r="I53" i="1"/>
  <c r="H53" i="1"/>
  <c r="G53" i="1"/>
  <c r="F53" i="1"/>
  <c r="E53" i="1"/>
  <c r="N52" i="1"/>
  <c r="M52" i="1"/>
  <c r="L52" i="1"/>
  <c r="K52" i="1"/>
  <c r="J52" i="1"/>
  <c r="I52" i="1"/>
  <c r="H52" i="1"/>
  <c r="G52" i="1"/>
  <c r="F52" i="1"/>
  <c r="E52" i="1"/>
  <c r="F47" i="1"/>
  <c r="G47" i="1" s="1"/>
  <c r="H47" i="1" s="1"/>
  <c r="I47" i="1" s="1"/>
  <c r="J47" i="1" s="1"/>
  <c r="K47" i="1" s="1"/>
  <c r="L47" i="1" s="1"/>
  <c r="M47" i="1" s="1"/>
  <c r="N47" i="1" s="1"/>
  <c r="F46" i="1"/>
  <c r="G46" i="1" s="1"/>
  <c r="H46" i="1" s="1"/>
  <c r="I46" i="1" s="1"/>
  <c r="J46" i="1" s="1"/>
  <c r="K46" i="1" s="1"/>
  <c r="L46" i="1" s="1"/>
  <c r="M46" i="1" s="1"/>
  <c r="N46" i="1" s="1"/>
  <c r="N41" i="1"/>
  <c r="M41" i="1"/>
  <c r="L41" i="1"/>
  <c r="K41" i="1"/>
  <c r="J41" i="1"/>
  <c r="I41" i="1"/>
  <c r="H41" i="1"/>
  <c r="G41" i="1"/>
  <c r="F41" i="1"/>
  <c r="E41" i="1"/>
  <c r="N39" i="1"/>
  <c r="M39" i="1"/>
  <c r="L39" i="1"/>
  <c r="K39" i="1"/>
  <c r="J39" i="1"/>
  <c r="I39" i="1"/>
  <c r="H39" i="1"/>
  <c r="G39" i="1"/>
  <c r="F39" i="1"/>
  <c r="E39" i="1"/>
  <c r="F31" i="1"/>
  <c r="G31" i="1" s="1"/>
  <c r="H31" i="1" s="1"/>
  <c r="I31" i="1" s="1"/>
  <c r="J31" i="1" s="1"/>
  <c r="K31" i="1" s="1"/>
  <c r="L31" i="1" s="1"/>
  <c r="M31" i="1" s="1"/>
  <c r="N31" i="1" s="1"/>
  <c r="O31" i="1" s="1"/>
  <c r="P31" i="1" s="1"/>
  <c r="Q31" i="1" s="1"/>
  <c r="R31" i="1" s="1"/>
  <c r="S31" i="1" s="1"/>
  <c r="T31" i="1" s="1"/>
  <c r="U31" i="1" s="1"/>
  <c r="F30" i="1"/>
  <c r="G30" i="1" s="1"/>
  <c r="H30" i="1" s="1"/>
  <c r="I30" i="1" s="1"/>
  <c r="J30" i="1" s="1"/>
  <c r="K30" i="1" s="1"/>
  <c r="L30" i="1" s="1"/>
  <c r="M30" i="1" s="1"/>
  <c r="N30" i="1" s="1"/>
  <c r="O30" i="1" s="1"/>
  <c r="P30" i="1" s="1"/>
  <c r="Q30" i="1" s="1"/>
  <c r="R30" i="1" s="1"/>
  <c r="S30" i="1" s="1"/>
  <c r="T30" i="1" s="1"/>
  <c r="U30" i="1" s="1"/>
  <c r="F22" i="1"/>
  <c r="G22" i="1" s="1"/>
  <c r="H22" i="1" s="1"/>
  <c r="I22" i="1" s="1"/>
  <c r="J22" i="1" s="1"/>
  <c r="K22" i="1" s="1"/>
  <c r="L22" i="1" s="1"/>
  <c r="M22" i="1" s="1"/>
  <c r="N22" i="1" s="1"/>
  <c r="F21" i="1"/>
  <c r="G21" i="1" s="1"/>
  <c r="H21" i="1" s="1"/>
  <c r="I21" i="1" s="1"/>
  <c r="J21" i="1" s="1"/>
  <c r="K21" i="1" s="1"/>
  <c r="L21" i="1" s="1"/>
  <c r="M21" i="1" s="1"/>
  <c r="N21" i="1" s="1"/>
  <c r="F7" i="1"/>
  <c r="G7" i="1" s="1"/>
  <c r="F6" i="1"/>
  <c r="G6" i="1" s="1"/>
  <c r="F35" i="2" l="1"/>
  <c r="G35" i="2"/>
  <c r="J35" i="2"/>
  <c r="I35" i="2"/>
  <c r="H35" i="2"/>
  <c r="K66" i="2"/>
  <c r="E23" i="4"/>
  <c r="E70" i="4" s="1"/>
  <c r="K65" i="2"/>
  <c r="O324" i="1"/>
  <c r="P324" i="1" s="1"/>
  <c r="Q324" i="1" s="1"/>
  <c r="R324" i="1" s="1"/>
  <c r="S324" i="1" s="1"/>
  <c r="T324" i="1" s="1"/>
  <c r="U324" i="1" s="1"/>
  <c r="O138" i="4"/>
  <c r="L167" i="4"/>
  <c r="O90" i="1"/>
  <c r="P90" i="1" s="1"/>
  <c r="Q90" i="1" s="1"/>
  <c r="R90" i="1" s="1"/>
  <c r="S90" i="1" s="1"/>
  <c r="T90" i="1" s="1"/>
  <c r="U90" i="1" s="1"/>
  <c r="K73" i="2"/>
  <c r="H402" i="1"/>
  <c r="E134" i="2"/>
  <c r="E29" i="2" s="1"/>
  <c r="G402" i="1"/>
  <c r="D134" i="2"/>
  <c r="D29" i="2" s="1"/>
  <c r="N408" i="1"/>
  <c r="J132" i="2"/>
  <c r="O91" i="1"/>
  <c r="P91" i="1" s="1"/>
  <c r="Q91" i="1" s="1"/>
  <c r="R91" i="1" s="1"/>
  <c r="S91" i="1" s="1"/>
  <c r="T91" i="1" s="1"/>
  <c r="U91" i="1" s="1"/>
  <c r="K74" i="2"/>
  <c r="N409" i="1"/>
  <c r="J133" i="2"/>
  <c r="H6" i="1"/>
  <c r="D58" i="2"/>
  <c r="H7" i="1"/>
  <c r="D59" i="2"/>
  <c r="J109" i="1"/>
  <c r="I109" i="1"/>
  <c r="O389" i="1"/>
  <c r="O386" i="1" s="1"/>
  <c r="K109" i="1"/>
  <c r="N109" i="1"/>
  <c r="L109" i="1"/>
  <c r="M109" i="1"/>
  <c r="L310" i="1"/>
  <c r="J186" i="1"/>
  <c r="J102" i="1" s="1"/>
  <c r="G85" i="2" s="1"/>
  <c r="J119" i="1"/>
  <c r="G102" i="2" s="1"/>
  <c r="N213" i="1"/>
  <c r="N212" i="1" s="1"/>
  <c r="N202" i="1"/>
  <c r="I174" i="1"/>
  <c r="I163" i="1" s="1"/>
  <c r="I187" i="1" s="1"/>
  <c r="N174" i="1"/>
  <c r="N163" i="1" s="1"/>
  <c r="E280" i="1"/>
  <c r="E414" i="1" s="1"/>
  <c r="E410" i="1"/>
  <c r="I213" i="1"/>
  <c r="I212" i="1" s="1"/>
  <c r="I190" i="1" s="1"/>
  <c r="J213" i="1"/>
  <c r="J212" i="1" s="1"/>
  <c r="J190" i="1" s="1"/>
  <c r="J225" i="1" s="1"/>
  <c r="K213" i="1"/>
  <c r="K212" i="1" s="1"/>
  <c r="K190" i="1" s="1"/>
  <c r="K225" i="1" s="1"/>
  <c r="L213" i="1"/>
  <c r="L212" i="1" s="1"/>
  <c r="L190" i="1" s="1"/>
  <c r="L225" i="1" s="1"/>
  <c r="M213" i="1"/>
  <c r="M212" i="1" s="1"/>
  <c r="M190" i="1" s="1"/>
  <c r="M225" i="1" s="1"/>
  <c r="P338" i="1"/>
  <c r="P318" i="1"/>
  <c r="O41" i="1"/>
  <c r="E256" i="1"/>
  <c r="E255" i="1"/>
  <c r="E257" i="1" s="1"/>
  <c r="G232" i="1"/>
  <c r="L314" i="1"/>
  <c r="K314" i="1"/>
  <c r="N314" i="1"/>
  <c r="O323" i="1"/>
  <c r="F314" i="1"/>
  <c r="F56" i="1"/>
  <c r="F65" i="1" s="1"/>
  <c r="H190" i="1"/>
  <c r="H225" i="1" s="1"/>
  <c r="E56" i="1"/>
  <c r="E65" i="1" s="1"/>
  <c r="G56" i="1"/>
  <c r="G65" i="1" s="1"/>
  <c r="H56" i="1"/>
  <c r="H65" i="1" s="1"/>
  <c r="I56" i="1"/>
  <c r="I65" i="1" s="1"/>
  <c r="G314" i="1"/>
  <c r="E190" i="1"/>
  <c r="F190" i="1"/>
  <c r="F225" i="1" s="1"/>
  <c r="N310" i="1"/>
  <c r="K56" i="1"/>
  <c r="K65" i="1" s="1"/>
  <c r="J56" i="1"/>
  <c r="J65" i="1" s="1"/>
  <c r="L56" i="1"/>
  <c r="L65" i="1" s="1"/>
  <c r="M307" i="1"/>
  <c r="M56" i="1"/>
  <c r="M65" i="1" s="1"/>
  <c r="N56" i="1"/>
  <c r="N65" i="1" s="1"/>
  <c r="O334" i="1"/>
  <c r="P334" i="1" s="1"/>
  <c r="Q334" i="1" s="1"/>
  <c r="R334" i="1" s="1"/>
  <c r="S334" i="1" s="1"/>
  <c r="T334" i="1" s="1"/>
  <c r="U334" i="1" s="1"/>
  <c r="H308" i="1"/>
  <c r="H314" i="1"/>
  <c r="J314" i="1"/>
  <c r="I314" i="1"/>
  <c r="O365" i="1"/>
  <c r="O364" i="1" s="1"/>
  <c r="I308" i="1"/>
  <c r="F308" i="1"/>
  <c r="P328" i="1"/>
  <c r="G190" i="1"/>
  <c r="G225" i="1" s="1"/>
  <c r="G308" i="1"/>
  <c r="P381" i="1"/>
  <c r="J307" i="1"/>
  <c r="M314" i="1"/>
  <c r="K35" i="2" l="1"/>
  <c r="O408" i="1"/>
  <c r="P408" i="1" s="1"/>
  <c r="Q408" i="1" s="1"/>
  <c r="R408" i="1" s="1"/>
  <c r="S408" i="1" s="1"/>
  <c r="T408" i="1" s="1"/>
  <c r="U408" i="1" s="1"/>
  <c r="K132" i="2"/>
  <c r="K494" i="1"/>
  <c r="K491" i="1" s="1"/>
  <c r="K484" i="1" s="1"/>
  <c r="H92" i="2"/>
  <c r="M494" i="1"/>
  <c r="M491" i="1" s="1"/>
  <c r="J92" i="2"/>
  <c r="E50" i="4"/>
  <c r="E81" i="4" s="1"/>
  <c r="K92" i="2"/>
  <c r="I494" i="1"/>
  <c r="I491" i="1" s="1"/>
  <c r="I484" i="1" s="1"/>
  <c r="F92" i="2"/>
  <c r="O409" i="1"/>
  <c r="P409" i="1" s="1"/>
  <c r="Q409" i="1" s="1"/>
  <c r="R409" i="1" s="1"/>
  <c r="S409" i="1" s="1"/>
  <c r="T409" i="1" s="1"/>
  <c r="U409" i="1" s="1"/>
  <c r="K133" i="2"/>
  <c r="L494" i="1"/>
  <c r="L491" i="1" s="1"/>
  <c r="L484" i="1" s="1"/>
  <c r="I92" i="2"/>
  <c r="J494" i="1"/>
  <c r="J491" i="1" s="1"/>
  <c r="J484" i="1" s="1"/>
  <c r="G92" i="2"/>
  <c r="I7" i="1"/>
  <c r="E59" i="2"/>
  <c r="I6" i="1"/>
  <c r="E58" i="2"/>
  <c r="J106" i="1"/>
  <c r="G89" i="2" s="1"/>
  <c r="N494" i="1"/>
  <c r="N491" i="1" s="1"/>
  <c r="N484" i="1" s="1"/>
  <c r="N106" i="1"/>
  <c r="K89" i="2" s="1"/>
  <c r="N187" i="1"/>
  <c r="N119" i="1" s="1"/>
  <c r="L149" i="4" s="1"/>
  <c r="L106" i="1"/>
  <c r="I89" i="2" s="1"/>
  <c r="K106" i="1"/>
  <c r="H89" i="2" s="1"/>
  <c r="M106" i="1"/>
  <c r="J89" i="2" s="1"/>
  <c r="I106" i="1"/>
  <c r="F89" i="2" s="1"/>
  <c r="J67" i="1"/>
  <c r="J71" i="1" s="1"/>
  <c r="J73" i="1" s="1"/>
  <c r="J14" i="7"/>
  <c r="I67" i="1"/>
  <c r="I71" i="1" s="1"/>
  <c r="I73" i="1" s="1"/>
  <c r="I14" i="7"/>
  <c r="N67" i="1"/>
  <c r="N71" i="1" s="1"/>
  <c r="N73" i="1" s="1"/>
  <c r="N14" i="7"/>
  <c r="E67" i="1"/>
  <c r="E71" i="1" s="1"/>
  <c r="E73" i="1" s="1"/>
  <c r="E14" i="7"/>
  <c r="K67" i="1"/>
  <c r="K71" i="1" s="1"/>
  <c r="K73" i="1" s="1"/>
  <c r="K14" i="7"/>
  <c r="M67" i="1"/>
  <c r="M71" i="1" s="1"/>
  <c r="M73" i="1" s="1"/>
  <c r="M14" i="7"/>
  <c r="G67" i="1"/>
  <c r="G71" i="1" s="1"/>
  <c r="G73" i="1" s="1"/>
  <c r="G14" i="7"/>
  <c r="L67" i="1"/>
  <c r="L71" i="1" s="1"/>
  <c r="L73" i="1" s="1"/>
  <c r="L14" i="7"/>
  <c r="H67" i="1"/>
  <c r="H71" i="1" s="1"/>
  <c r="H73" i="1" s="1"/>
  <c r="H14" i="7"/>
  <c r="F67" i="1"/>
  <c r="F71" i="1" s="1"/>
  <c r="F73" i="1" s="1"/>
  <c r="F14" i="7"/>
  <c r="P386" i="1"/>
  <c r="P389" i="1" s="1"/>
  <c r="I186" i="1"/>
  <c r="I102" i="1" s="1"/>
  <c r="F85" i="2" s="1"/>
  <c r="I119" i="1"/>
  <c r="L186" i="1"/>
  <c r="L102" i="1" s="1"/>
  <c r="I85" i="2" s="1"/>
  <c r="L119" i="1"/>
  <c r="F186" i="1"/>
  <c r="F102" i="1" s="1"/>
  <c r="F119" i="1"/>
  <c r="M186" i="1"/>
  <c r="M102" i="1" s="1"/>
  <c r="J85" i="2" s="1"/>
  <c r="M119" i="1"/>
  <c r="K186" i="1"/>
  <c r="K102" i="1" s="1"/>
  <c r="H85" i="2" s="1"/>
  <c r="K119" i="1"/>
  <c r="G186" i="1"/>
  <c r="G102" i="1" s="1"/>
  <c r="D85" i="2" s="1"/>
  <c r="G119" i="1"/>
  <c r="H186" i="1"/>
  <c r="H102" i="1" s="1"/>
  <c r="E85" i="2" s="1"/>
  <c r="H119" i="1"/>
  <c r="N190" i="1"/>
  <c r="N225" i="1" s="1"/>
  <c r="I225" i="1"/>
  <c r="E398" i="1"/>
  <c r="E402" i="1"/>
  <c r="J114" i="1"/>
  <c r="G97" i="2" s="1"/>
  <c r="O310" i="1"/>
  <c r="N337" i="1"/>
  <c r="N332" i="1"/>
  <c r="N327" i="1"/>
  <c r="N322" i="1"/>
  <c r="N317" i="1"/>
  <c r="L337" i="1"/>
  <c r="L332" i="1"/>
  <c r="L327" i="1"/>
  <c r="L322" i="1"/>
  <c r="L317" i="1"/>
  <c r="Q338" i="1"/>
  <c r="J308" i="1"/>
  <c r="M310" i="1"/>
  <c r="Q318" i="1"/>
  <c r="H232" i="1"/>
  <c r="K308" i="1"/>
  <c r="P365" i="1"/>
  <c r="Q365" i="1" s="1"/>
  <c r="N308" i="1"/>
  <c r="O333" i="1"/>
  <c r="M308" i="1"/>
  <c r="K310" i="1"/>
  <c r="O363" i="1"/>
  <c r="O359" i="1" s="1"/>
  <c r="L308" i="1"/>
  <c r="Q381" i="1"/>
  <c r="P41" i="1"/>
  <c r="Q328" i="1"/>
  <c r="O149" i="4" l="1"/>
  <c r="L168" i="4"/>
  <c r="E47" i="4"/>
  <c r="N114" i="1"/>
  <c r="K97" i="2" s="1"/>
  <c r="K102" i="2"/>
  <c r="H114" i="1"/>
  <c r="E97" i="2" s="1"/>
  <c r="E102" i="2"/>
  <c r="I114" i="1"/>
  <c r="F97" i="2" s="1"/>
  <c r="F102" i="2"/>
  <c r="G114" i="1"/>
  <c r="D97" i="2" s="1"/>
  <c r="D102" i="2"/>
  <c r="F114" i="1"/>
  <c r="L114" i="1"/>
  <c r="I97" i="2" s="1"/>
  <c r="I102" i="2"/>
  <c r="K114" i="1"/>
  <c r="H97" i="2" s="1"/>
  <c r="H102" i="2"/>
  <c r="M114" i="1"/>
  <c r="J97" i="2" s="1"/>
  <c r="J102" i="2"/>
  <c r="J6" i="1"/>
  <c r="F58" i="2"/>
  <c r="J7" i="1"/>
  <c r="F59" i="2"/>
  <c r="N186" i="1"/>
  <c r="N102" i="1" s="1"/>
  <c r="K85" i="2" s="1"/>
  <c r="M484" i="1"/>
  <c r="K483" i="1"/>
  <c r="K485" i="1"/>
  <c r="K482" i="1"/>
  <c r="L482" i="1"/>
  <c r="L485" i="1"/>
  <c r="L483" i="1"/>
  <c r="J483" i="1"/>
  <c r="J485" i="1"/>
  <c r="J482" i="1"/>
  <c r="I485" i="1"/>
  <c r="I483" i="1"/>
  <c r="I482" i="1"/>
  <c r="M485" i="1"/>
  <c r="M482" i="1"/>
  <c r="M483" i="1"/>
  <c r="N482" i="1"/>
  <c r="N483" i="1"/>
  <c r="N485" i="1"/>
  <c r="D15" i="7"/>
  <c r="Q386" i="1"/>
  <c r="Q389" i="1" s="1"/>
  <c r="O373" i="1"/>
  <c r="O370" i="1" s="1"/>
  <c r="O371" i="1" s="1"/>
  <c r="O39" i="1"/>
  <c r="N311" i="1"/>
  <c r="H474" i="1"/>
  <c r="H461" i="1" s="1"/>
  <c r="H97" i="1"/>
  <c r="E80" i="2" s="1"/>
  <c r="F474" i="1"/>
  <c r="F461" i="1" s="1"/>
  <c r="F97" i="1"/>
  <c r="L474" i="1"/>
  <c r="L461" i="1" s="1"/>
  <c r="L97" i="1"/>
  <c r="I80" i="2" s="1"/>
  <c r="K474" i="1"/>
  <c r="K461" i="1" s="1"/>
  <c r="K97" i="1"/>
  <c r="H80" i="2" s="1"/>
  <c r="I474" i="1"/>
  <c r="I461" i="1" s="1"/>
  <c r="I97" i="1"/>
  <c r="F80" i="2" s="1"/>
  <c r="G474" i="1"/>
  <c r="G461" i="1" s="1"/>
  <c r="G97" i="1"/>
  <c r="D80" i="2" s="1"/>
  <c r="J474" i="1"/>
  <c r="J461" i="1" s="1"/>
  <c r="J97" i="1"/>
  <c r="G80" i="2" s="1"/>
  <c r="M474" i="1"/>
  <c r="M461" i="1" s="1"/>
  <c r="M97" i="1"/>
  <c r="J80" i="2" s="1"/>
  <c r="P310" i="1"/>
  <c r="P337" i="1" s="1"/>
  <c r="P336" i="1" s="1"/>
  <c r="P37" i="1" s="1"/>
  <c r="O307" i="1"/>
  <c r="O308" i="1" s="1"/>
  <c r="O332" i="1"/>
  <c r="O331" i="1" s="1"/>
  <c r="O36" i="1" s="1"/>
  <c r="L336" i="1"/>
  <c r="L37" i="1" s="1"/>
  <c r="N336" i="1"/>
  <c r="N37" i="1" s="1"/>
  <c r="L331" i="1"/>
  <c r="L36" i="1" s="1"/>
  <c r="N331" i="1"/>
  <c r="N36" i="1" s="1"/>
  <c r="L326" i="1"/>
  <c r="L35" i="1" s="1"/>
  <c r="N326" i="1"/>
  <c r="N35" i="1" s="1"/>
  <c r="L321" i="1"/>
  <c r="L34" i="1" s="1"/>
  <c r="N321" i="1"/>
  <c r="N34" i="1" s="1"/>
  <c r="L316" i="1"/>
  <c r="L33" i="1" s="1"/>
  <c r="N316" i="1"/>
  <c r="N33" i="1" s="1"/>
  <c r="M311" i="1"/>
  <c r="M337" i="1"/>
  <c r="M332" i="1"/>
  <c r="M327" i="1"/>
  <c r="M322" i="1"/>
  <c r="M317" i="1"/>
  <c r="O327" i="1"/>
  <c r="O317" i="1"/>
  <c r="O337" i="1"/>
  <c r="L311" i="1"/>
  <c r="K337" i="1"/>
  <c r="K332" i="1"/>
  <c r="K327" i="1"/>
  <c r="K322" i="1"/>
  <c r="K317" i="1"/>
  <c r="O322" i="1"/>
  <c r="R318" i="1"/>
  <c r="O313" i="1"/>
  <c r="O314" i="1" s="1"/>
  <c r="R338" i="1"/>
  <c r="P323" i="1"/>
  <c r="P364" i="1"/>
  <c r="P363" i="1" s="1"/>
  <c r="P359" i="1" s="1"/>
  <c r="F264" i="1"/>
  <c r="I232" i="1"/>
  <c r="J232" i="1" s="1"/>
  <c r="K232" i="1" s="1"/>
  <c r="L232" i="1" s="1"/>
  <c r="M232" i="1" s="1"/>
  <c r="N232" i="1" s="1"/>
  <c r="R365" i="1"/>
  <c r="P333" i="1"/>
  <c r="R328" i="1"/>
  <c r="Q41" i="1"/>
  <c r="R381" i="1"/>
  <c r="J310" i="1"/>
  <c r="G154" i="2" l="1"/>
  <c r="E154" i="2"/>
  <c r="J154" i="2"/>
  <c r="H154" i="2"/>
  <c r="I154" i="2"/>
  <c r="F154" i="2"/>
  <c r="K7" i="1"/>
  <c r="G59" i="2"/>
  <c r="K6" i="1"/>
  <c r="G58" i="2"/>
  <c r="E43" i="4"/>
  <c r="E38" i="4" s="1"/>
  <c r="M112" i="1"/>
  <c r="J112" i="1"/>
  <c r="I112" i="1"/>
  <c r="L112" i="1"/>
  <c r="K112" i="1"/>
  <c r="N474" i="1"/>
  <c r="N461" i="1" s="1"/>
  <c r="N97" i="1"/>
  <c r="K80" i="2" s="1"/>
  <c r="R386" i="1"/>
  <c r="R389" i="1" s="1"/>
  <c r="P373" i="1"/>
  <c r="P370" i="1" s="1"/>
  <c r="P371" i="1" s="1"/>
  <c r="P39" i="1"/>
  <c r="Q310" i="1"/>
  <c r="Q307" i="1" s="1"/>
  <c r="P322" i="1"/>
  <c r="P321" i="1" s="1"/>
  <c r="P34" i="1" s="1"/>
  <c r="P307" i="1"/>
  <c r="P308" i="1" s="1"/>
  <c r="P332" i="1"/>
  <c r="P331" i="1" s="1"/>
  <c r="P36" i="1" s="1"/>
  <c r="P327" i="1"/>
  <c r="P326" i="1" s="1"/>
  <c r="P35" i="1" s="1"/>
  <c r="P317" i="1"/>
  <c r="P316" i="1" s="1"/>
  <c r="P33" i="1" s="1"/>
  <c r="L32" i="1"/>
  <c r="I23" i="2" s="1"/>
  <c r="N32" i="1"/>
  <c r="K23" i="2" s="1"/>
  <c r="K336" i="1"/>
  <c r="K37" i="1" s="1"/>
  <c r="O336" i="1"/>
  <c r="O37" i="1" s="1"/>
  <c r="M336" i="1"/>
  <c r="M37" i="1" s="1"/>
  <c r="Q323" i="1"/>
  <c r="M331" i="1"/>
  <c r="M36" i="1" s="1"/>
  <c r="K331" i="1"/>
  <c r="K36" i="1" s="1"/>
  <c r="K326" i="1"/>
  <c r="K35" i="1" s="1"/>
  <c r="O326" i="1"/>
  <c r="O35" i="1" s="1"/>
  <c r="M326" i="1"/>
  <c r="M35" i="1" s="1"/>
  <c r="K321" i="1"/>
  <c r="K34" i="1" s="1"/>
  <c r="M321" i="1"/>
  <c r="M34" i="1" s="1"/>
  <c r="O321" i="1"/>
  <c r="O34" i="1" s="1"/>
  <c r="K316" i="1"/>
  <c r="K33" i="1" s="1"/>
  <c r="O316" i="1"/>
  <c r="M316" i="1"/>
  <c r="M33" i="1" s="1"/>
  <c r="K311" i="1"/>
  <c r="J337" i="1"/>
  <c r="J332" i="1"/>
  <c r="J327" i="1"/>
  <c r="J322" i="1"/>
  <c r="J317" i="1"/>
  <c r="S338" i="1"/>
  <c r="Q364" i="1"/>
  <c r="Q363" i="1" s="1"/>
  <c r="Q359" i="1" s="1"/>
  <c r="S318" i="1"/>
  <c r="F265" i="1"/>
  <c r="F279" i="1" s="1"/>
  <c r="F25" i="1"/>
  <c r="P313" i="1"/>
  <c r="P314" i="1" s="1"/>
  <c r="Q333" i="1"/>
  <c r="I310" i="1"/>
  <c r="R41" i="1"/>
  <c r="S381" i="1"/>
  <c r="S328" i="1"/>
  <c r="K154" i="2" l="1"/>
  <c r="K127" i="1"/>
  <c r="H95" i="2"/>
  <c r="I47" i="2" s="1"/>
  <c r="I127" i="1"/>
  <c r="F95" i="2"/>
  <c r="G47" i="2" s="1"/>
  <c r="J127" i="1"/>
  <c r="G95" i="2"/>
  <c r="H47" i="2" s="1"/>
  <c r="M127" i="1"/>
  <c r="J95" i="2"/>
  <c r="K47" i="2" s="1"/>
  <c r="L127" i="1"/>
  <c r="I95" i="2"/>
  <c r="J47" i="2" s="1"/>
  <c r="L6" i="1"/>
  <c r="H58" i="2"/>
  <c r="L7" i="1"/>
  <c r="H59" i="2"/>
  <c r="E53" i="4"/>
  <c r="E75" i="4"/>
  <c r="N112" i="1"/>
  <c r="S386" i="1"/>
  <c r="S389" i="1" s="1"/>
  <c r="Q373" i="1"/>
  <c r="Q370" i="1" s="1"/>
  <c r="Q371" i="1" s="1"/>
  <c r="Q39" i="1"/>
  <c r="Q332" i="1"/>
  <c r="Q331" i="1" s="1"/>
  <c r="Q36" i="1" s="1"/>
  <c r="N8" i="1"/>
  <c r="L8" i="1"/>
  <c r="I60" i="2" s="1"/>
  <c r="Q322" i="1"/>
  <c r="Q321" i="1" s="1"/>
  <c r="Q34" i="1" s="1"/>
  <c r="Q327" i="1"/>
  <c r="Q326" i="1" s="1"/>
  <c r="Q35" i="1" s="1"/>
  <c r="R310" i="1"/>
  <c r="R327" i="1" s="1"/>
  <c r="R326" i="1" s="1"/>
  <c r="R35" i="1" s="1"/>
  <c r="Q337" i="1"/>
  <c r="Q336" i="1" s="1"/>
  <c r="Q37" i="1" s="1"/>
  <c r="Q317" i="1"/>
  <c r="Q316" i="1" s="1"/>
  <c r="Q33" i="1" s="1"/>
  <c r="F280" i="1"/>
  <c r="F414" i="1" s="1"/>
  <c r="F413" i="1"/>
  <c r="F13" i="1" s="1"/>
  <c r="Q308" i="1"/>
  <c r="P304" i="1"/>
  <c r="P32" i="1"/>
  <c r="P8" i="1" s="1"/>
  <c r="G18" i="4" s="1"/>
  <c r="K32" i="1"/>
  <c r="H23" i="2" s="1"/>
  <c r="M32" i="1"/>
  <c r="J23" i="2" s="1"/>
  <c r="O33" i="1"/>
  <c r="O304" i="1"/>
  <c r="J336" i="1"/>
  <c r="J37" i="1" s="1"/>
  <c r="R323" i="1"/>
  <c r="J331" i="1"/>
  <c r="J36" i="1" s="1"/>
  <c r="J326" i="1"/>
  <c r="J35" i="1" s="1"/>
  <c r="J321" i="1"/>
  <c r="J34" i="1" s="1"/>
  <c r="J316" i="1"/>
  <c r="J33" i="1" s="1"/>
  <c r="J311" i="1"/>
  <c r="I337" i="1"/>
  <c r="I332" i="1"/>
  <c r="I327" i="1"/>
  <c r="I322" i="1"/>
  <c r="I317" i="1"/>
  <c r="T318" i="1"/>
  <c r="U318" i="1" s="1"/>
  <c r="R364" i="1"/>
  <c r="R363" i="1" s="1"/>
  <c r="R359" i="1" s="1"/>
  <c r="T338" i="1"/>
  <c r="U338" i="1" s="1"/>
  <c r="F26" i="1"/>
  <c r="F14" i="1" s="1"/>
  <c r="Q313" i="1"/>
  <c r="Q314" i="1" s="1"/>
  <c r="R333" i="1"/>
  <c r="T328" i="1"/>
  <c r="U328" i="1" s="1"/>
  <c r="S41" i="1"/>
  <c r="T381" i="1"/>
  <c r="U381" i="1" s="1"/>
  <c r="H310" i="1"/>
  <c r="U41" i="1" l="1"/>
  <c r="U386" i="1"/>
  <c r="U389" i="1" s="1"/>
  <c r="I46" i="2"/>
  <c r="I41" i="2"/>
  <c r="I28" i="2"/>
  <c r="I44" i="2"/>
  <c r="I34" i="2"/>
  <c r="I31" i="2"/>
  <c r="I45" i="2"/>
  <c r="I25" i="2"/>
  <c r="I43" i="2"/>
  <c r="I37" i="2"/>
  <c r="I7" i="2"/>
  <c r="I20" i="2"/>
  <c r="L146" i="1"/>
  <c r="I110" i="2"/>
  <c r="M146" i="1"/>
  <c r="J110" i="2"/>
  <c r="J146" i="1"/>
  <c r="G110" i="2"/>
  <c r="I146" i="1"/>
  <c r="F110" i="2"/>
  <c r="N127" i="1"/>
  <c r="K95" i="2"/>
  <c r="K146" i="1"/>
  <c r="H110" i="2"/>
  <c r="E18" i="4"/>
  <c r="E20" i="4" s="1"/>
  <c r="K60" i="2"/>
  <c r="M7" i="1"/>
  <c r="I59" i="2"/>
  <c r="M6" i="1"/>
  <c r="I58" i="2"/>
  <c r="L458" i="1"/>
  <c r="N431" i="1"/>
  <c r="N458" i="1"/>
  <c r="P446" i="1"/>
  <c r="P95" i="1" s="1"/>
  <c r="G36" i="4" s="1"/>
  <c r="G78" i="4" s="1"/>
  <c r="P471" i="1"/>
  <c r="P103" i="1" s="1"/>
  <c r="G44" i="4" s="1"/>
  <c r="L480" i="1"/>
  <c r="L431" i="1"/>
  <c r="N455" i="1"/>
  <c r="N480" i="1"/>
  <c r="O54" i="6"/>
  <c r="J76" i="6" s="1"/>
  <c r="P491" i="1"/>
  <c r="P495" i="1" s="1"/>
  <c r="N456" i="1"/>
  <c r="L424" i="1"/>
  <c r="L10" i="1"/>
  <c r="I62" i="2" s="1"/>
  <c r="I11" i="2" s="1"/>
  <c r="N424" i="1"/>
  <c r="N10" i="1"/>
  <c r="K62" i="2" s="1"/>
  <c r="F9" i="1"/>
  <c r="T386" i="1"/>
  <c r="T389" i="1" s="1"/>
  <c r="R373" i="1"/>
  <c r="R370" i="1" s="1"/>
  <c r="R371" i="1" s="1"/>
  <c r="L455" i="1"/>
  <c r="L456" i="1"/>
  <c r="R39" i="1"/>
  <c r="N428" i="1"/>
  <c r="N429" i="1"/>
  <c r="L426" i="1"/>
  <c r="N403" i="1"/>
  <c r="N404" i="1"/>
  <c r="N347" i="1"/>
  <c r="N351" i="1" s="1"/>
  <c r="N399" i="1"/>
  <c r="N401" i="1"/>
  <c r="N426" i="1"/>
  <c r="N348" i="1"/>
  <c r="L404" i="1"/>
  <c r="L429" i="1"/>
  <c r="L399" i="1"/>
  <c r="L428" i="1"/>
  <c r="L403" i="1"/>
  <c r="L401" i="1"/>
  <c r="K8" i="1"/>
  <c r="H60" i="2" s="1"/>
  <c r="M8" i="1"/>
  <c r="J60" i="2" s="1"/>
  <c r="F398" i="1"/>
  <c r="R317" i="1"/>
  <c r="R316" i="1" s="1"/>
  <c r="R33" i="1" s="1"/>
  <c r="R307" i="1"/>
  <c r="R308" i="1" s="1"/>
  <c r="R337" i="1"/>
  <c r="R336" i="1" s="1"/>
  <c r="R37" i="1" s="1"/>
  <c r="R332" i="1"/>
  <c r="R331" i="1" s="1"/>
  <c r="R36" i="1" s="1"/>
  <c r="S310" i="1"/>
  <c r="S317" i="1" s="1"/>
  <c r="S316" i="1" s="1"/>
  <c r="S33" i="1" s="1"/>
  <c r="R322" i="1"/>
  <c r="R321" i="1" s="1"/>
  <c r="R34" i="1" s="1"/>
  <c r="P468" i="1"/>
  <c r="P99" i="1" s="1"/>
  <c r="G40" i="4" s="1"/>
  <c r="P469" i="1"/>
  <c r="P100" i="1" s="1"/>
  <c r="G41" i="4" s="1"/>
  <c r="O32" i="1"/>
  <c r="O8" i="1" s="1"/>
  <c r="O491" i="1" s="1"/>
  <c r="O492" i="1" s="1"/>
  <c r="P305" i="1"/>
  <c r="Q304" i="1"/>
  <c r="O305" i="1"/>
  <c r="Q32" i="1"/>
  <c r="Q8" i="1" s="1"/>
  <c r="H18" i="4" s="1"/>
  <c r="J32" i="1"/>
  <c r="G23" i="2" s="1"/>
  <c r="I336" i="1"/>
  <c r="I37" i="1" s="1"/>
  <c r="S323" i="1"/>
  <c r="I331" i="1"/>
  <c r="I36" i="1" s="1"/>
  <c r="I326" i="1"/>
  <c r="I35" i="1" s="1"/>
  <c r="I321" i="1"/>
  <c r="I34" i="1" s="1"/>
  <c r="I316" i="1"/>
  <c r="I33" i="1" s="1"/>
  <c r="H337" i="1"/>
  <c r="H332" i="1"/>
  <c r="H327" i="1"/>
  <c r="H322" i="1"/>
  <c r="H317" i="1"/>
  <c r="S364" i="1"/>
  <c r="T364" i="1" s="1"/>
  <c r="R313" i="1"/>
  <c r="R314" i="1" s="1"/>
  <c r="T41" i="1"/>
  <c r="S333" i="1"/>
  <c r="G310" i="1"/>
  <c r="I311" i="1"/>
  <c r="J43" i="2" l="1"/>
  <c r="J31" i="2"/>
  <c r="J46" i="2"/>
  <c r="J41" i="2"/>
  <c r="J44" i="2"/>
  <c r="J28" i="2"/>
  <c r="J34" i="2"/>
  <c r="J45" i="2"/>
  <c r="J25" i="2"/>
  <c r="J37" i="2"/>
  <c r="H41" i="2"/>
  <c r="H28" i="2"/>
  <c r="H44" i="2"/>
  <c r="H25" i="2"/>
  <c r="H34" i="2"/>
  <c r="H45" i="2"/>
  <c r="H46" i="2"/>
  <c r="H43" i="2"/>
  <c r="H31" i="2"/>
  <c r="H37" i="2"/>
  <c r="K25" i="2"/>
  <c r="K28" i="2"/>
  <c r="K43" i="2"/>
  <c r="K31" i="2"/>
  <c r="K46" i="2"/>
  <c r="K41" i="2"/>
  <c r="K44" i="2"/>
  <c r="K34" i="2"/>
  <c r="K45" i="2"/>
  <c r="K37" i="2"/>
  <c r="T363" i="1"/>
  <c r="T359" i="1" s="1"/>
  <c r="T373" i="1" s="1"/>
  <c r="T370" i="1" s="1"/>
  <c r="T371" i="1" s="1"/>
  <c r="U364" i="1"/>
  <c r="U363" i="1" s="1"/>
  <c r="U359" i="1" s="1"/>
  <c r="K11" i="2"/>
  <c r="J7" i="2"/>
  <c r="J20" i="2"/>
  <c r="H7" i="2"/>
  <c r="H20" i="2"/>
  <c r="K7" i="2"/>
  <c r="K20" i="2"/>
  <c r="N146" i="1"/>
  <c r="K110" i="2"/>
  <c r="N6" i="1"/>
  <c r="J58" i="2"/>
  <c r="N7" i="1"/>
  <c r="J59" i="2"/>
  <c r="O411" i="1"/>
  <c r="F59" i="4" s="1"/>
  <c r="F72" i="4" s="1"/>
  <c r="F101" i="4" s="1"/>
  <c r="O469" i="1"/>
  <c r="N54" i="6"/>
  <c r="F104" i="6" s="1"/>
  <c r="F103" i="6"/>
  <c r="J103" i="6" s="1"/>
  <c r="S103" i="6" s="1"/>
  <c r="G20" i="6" s="1"/>
  <c r="F91" i="6"/>
  <c r="H91" i="6" s="1"/>
  <c r="Q91" i="6" s="1"/>
  <c r="E8" i="6" s="1"/>
  <c r="S76" i="6"/>
  <c r="P110" i="1"/>
  <c r="G51" i="4" s="1"/>
  <c r="G87" i="4" s="1"/>
  <c r="F18" i="4"/>
  <c r="M458" i="1"/>
  <c r="K458" i="1"/>
  <c r="F346" i="1"/>
  <c r="O446" i="1"/>
  <c r="O95" i="1" s="1"/>
  <c r="F36" i="4" s="1"/>
  <c r="F78" i="4" s="1"/>
  <c r="F79" i="4" s="1"/>
  <c r="F104" i="4" s="1"/>
  <c r="O471" i="1"/>
  <c r="O103" i="1" s="1"/>
  <c r="F44" i="4" s="1"/>
  <c r="Q446" i="1"/>
  <c r="Q95" i="1" s="1"/>
  <c r="H36" i="4" s="1"/>
  <c r="H78" i="4" s="1"/>
  <c r="H79" i="4" s="1"/>
  <c r="H104" i="4" s="1"/>
  <c r="Q471" i="1"/>
  <c r="Q103" i="1" s="1"/>
  <c r="H44" i="4" s="1"/>
  <c r="M480" i="1"/>
  <c r="M431" i="1"/>
  <c r="K480" i="1"/>
  <c r="K431" i="1"/>
  <c r="P54" i="6"/>
  <c r="Q491" i="1"/>
  <c r="P494" i="1"/>
  <c r="P109" i="1" s="1"/>
  <c r="G50" i="4" s="1"/>
  <c r="G81" i="4" s="1"/>
  <c r="P492" i="1"/>
  <c r="P107" i="1" s="1"/>
  <c r="G48" i="4" s="1"/>
  <c r="G84" i="4" s="1"/>
  <c r="P493" i="1"/>
  <c r="P108" i="1" s="1"/>
  <c r="G49" i="4" s="1"/>
  <c r="G88" i="4" s="1"/>
  <c r="M424" i="1"/>
  <c r="M10" i="1"/>
  <c r="J62" i="2" s="1"/>
  <c r="J11" i="2" s="1"/>
  <c r="K399" i="1"/>
  <c r="K10" i="1"/>
  <c r="H62" i="2" s="1"/>
  <c r="H11" i="2" s="1"/>
  <c r="N349" i="1"/>
  <c r="N352" i="1" s="1"/>
  <c r="N11" i="1"/>
  <c r="K63" i="2" s="1"/>
  <c r="K8" i="2" s="1"/>
  <c r="M404" i="1"/>
  <c r="L348" i="1"/>
  <c r="L347" i="1"/>
  <c r="L351" i="1" s="1"/>
  <c r="Q305" i="1"/>
  <c r="K401" i="1"/>
  <c r="K455" i="1"/>
  <c r="M426" i="1"/>
  <c r="K456" i="1"/>
  <c r="M455" i="1"/>
  <c r="M456" i="1"/>
  <c r="M429" i="1"/>
  <c r="M403" i="1"/>
  <c r="K404" i="1"/>
  <c r="M428" i="1"/>
  <c r="K428" i="1"/>
  <c r="K403" i="1"/>
  <c r="K429" i="1"/>
  <c r="M399" i="1"/>
  <c r="M401" i="1"/>
  <c r="K424" i="1"/>
  <c r="K426" i="1"/>
  <c r="J8" i="1"/>
  <c r="G60" i="2" s="1"/>
  <c r="F457" i="1"/>
  <c r="F454" i="1"/>
  <c r="S322" i="1"/>
  <c r="S321" i="1" s="1"/>
  <c r="S34" i="1" s="1"/>
  <c r="S337" i="1"/>
  <c r="S336" i="1" s="1"/>
  <c r="S37" i="1" s="1"/>
  <c r="S327" i="1"/>
  <c r="S326" i="1" s="1"/>
  <c r="S35" i="1" s="1"/>
  <c r="S332" i="1"/>
  <c r="S331" i="1" s="1"/>
  <c r="S36" i="1" s="1"/>
  <c r="S307" i="1"/>
  <c r="S308" i="1" s="1"/>
  <c r="R304" i="1"/>
  <c r="R32" i="1"/>
  <c r="R8" i="1" s="1"/>
  <c r="I18" i="4" s="1"/>
  <c r="T310" i="1"/>
  <c r="Q468" i="1"/>
  <c r="Q99" i="1" s="1"/>
  <c r="H40" i="4" s="1"/>
  <c r="Q469" i="1"/>
  <c r="Q100" i="1" s="1"/>
  <c r="H41" i="4" s="1"/>
  <c r="P474" i="1"/>
  <c r="P102" i="1" s="1"/>
  <c r="G43" i="4" s="1"/>
  <c r="O468" i="1"/>
  <c r="O99" i="1" s="1"/>
  <c r="F40" i="4" s="1"/>
  <c r="I32" i="1"/>
  <c r="F23" i="2" s="1"/>
  <c r="T323" i="1"/>
  <c r="U323" i="1" s="1"/>
  <c r="H336" i="1"/>
  <c r="H37" i="1" s="1"/>
  <c r="H331" i="1"/>
  <c r="H36" i="1" s="1"/>
  <c r="S363" i="1"/>
  <c r="S359" i="1" s="1"/>
  <c r="H326" i="1"/>
  <c r="H35" i="1" s="1"/>
  <c r="H321" i="1"/>
  <c r="H34" i="1" s="1"/>
  <c r="H316" i="1"/>
  <c r="H33" i="1" s="1"/>
  <c r="H311" i="1"/>
  <c r="G337" i="1"/>
  <c r="G332" i="1"/>
  <c r="G327" i="1"/>
  <c r="G322" i="1"/>
  <c r="G317" i="1"/>
  <c r="S313" i="1"/>
  <c r="S314" i="1" s="1"/>
  <c r="T333" i="1"/>
  <c r="U333" i="1" s="1"/>
  <c r="F310" i="1"/>
  <c r="T39" i="1" l="1"/>
  <c r="T307" i="1"/>
  <c r="T308" i="1" s="1"/>
  <c r="U310" i="1"/>
  <c r="U332" i="1" s="1"/>
  <c r="U331" i="1" s="1"/>
  <c r="U36" i="1" s="1"/>
  <c r="G41" i="2"/>
  <c r="G43" i="2"/>
  <c r="G31" i="2"/>
  <c r="G28" i="2"/>
  <c r="G44" i="2"/>
  <c r="G34" i="2"/>
  <c r="G45" i="2"/>
  <c r="G25" i="2"/>
  <c r="G46" i="2"/>
  <c r="G37" i="2"/>
  <c r="U39" i="1"/>
  <c r="U373" i="1"/>
  <c r="U370" i="1" s="1"/>
  <c r="U371" i="1" s="1"/>
  <c r="U313" i="1"/>
  <c r="H119" i="6"/>
  <c r="F116" i="6"/>
  <c r="G7" i="2"/>
  <c r="G20" i="2"/>
  <c r="I103" i="6"/>
  <c r="R103" i="6" s="1"/>
  <c r="F20" i="6" s="1"/>
  <c r="K103" i="6"/>
  <c r="T103" i="6" s="1"/>
  <c r="H20" i="6" s="1"/>
  <c r="L103" i="6"/>
  <c r="U103" i="6" s="1"/>
  <c r="I20" i="6" s="1"/>
  <c r="K59" i="2"/>
  <c r="O7" i="1"/>
  <c r="P7" i="1" s="1"/>
  <c r="Q7" i="1" s="1"/>
  <c r="R7" i="1" s="1"/>
  <c r="S7" i="1" s="1"/>
  <c r="T7" i="1" s="1"/>
  <c r="U7" i="1" s="1"/>
  <c r="K58" i="2"/>
  <c r="O6" i="1"/>
  <c r="P6" i="1" s="1"/>
  <c r="Q6" i="1" s="1"/>
  <c r="R6" i="1" s="1"/>
  <c r="S6" i="1" s="1"/>
  <c r="T6" i="1" s="1"/>
  <c r="U6" i="1" s="1"/>
  <c r="H103" i="6"/>
  <c r="Q103" i="6" s="1"/>
  <c r="E20" i="6" s="1"/>
  <c r="O494" i="1"/>
  <c r="O109" i="1" s="1"/>
  <c r="F50" i="4" s="1"/>
  <c r="F81" i="4" s="1"/>
  <c r="F82" i="4" s="1"/>
  <c r="F105" i="4" s="1"/>
  <c r="O495" i="1"/>
  <c r="O110" i="1" s="1"/>
  <c r="F51" i="4" s="1"/>
  <c r="F87" i="4" s="1"/>
  <c r="O474" i="1"/>
  <c r="O102" i="1" s="1"/>
  <c r="F43" i="4" s="1"/>
  <c r="O100" i="1"/>
  <c r="F41" i="4" s="1"/>
  <c r="G79" i="4"/>
  <c r="G104" i="4" s="1"/>
  <c r="I91" i="6"/>
  <c r="R91" i="6" s="1"/>
  <c r="F8" i="6" s="1"/>
  <c r="J91" i="6"/>
  <c r="S91" i="6" s="1"/>
  <c r="G8" i="6" s="1"/>
  <c r="L91" i="6"/>
  <c r="U91" i="6" s="1"/>
  <c r="I8" i="6" s="1"/>
  <c r="K91" i="6"/>
  <c r="T91" i="6" s="1"/>
  <c r="H8" i="6" s="1"/>
  <c r="G47" i="4"/>
  <c r="F102" i="6"/>
  <c r="H102" i="6" s="1"/>
  <c r="Q102" i="6" s="1"/>
  <c r="E19" i="6" s="1"/>
  <c r="F90" i="6"/>
  <c r="J458" i="1"/>
  <c r="N12" i="1"/>
  <c r="K64" i="2" s="1"/>
  <c r="E21" i="4"/>
  <c r="E22" i="4" s="1"/>
  <c r="E25" i="4" s="1"/>
  <c r="E27" i="4" s="1"/>
  <c r="E66" i="4" s="1"/>
  <c r="F92" i="6"/>
  <c r="L92" i="6" s="1"/>
  <c r="U92" i="6" s="1"/>
  <c r="I9" i="6" s="1"/>
  <c r="T76" i="6"/>
  <c r="R446" i="1"/>
  <c r="R95" i="1" s="1"/>
  <c r="I36" i="4" s="1"/>
  <c r="I78" i="4" s="1"/>
  <c r="I79" i="4" s="1"/>
  <c r="I104" i="4" s="1"/>
  <c r="R471" i="1"/>
  <c r="R103" i="1" s="1"/>
  <c r="I44" i="4" s="1"/>
  <c r="R76" i="6"/>
  <c r="K76" i="6"/>
  <c r="W54" i="6"/>
  <c r="J480" i="1"/>
  <c r="J431" i="1"/>
  <c r="I76" i="6"/>
  <c r="P106" i="1"/>
  <c r="R469" i="1"/>
  <c r="R100" i="1" s="1"/>
  <c r="I41" i="4" s="1"/>
  <c r="R491" i="1"/>
  <c r="Q494" i="1"/>
  <c r="Q109" i="1" s="1"/>
  <c r="H50" i="4" s="1"/>
  <c r="H81" i="4" s="1"/>
  <c r="H82" i="4" s="1"/>
  <c r="H105" i="4" s="1"/>
  <c r="Q492" i="1"/>
  <c r="Q107" i="1" s="1"/>
  <c r="H48" i="4" s="1"/>
  <c r="H84" i="4" s="1"/>
  <c r="H85" i="4" s="1"/>
  <c r="H106" i="4" s="1"/>
  <c r="Q495" i="1"/>
  <c r="Q493" i="1"/>
  <c r="Q108" i="1" s="1"/>
  <c r="H49" i="4" s="1"/>
  <c r="H88" i="4" s="1"/>
  <c r="O493" i="1"/>
  <c r="O108" i="1" s="1"/>
  <c r="F49" i="4" s="1"/>
  <c r="F88" i="4" s="1"/>
  <c r="O107" i="1"/>
  <c r="F48" i="4" s="1"/>
  <c r="F84" i="4" s="1"/>
  <c r="J404" i="1"/>
  <c r="J10" i="1"/>
  <c r="G62" i="2" s="1"/>
  <c r="G11" i="2" s="1"/>
  <c r="L349" i="1"/>
  <c r="L352" i="1" s="1"/>
  <c r="L11" i="1"/>
  <c r="I63" i="2" s="1"/>
  <c r="I8" i="2" s="1"/>
  <c r="J104" i="6"/>
  <c r="S104" i="6" s="1"/>
  <c r="G21" i="6" s="1"/>
  <c r="L104" i="6"/>
  <c r="U104" i="6" s="1"/>
  <c r="I21" i="6" s="1"/>
  <c r="H104" i="6"/>
  <c r="Q104" i="6" s="1"/>
  <c r="E21" i="6" s="1"/>
  <c r="I104" i="6"/>
  <c r="R104" i="6" s="1"/>
  <c r="F21" i="6" s="1"/>
  <c r="K104" i="6"/>
  <c r="T104" i="6" s="1"/>
  <c r="H21" i="6" s="1"/>
  <c r="J348" i="1"/>
  <c r="S373" i="1"/>
  <c r="S370" i="1" s="1"/>
  <c r="S371" i="1" s="1"/>
  <c r="S39" i="1"/>
  <c r="J455" i="1"/>
  <c r="K348" i="1"/>
  <c r="K347" i="1"/>
  <c r="K351" i="1" s="1"/>
  <c r="M348" i="1"/>
  <c r="M347" i="1"/>
  <c r="M351" i="1" s="1"/>
  <c r="J456" i="1"/>
  <c r="J429" i="1"/>
  <c r="J401" i="1"/>
  <c r="J399" i="1"/>
  <c r="J426" i="1"/>
  <c r="J428" i="1"/>
  <c r="J403" i="1"/>
  <c r="J424" i="1"/>
  <c r="I8" i="1"/>
  <c r="F60" i="2" s="1"/>
  <c r="E327" i="1"/>
  <c r="S32" i="1"/>
  <c r="T327" i="1"/>
  <c r="T326" i="1" s="1"/>
  <c r="T35" i="1" s="1"/>
  <c r="T337" i="1"/>
  <c r="T336" i="1" s="1"/>
  <c r="T37" i="1" s="1"/>
  <c r="T317" i="1"/>
  <c r="T316" i="1" s="1"/>
  <c r="T33" i="1" s="1"/>
  <c r="R468" i="1"/>
  <c r="T332" i="1"/>
  <c r="T331" i="1" s="1"/>
  <c r="T36" i="1" s="1"/>
  <c r="T322" i="1"/>
  <c r="T321" i="1" s="1"/>
  <c r="T34" i="1" s="1"/>
  <c r="Q474" i="1"/>
  <c r="Q102" i="1" s="1"/>
  <c r="H43" i="4" s="1"/>
  <c r="H32" i="1"/>
  <c r="E23" i="2" s="1"/>
  <c r="S304" i="1"/>
  <c r="G336" i="1"/>
  <c r="G37" i="1" s="1"/>
  <c r="G331" i="1"/>
  <c r="G36" i="1" s="1"/>
  <c r="G326" i="1"/>
  <c r="G35" i="1" s="1"/>
  <c r="G321" i="1"/>
  <c r="G34" i="1" s="1"/>
  <c r="G316" i="1"/>
  <c r="G33" i="1" s="1"/>
  <c r="G311" i="1"/>
  <c r="F337" i="1"/>
  <c r="F332" i="1"/>
  <c r="F327" i="1"/>
  <c r="F322" i="1"/>
  <c r="F317" i="1"/>
  <c r="R305" i="1"/>
  <c r="T313" i="1"/>
  <c r="U322" i="1" l="1"/>
  <c r="U321" i="1" s="1"/>
  <c r="U34" i="1" s="1"/>
  <c r="U307" i="1"/>
  <c r="U308" i="1" s="1"/>
  <c r="U337" i="1"/>
  <c r="U336" i="1" s="1"/>
  <c r="U37" i="1" s="1"/>
  <c r="U317" i="1"/>
  <c r="U316" i="1" s="1"/>
  <c r="U33" i="1" s="1"/>
  <c r="U327" i="1"/>
  <c r="U326" i="1" s="1"/>
  <c r="U35" i="1" s="1"/>
  <c r="K12" i="2"/>
  <c r="K50" i="2"/>
  <c r="K51" i="2"/>
  <c r="F28" i="2"/>
  <c r="F44" i="2"/>
  <c r="F34" i="2"/>
  <c r="F45" i="2"/>
  <c r="F25" i="2"/>
  <c r="F43" i="2"/>
  <c r="F41" i="2"/>
  <c r="F31" i="2"/>
  <c r="F46" i="2"/>
  <c r="F37" i="2"/>
  <c r="J90" i="6"/>
  <c r="S90" i="6" s="1"/>
  <c r="H90" i="6"/>
  <c r="Q90" i="6" s="1"/>
  <c r="E7" i="6" s="1"/>
  <c r="I119" i="6"/>
  <c r="O119" i="6" s="1"/>
  <c r="H124" i="6"/>
  <c r="G119" i="6"/>
  <c r="J119" i="6"/>
  <c r="F119" i="6"/>
  <c r="F114" i="6"/>
  <c r="L114" i="6" s="1"/>
  <c r="J124" i="6"/>
  <c r="I124" i="6"/>
  <c r="G124" i="6"/>
  <c r="F124" i="6"/>
  <c r="J121" i="6"/>
  <c r="J116" i="6"/>
  <c r="I116" i="6"/>
  <c r="H116" i="6"/>
  <c r="G116" i="6"/>
  <c r="M116" i="6" s="1"/>
  <c r="F7" i="2"/>
  <c r="F20" i="2"/>
  <c r="T314" i="1"/>
  <c r="U314" i="1"/>
  <c r="I90" i="6"/>
  <c r="R90" i="6" s="1"/>
  <c r="F7" i="6" s="1"/>
  <c r="I102" i="6"/>
  <c r="R102" i="6" s="1"/>
  <c r="F19" i="6" s="1"/>
  <c r="L102" i="6"/>
  <c r="U102" i="6" s="1"/>
  <c r="I19" i="6" s="1"/>
  <c r="F89" i="4"/>
  <c r="F107" i="4" s="1"/>
  <c r="J102" i="6"/>
  <c r="S102" i="6" s="1"/>
  <c r="G19" i="6" s="1"/>
  <c r="K102" i="6"/>
  <c r="T102" i="6" s="1"/>
  <c r="H19" i="6" s="1"/>
  <c r="K90" i="6"/>
  <c r="T90" i="6" s="1"/>
  <c r="H7" i="6" s="1"/>
  <c r="L90" i="6"/>
  <c r="U90" i="6" s="1"/>
  <c r="I7" i="6" s="1"/>
  <c r="Q110" i="1"/>
  <c r="H51" i="4" s="1"/>
  <c r="H87" i="4" s="1"/>
  <c r="H89" i="4" s="1"/>
  <c r="H107" i="4" s="1"/>
  <c r="F85" i="4"/>
  <c r="F106" i="4" s="1"/>
  <c r="G85" i="4"/>
  <c r="G106" i="4" s="1"/>
  <c r="G89" i="4"/>
  <c r="G107" i="4" s="1"/>
  <c r="G82" i="4"/>
  <c r="G105" i="4" s="1"/>
  <c r="F47" i="4"/>
  <c r="E68" i="4"/>
  <c r="L12" i="1"/>
  <c r="I64" i="2" s="1"/>
  <c r="N15" i="1"/>
  <c r="K67" i="2" s="1"/>
  <c r="K13" i="2" s="1"/>
  <c r="I458" i="1"/>
  <c r="K92" i="6"/>
  <c r="T92" i="6" s="1"/>
  <c r="H9" i="6" s="1"/>
  <c r="J92" i="6"/>
  <c r="S92" i="6" s="1"/>
  <c r="I92" i="6"/>
  <c r="R92" i="6" s="1"/>
  <c r="F9" i="6" s="1"/>
  <c r="H92" i="6"/>
  <c r="Q92" i="6" s="1"/>
  <c r="E9" i="6" s="1"/>
  <c r="I480" i="1"/>
  <c r="I431" i="1"/>
  <c r="O106" i="1"/>
  <c r="R474" i="1"/>
  <c r="R102" i="1" s="1"/>
  <c r="I43" i="4" s="1"/>
  <c r="R99" i="1"/>
  <c r="I40" i="4" s="1"/>
  <c r="R492" i="1"/>
  <c r="R107" i="1" s="1"/>
  <c r="I48" i="4" s="1"/>
  <c r="I84" i="4" s="1"/>
  <c r="I85" i="4" s="1"/>
  <c r="I106" i="4" s="1"/>
  <c r="R494" i="1"/>
  <c r="R109" i="1" s="1"/>
  <c r="I50" i="4" s="1"/>
  <c r="I81" i="4" s="1"/>
  <c r="I82" i="4" s="1"/>
  <c r="I105" i="4" s="1"/>
  <c r="R495" i="1"/>
  <c r="R493" i="1"/>
  <c r="R108" i="1" s="1"/>
  <c r="I49" i="4" s="1"/>
  <c r="I88" i="4" s="1"/>
  <c r="I404" i="1"/>
  <c r="I10" i="1"/>
  <c r="F62" i="2" s="1"/>
  <c r="F11" i="2" s="1"/>
  <c r="M349" i="1"/>
  <c r="M352" i="1" s="1"/>
  <c r="M11" i="1"/>
  <c r="J63" i="2" s="1"/>
  <c r="J8" i="2" s="1"/>
  <c r="J349" i="1"/>
  <c r="J352" i="1" s="1"/>
  <c r="J11" i="1"/>
  <c r="G63" i="2" s="1"/>
  <c r="G8" i="2" s="1"/>
  <c r="K349" i="1"/>
  <c r="K352" i="1" s="1"/>
  <c r="K11" i="1"/>
  <c r="H63" i="2" s="1"/>
  <c r="H8" i="2" s="1"/>
  <c r="J347" i="1"/>
  <c r="J351" i="1" s="1"/>
  <c r="S8" i="1"/>
  <c r="S469" i="1" s="1"/>
  <c r="S100" i="1" s="1"/>
  <c r="J41" i="4" s="1"/>
  <c r="I455" i="1"/>
  <c r="I424" i="1"/>
  <c r="I403" i="1"/>
  <c r="I429" i="1"/>
  <c r="I399" i="1"/>
  <c r="E337" i="1"/>
  <c r="E336" i="1" s="1"/>
  <c r="E37" i="1" s="1"/>
  <c r="E332" i="1"/>
  <c r="E331" i="1" s="1"/>
  <c r="E36" i="1" s="1"/>
  <c r="F311" i="1"/>
  <c r="H8" i="1"/>
  <c r="E60" i="2" s="1"/>
  <c r="I456" i="1"/>
  <c r="E317" i="1"/>
  <c r="E316" i="1" s="1"/>
  <c r="E33" i="1" s="1"/>
  <c r="I428" i="1"/>
  <c r="E322" i="1"/>
  <c r="E321" i="1" s="1"/>
  <c r="E34" i="1" s="1"/>
  <c r="I401" i="1"/>
  <c r="T32" i="1"/>
  <c r="T8" i="1" s="1"/>
  <c r="T304" i="1"/>
  <c r="G32" i="1"/>
  <c r="D23" i="2" s="1"/>
  <c r="F336" i="1"/>
  <c r="F37" i="1" s="1"/>
  <c r="F331" i="1"/>
  <c r="F36" i="1" s="1"/>
  <c r="F326" i="1"/>
  <c r="F35" i="1" s="1"/>
  <c r="E326" i="1"/>
  <c r="E35" i="1" s="1"/>
  <c r="F321" i="1"/>
  <c r="F34" i="1" s="1"/>
  <c r="F316" i="1"/>
  <c r="F33" i="1" s="1"/>
  <c r="S305" i="1"/>
  <c r="G7" i="6" l="1"/>
  <c r="H121" i="6"/>
  <c r="U32" i="1"/>
  <c r="U8" i="1" s="1"/>
  <c r="U413" i="1" s="1"/>
  <c r="U304" i="1"/>
  <c r="U305" i="1" s="1"/>
  <c r="I12" i="2"/>
  <c r="I50" i="2"/>
  <c r="I51" i="2"/>
  <c r="E44" i="2"/>
  <c r="E45" i="2"/>
  <c r="E25" i="2"/>
  <c r="E43" i="2"/>
  <c r="E31" i="2"/>
  <c r="E28" i="2"/>
  <c r="E46" i="2"/>
  <c r="E41" i="2"/>
  <c r="E37" i="2"/>
  <c r="G9" i="6"/>
  <c r="P119" i="6"/>
  <c r="F129" i="6"/>
  <c r="E29" i="6" s="1"/>
  <c r="F111" i="6"/>
  <c r="H111" i="6"/>
  <c r="M119" i="6"/>
  <c r="N116" i="6"/>
  <c r="L116" i="6" s="1"/>
  <c r="N124" i="6"/>
  <c r="M124" i="6"/>
  <c r="N119" i="6"/>
  <c r="O124" i="6"/>
  <c r="L124" i="6"/>
  <c r="L119" i="6"/>
  <c r="P124" i="6"/>
  <c r="G114" i="6"/>
  <c r="I114" i="6"/>
  <c r="I129" i="6" s="1"/>
  <c r="H29" i="6" s="1"/>
  <c r="H114" i="6"/>
  <c r="J114" i="6"/>
  <c r="J129" i="6" s="1"/>
  <c r="I29" i="6" s="1"/>
  <c r="O116" i="6"/>
  <c r="P116" i="6"/>
  <c r="F121" i="6"/>
  <c r="G121" i="6"/>
  <c r="I121" i="6"/>
  <c r="G111" i="6"/>
  <c r="J111" i="6"/>
  <c r="J126" i="6" s="1"/>
  <c r="I26" i="6" s="1"/>
  <c r="I111" i="6"/>
  <c r="E20" i="2"/>
  <c r="K18" i="4"/>
  <c r="T491" i="1"/>
  <c r="Q106" i="1"/>
  <c r="H47" i="4"/>
  <c r="R110" i="1"/>
  <c r="I51" i="4" s="1"/>
  <c r="I87" i="4" s="1"/>
  <c r="I89" i="4" s="1"/>
  <c r="I107" i="4" s="1"/>
  <c r="J12" i="1"/>
  <c r="G64" i="2" s="1"/>
  <c r="S471" i="1"/>
  <c r="S103" i="1" s="1"/>
  <c r="J44" i="4" s="1"/>
  <c r="J18" i="4"/>
  <c r="N17" i="1"/>
  <c r="K69" i="2" s="1"/>
  <c r="H458" i="1"/>
  <c r="M12" i="1"/>
  <c r="J64" i="2" s="1"/>
  <c r="K12" i="1"/>
  <c r="H64" i="2" s="1"/>
  <c r="L15" i="1"/>
  <c r="I67" i="2" s="1"/>
  <c r="I13" i="2" s="1"/>
  <c r="S468" i="1"/>
  <c r="S99" i="1" s="1"/>
  <c r="J40" i="4" s="1"/>
  <c r="T446" i="1"/>
  <c r="T95" i="1" s="1"/>
  <c r="K36" i="4" s="1"/>
  <c r="K78" i="4" s="1"/>
  <c r="T471" i="1"/>
  <c r="T103" i="1" s="1"/>
  <c r="K44" i="4" s="1"/>
  <c r="S491" i="1"/>
  <c r="S493" i="1" s="1"/>
  <c r="S108" i="1" s="1"/>
  <c r="J49" i="4" s="1"/>
  <c r="J88" i="4" s="1"/>
  <c r="S446" i="1"/>
  <c r="S95" i="1" s="1"/>
  <c r="J36" i="4" s="1"/>
  <c r="J78" i="4" s="1"/>
  <c r="J79" i="4" s="1"/>
  <c r="J104" i="4" s="1"/>
  <c r="H480" i="1"/>
  <c r="H431" i="1"/>
  <c r="T469" i="1"/>
  <c r="T100" i="1" s="1"/>
  <c r="K41" i="4" s="1"/>
  <c r="H424" i="1"/>
  <c r="H455" i="1"/>
  <c r="H456" i="1"/>
  <c r="I348" i="1"/>
  <c r="I347" i="1"/>
  <c r="I351" i="1" s="1"/>
  <c r="H403" i="1"/>
  <c r="H401" i="1"/>
  <c r="H428" i="1"/>
  <c r="H429" i="1"/>
  <c r="G8" i="1"/>
  <c r="D60" i="2" s="1"/>
  <c r="T305" i="1"/>
  <c r="T468" i="1"/>
  <c r="F32" i="1"/>
  <c r="E32" i="1"/>
  <c r="L18" i="4" l="1"/>
  <c r="U471" i="1"/>
  <c r="U103" i="1" s="1"/>
  <c r="L44" i="4" s="1"/>
  <c r="U438" i="1"/>
  <c r="U444" i="1" s="1"/>
  <c r="U440" i="1"/>
  <c r="U16" i="1" s="1"/>
  <c r="L26" i="4" s="1"/>
  <c r="L71" i="4" s="1"/>
  <c r="L100" i="4" s="1"/>
  <c r="U411" i="1"/>
  <c r="U417" i="1" s="1"/>
  <c r="U446" i="1"/>
  <c r="U95" i="1" s="1"/>
  <c r="L36" i="4" s="1"/>
  <c r="L78" i="4" s="1"/>
  <c r="U468" i="1"/>
  <c r="U469" i="1"/>
  <c r="U100" i="1" s="1"/>
  <c r="L41" i="4" s="1"/>
  <c r="U491" i="1"/>
  <c r="U493" i="1" s="1"/>
  <c r="U108" i="1" s="1"/>
  <c r="L49" i="4" s="1"/>
  <c r="L88" i="4" s="1"/>
  <c r="U13" i="1"/>
  <c r="L23" i="4" s="1"/>
  <c r="L70" i="4" s="1"/>
  <c r="L99" i="4" s="1"/>
  <c r="G12" i="2"/>
  <c r="G50" i="2"/>
  <c r="G51" i="2"/>
  <c r="D25" i="2"/>
  <c r="D46" i="2"/>
  <c r="D31" i="2"/>
  <c r="D41" i="2"/>
  <c r="D43" i="2"/>
  <c r="D44" i="2"/>
  <c r="D45" i="2"/>
  <c r="D28" i="2"/>
  <c r="D37" i="2"/>
  <c r="H12" i="2"/>
  <c r="H50" i="2"/>
  <c r="H51" i="2"/>
  <c r="J12" i="2"/>
  <c r="J50" i="2"/>
  <c r="J51" i="2"/>
  <c r="O121" i="6"/>
  <c r="S494" i="1"/>
  <c r="S109" i="1" s="1"/>
  <c r="J50" i="4" s="1"/>
  <c r="J81" i="4" s="1"/>
  <c r="J82" i="4" s="1"/>
  <c r="J105" i="4" s="1"/>
  <c r="S492" i="1"/>
  <c r="S107" i="1" s="1"/>
  <c r="J48" i="4" s="1"/>
  <c r="J84" i="4" s="1"/>
  <c r="J85" i="4" s="1"/>
  <c r="J106" i="4" s="1"/>
  <c r="L79" i="4"/>
  <c r="L104" i="4" s="1"/>
  <c r="M111" i="6"/>
  <c r="L129" i="6"/>
  <c r="M121" i="6"/>
  <c r="N111" i="6"/>
  <c r="L111" i="6" s="1"/>
  <c r="H126" i="6"/>
  <c r="G26" i="6" s="1"/>
  <c r="N121" i="6"/>
  <c r="L121" i="6" s="1"/>
  <c r="H129" i="6"/>
  <c r="G29" i="6" s="1"/>
  <c r="N114" i="6"/>
  <c r="N129" i="6" s="1"/>
  <c r="G129" i="6"/>
  <c r="F29" i="6" s="1"/>
  <c r="M114" i="6"/>
  <c r="M129" i="6" s="1"/>
  <c r="I126" i="6"/>
  <c r="H26" i="6" s="1"/>
  <c r="G126" i="6"/>
  <c r="F26" i="6" s="1"/>
  <c r="F126" i="6"/>
  <c r="E26" i="6" s="1"/>
  <c r="P114" i="6"/>
  <c r="P129" i="6" s="1"/>
  <c r="O114" i="6"/>
  <c r="O129" i="6" s="1"/>
  <c r="P121" i="6"/>
  <c r="O111" i="6"/>
  <c r="P111" i="6"/>
  <c r="D20" i="2"/>
  <c r="K16" i="2"/>
  <c r="K17" i="2"/>
  <c r="K79" i="4"/>
  <c r="K104" i="4" s="1"/>
  <c r="I47" i="4"/>
  <c r="R106" i="1"/>
  <c r="M15" i="1"/>
  <c r="J67" i="2" s="1"/>
  <c r="J13" i="2" s="1"/>
  <c r="G458" i="1"/>
  <c r="K15" i="1"/>
  <c r="H67" i="2" s="1"/>
  <c r="H13" i="2" s="1"/>
  <c r="D62" i="3"/>
  <c r="L17" i="1"/>
  <c r="I69" i="2" s="1"/>
  <c r="S495" i="1"/>
  <c r="J15" i="1"/>
  <c r="G67" i="2" s="1"/>
  <c r="G13" i="2" s="1"/>
  <c r="S474" i="1"/>
  <c r="S102" i="1" s="1"/>
  <c r="J43" i="4" s="1"/>
  <c r="G480" i="1"/>
  <c r="G431" i="1"/>
  <c r="T474" i="1"/>
  <c r="T102" i="1" s="1"/>
  <c r="K43" i="4" s="1"/>
  <c r="T99" i="1"/>
  <c r="K40" i="4" s="1"/>
  <c r="T492" i="1"/>
  <c r="T107" i="1" s="1"/>
  <c r="K48" i="4" s="1"/>
  <c r="K84" i="4" s="1"/>
  <c r="T494" i="1"/>
  <c r="T109" i="1" s="1"/>
  <c r="K50" i="4" s="1"/>
  <c r="K81" i="4" s="1"/>
  <c r="T495" i="1"/>
  <c r="T493" i="1"/>
  <c r="T108" i="1" s="1"/>
  <c r="K49" i="4" s="1"/>
  <c r="K88" i="4" s="1"/>
  <c r="I349" i="1"/>
  <c r="I352" i="1" s="1"/>
  <c r="I11" i="1"/>
  <c r="F63" i="2" s="1"/>
  <c r="F8" i="2" s="1"/>
  <c r="G403" i="1"/>
  <c r="G456" i="1"/>
  <c r="G424" i="1"/>
  <c r="G401" i="1"/>
  <c r="G455" i="1"/>
  <c r="G429" i="1"/>
  <c r="G428" i="1"/>
  <c r="E8" i="1"/>
  <c r="E480" i="1" s="1"/>
  <c r="F8" i="1"/>
  <c r="E174" i="1"/>
  <c r="L60" i="4" l="1"/>
  <c r="L73" i="4" s="1"/>
  <c r="L102" i="4" s="1"/>
  <c r="U474" i="1"/>
  <c r="U102" i="1" s="1"/>
  <c r="L43" i="4" s="1"/>
  <c r="U99" i="1"/>
  <c r="L40" i="4" s="1"/>
  <c r="U494" i="1"/>
  <c r="U109" i="1" s="1"/>
  <c r="L50" i="4" s="1"/>
  <c r="L81" i="4" s="1"/>
  <c r="L82" i="4" s="1"/>
  <c r="L105" i="4" s="1"/>
  <c r="L59" i="4"/>
  <c r="L72" i="4" s="1"/>
  <c r="L101" i="4" s="1"/>
  <c r="U492" i="1"/>
  <c r="U107" i="1" s="1"/>
  <c r="L48" i="4" s="1"/>
  <c r="U495" i="1"/>
  <c r="U110" i="1" s="1"/>
  <c r="L51" i="4" s="1"/>
  <c r="L87" i="4" s="1"/>
  <c r="M126" i="6"/>
  <c r="L126" i="6"/>
  <c r="N126" i="6"/>
  <c r="P126" i="6"/>
  <c r="O126" i="6"/>
  <c r="I17" i="2"/>
  <c r="I16" i="2"/>
  <c r="K85" i="4"/>
  <c r="K106" i="4" s="1"/>
  <c r="K82" i="4"/>
  <c r="K105" i="4" s="1"/>
  <c r="T110" i="1"/>
  <c r="K51" i="4" s="1"/>
  <c r="K87" i="4" s="1"/>
  <c r="S110" i="1"/>
  <c r="J51" i="4" s="1"/>
  <c r="J17" i="1"/>
  <c r="G69" i="2" s="1"/>
  <c r="I12" i="1"/>
  <c r="F64" i="2" s="1"/>
  <c r="F458" i="1"/>
  <c r="K17" i="1"/>
  <c r="H69" i="2" s="1"/>
  <c r="M17" i="1"/>
  <c r="J69" i="2" s="1"/>
  <c r="E455" i="1"/>
  <c r="E458" i="1"/>
  <c r="F480" i="1"/>
  <c r="F431" i="1"/>
  <c r="E431" i="1"/>
  <c r="E429" i="1"/>
  <c r="E424" i="1"/>
  <c r="E10" i="1"/>
  <c r="F429" i="1"/>
  <c r="F10" i="1"/>
  <c r="F455" i="1"/>
  <c r="F456" i="1"/>
  <c r="E428" i="1"/>
  <c r="E403" i="1"/>
  <c r="E401" i="1"/>
  <c r="E456" i="1"/>
  <c r="E348" i="1"/>
  <c r="E347" i="1"/>
  <c r="E426" i="1"/>
  <c r="E399" i="1"/>
  <c r="E404" i="1"/>
  <c r="F424" i="1"/>
  <c r="F401" i="1"/>
  <c r="F428" i="1"/>
  <c r="F404" i="1"/>
  <c r="F403" i="1"/>
  <c r="F399" i="1"/>
  <c r="E163" i="1"/>
  <c r="E187" i="1" s="1"/>
  <c r="U106" i="1" l="1"/>
  <c r="L89" i="4"/>
  <c r="L107" i="4" s="1"/>
  <c r="K47" i="4"/>
  <c r="F12" i="2"/>
  <c r="F50" i="2"/>
  <c r="F51" i="2"/>
  <c r="S106" i="1"/>
  <c r="T106" i="1"/>
  <c r="L84" i="4"/>
  <c r="L85" i="4" s="1"/>
  <c r="L106" i="4" s="1"/>
  <c r="L47" i="4"/>
  <c r="G17" i="2"/>
  <c r="G16" i="2"/>
  <c r="J17" i="2"/>
  <c r="J16" i="2"/>
  <c r="H16" i="2"/>
  <c r="H17" i="2"/>
  <c r="J47" i="4"/>
  <c r="J87" i="4"/>
  <c r="I15" i="1"/>
  <c r="F67" i="2" s="1"/>
  <c r="F13" i="2" s="1"/>
  <c r="O440" i="1"/>
  <c r="O423" i="1" s="1"/>
  <c r="E349" i="1"/>
  <c r="E352" i="1" s="1"/>
  <c r="E11" i="1"/>
  <c r="E351" i="1"/>
  <c r="F348" i="1"/>
  <c r="F11" i="1" s="1"/>
  <c r="F347" i="1"/>
  <c r="F351" i="1" s="1"/>
  <c r="E225" i="1"/>
  <c r="J89" i="4" l="1"/>
  <c r="J107" i="4" s="1"/>
  <c r="K89" i="4"/>
  <c r="K107" i="4" s="1"/>
  <c r="E12" i="1"/>
  <c r="I17" i="1"/>
  <c r="F69" i="2" s="1"/>
  <c r="O428" i="1"/>
  <c r="O438" i="1" s="1"/>
  <c r="O16" i="1"/>
  <c r="F26" i="4" s="1"/>
  <c r="F71" i="4" s="1"/>
  <c r="F100" i="4" s="1"/>
  <c r="F349" i="1"/>
  <c r="F352" i="1" s="1"/>
  <c r="F12" i="1"/>
  <c r="E186" i="1"/>
  <c r="E102" i="1" s="1"/>
  <c r="E119" i="1"/>
  <c r="E114" i="1" l="1"/>
  <c r="O442" i="1"/>
  <c r="O426" i="1" s="1"/>
  <c r="F60" i="4"/>
  <c r="F73" i="4" s="1"/>
  <c r="F102" i="4" s="1"/>
  <c r="F15" i="1"/>
  <c r="F250" i="1" s="1"/>
  <c r="E15" i="1"/>
  <c r="Q428" i="1"/>
  <c r="Q438" i="1" s="1"/>
  <c r="H60" i="4" s="1"/>
  <c r="P428" i="1"/>
  <c r="P438" i="1" s="1"/>
  <c r="S440" i="1"/>
  <c r="S16" i="1" s="1"/>
  <c r="J26" i="4" s="1"/>
  <c r="J71" i="4" s="1"/>
  <c r="J100" i="4" s="1"/>
  <c r="Q440" i="1"/>
  <c r="Q16" i="1" s="1"/>
  <c r="H26" i="4" s="1"/>
  <c r="H71" i="4" s="1"/>
  <c r="H100" i="4" s="1"/>
  <c r="P440" i="1"/>
  <c r="P16" i="1" s="1"/>
  <c r="G26" i="4" s="1"/>
  <c r="G71" i="4" s="1"/>
  <c r="G100" i="4" s="1"/>
  <c r="O444" i="1"/>
  <c r="O427" i="1" s="1"/>
  <c r="E474" i="1"/>
  <c r="E461" i="1" s="1"/>
  <c r="E97" i="1"/>
  <c r="R428" i="1"/>
  <c r="R438" i="1" s="1"/>
  <c r="S428" i="1"/>
  <c r="S438" i="1" s="1"/>
  <c r="S444" i="1" l="1"/>
  <c r="J60" i="4"/>
  <c r="J73" i="4" s="1"/>
  <c r="J102" i="4" s="1"/>
  <c r="R444" i="1"/>
  <c r="I60" i="4"/>
  <c r="I73" i="4" s="1"/>
  <c r="I102" i="4" s="1"/>
  <c r="P444" i="1"/>
  <c r="G60" i="4"/>
  <c r="G73" i="4" s="1"/>
  <c r="G102" i="4" s="1"/>
  <c r="Q444" i="1"/>
  <c r="H73" i="4"/>
  <c r="H102" i="4" s="1"/>
  <c r="P437" i="1"/>
  <c r="P441" i="1" s="1"/>
  <c r="O93" i="1"/>
  <c r="F34" i="4" s="1"/>
  <c r="F17" i="1"/>
  <c r="E112" i="1"/>
  <c r="E17" i="1"/>
  <c r="R440" i="1"/>
  <c r="R16" i="1" s="1"/>
  <c r="I26" i="4" s="1"/>
  <c r="I71" i="4" s="1"/>
  <c r="I100" i="4" s="1"/>
  <c r="F251" i="1"/>
  <c r="F252" i="1" s="1"/>
  <c r="F253" i="1" s="1"/>
  <c r="F255" i="1" s="1"/>
  <c r="T428" i="1"/>
  <c r="T438" i="1" s="1"/>
  <c r="T440" i="1"/>
  <c r="T16" i="1" s="1"/>
  <c r="K26" i="4" s="1"/>
  <c r="K71" i="4" s="1"/>
  <c r="K100" i="4" s="1"/>
  <c r="T444" i="1" l="1"/>
  <c r="K60" i="4"/>
  <c r="K73" i="4" s="1"/>
  <c r="K102" i="4" s="1"/>
  <c r="P442" i="1"/>
  <c r="P426" i="1" s="1"/>
  <c r="P423" i="1"/>
  <c r="P427" i="1"/>
  <c r="E127" i="1"/>
  <c r="G264" i="1"/>
  <c r="F257" i="1"/>
  <c r="F269" i="1" s="1"/>
  <c r="F256" i="1"/>
  <c r="P93" i="1" l="1"/>
  <c r="G34" i="4" s="1"/>
  <c r="Q437" i="1"/>
  <c r="Q427" i="1" s="1"/>
  <c r="E146" i="1"/>
  <c r="F270" i="1"/>
  <c r="F151" i="1" s="1"/>
  <c r="F142" i="1" s="1"/>
  <c r="F141" i="1" s="1"/>
  <c r="F145" i="1" s="1"/>
  <c r="F150" i="1"/>
  <c r="F93" i="1" s="1"/>
  <c r="G265" i="1"/>
  <c r="G25" i="1"/>
  <c r="Q441" i="1" l="1"/>
  <c r="Q442" i="1" s="1"/>
  <c r="Q93" i="1" s="1"/>
  <c r="H34" i="4" s="1"/>
  <c r="Q423" i="1"/>
  <c r="F92" i="1"/>
  <c r="F112" i="1" s="1"/>
  <c r="F294" i="1"/>
  <c r="G279" i="1"/>
  <c r="G26" i="1"/>
  <c r="G14" i="1" s="1"/>
  <c r="D66" i="2" s="1"/>
  <c r="R437" i="1" l="1"/>
  <c r="R441" i="1" s="1"/>
  <c r="R442" i="1" s="1"/>
  <c r="R426" i="1" s="1"/>
  <c r="Q426" i="1"/>
  <c r="F127" i="1"/>
  <c r="F442" i="1"/>
  <c r="F426" i="1" s="1"/>
  <c r="G289" i="1"/>
  <c r="G437" i="1" s="1"/>
  <c r="D142" i="2" s="1"/>
  <c r="F293" i="1"/>
  <c r="F441" i="1" s="1"/>
  <c r="G413" i="1"/>
  <c r="G280" i="1"/>
  <c r="G414" i="1" s="1"/>
  <c r="D138" i="2" s="1"/>
  <c r="R427" i="1" l="1"/>
  <c r="R423" i="1"/>
  <c r="D137" i="2"/>
  <c r="G13" i="1"/>
  <c r="D32" i="2"/>
  <c r="D38" i="2"/>
  <c r="F146" i="1"/>
  <c r="S437" i="1"/>
  <c r="R93" i="1"/>
  <c r="I34" i="4" s="1"/>
  <c r="G427" i="1"/>
  <c r="G423" i="1"/>
  <c r="D65" i="2"/>
  <c r="G398" i="1"/>
  <c r="G9" i="1"/>
  <c r="D61" i="2" s="1"/>
  <c r="D24" i="2" s="1"/>
  <c r="G399" i="1"/>
  <c r="G404" i="1"/>
  <c r="D35" i="2" l="1"/>
  <c r="D34" i="2"/>
  <c r="D7" i="2"/>
  <c r="D22" i="2"/>
  <c r="S423" i="1"/>
  <c r="S441" i="1"/>
  <c r="S442" i="1" s="1"/>
  <c r="S427" i="1"/>
  <c r="G10" i="1"/>
  <c r="D62" i="2" s="1"/>
  <c r="D11" i="2" s="1"/>
  <c r="G457" i="1"/>
  <c r="G454" i="1"/>
  <c r="G346" i="1"/>
  <c r="T437" i="1" l="1"/>
  <c r="S93" i="1"/>
  <c r="J34" i="4" s="1"/>
  <c r="S426" i="1"/>
  <c r="G348" i="1"/>
  <c r="G347" i="1"/>
  <c r="G11" i="1" l="1"/>
  <c r="D63" i="2" s="1"/>
  <c r="D8" i="2" s="1"/>
  <c r="T441" i="1"/>
  <c r="T442" i="1" s="1"/>
  <c r="U437" i="1" s="1"/>
  <c r="U423" i="1" s="1"/>
  <c r="T427" i="1"/>
  <c r="T423" i="1"/>
  <c r="G351" i="1"/>
  <c r="G349" i="1"/>
  <c r="G12" i="1" l="1"/>
  <c r="D64" i="2" s="1"/>
  <c r="D12" i="2" s="1"/>
  <c r="U441" i="1"/>
  <c r="U442" i="1" s="1"/>
  <c r="U427" i="1"/>
  <c r="T426" i="1"/>
  <c r="T93" i="1"/>
  <c r="K34" i="4" s="1"/>
  <c r="G352" i="1"/>
  <c r="G15" i="1" l="1"/>
  <c r="G17" i="1" s="1"/>
  <c r="D69" i="2" s="1"/>
  <c r="U93" i="1"/>
  <c r="L34" i="4" s="1"/>
  <c r="U426" i="1"/>
  <c r="D67" i="2"/>
  <c r="D13" i="2" s="1"/>
  <c r="G250" i="1"/>
  <c r="G251" i="1" s="1"/>
  <c r="G252" i="1" s="1"/>
  <c r="G253" i="1" s="1"/>
  <c r="G256" i="1" s="1"/>
  <c r="G255" i="1" l="1"/>
  <c r="G257" i="1" s="1"/>
  <c r="G269" i="1" s="1"/>
  <c r="G270" i="1" l="1"/>
  <c r="G151" i="1" s="1"/>
  <c r="G142" i="1" s="1"/>
  <c r="G150" i="1"/>
  <c r="G93" i="1" s="1"/>
  <c r="D76" i="2" s="1"/>
  <c r="H264" i="1"/>
  <c r="H25" i="1" s="1"/>
  <c r="G141" i="1" l="1"/>
  <c r="D125" i="2"/>
  <c r="G294" i="1"/>
  <c r="G92" i="1"/>
  <c r="H265" i="1"/>
  <c r="H26" i="1" s="1"/>
  <c r="H14" i="1" s="1"/>
  <c r="E66" i="2" s="1"/>
  <c r="G112" i="1" l="1"/>
  <c r="D95" i="2" s="1"/>
  <c r="E47" i="2" s="1"/>
  <c r="D75" i="2"/>
  <c r="G145" i="1"/>
  <c r="D128" i="2" s="1"/>
  <c r="D124" i="2"/>
  <c r="G442" i="1"/>
  <c r="H289" i="1"/>
  <c r="G293" i="1"/>
  <c r="G441" i="1" s="1"/>
  <c r="D146" i="2" s="1"/>
  <c r="H279" i="1"/>
  <c r="H413" i="1" s="1"/>
  <c r="E137" i="2" l="1"/>
  <c r="H13" i="1"/>
  <c r="E65" i="2" s="1"/>
  <c r="D53" i="2"/>
  <c r="D50" i="2"/>
  <c r="D52" i="2"/>
  <c r="D51" i="2"/>
  <c r="G426" i="1"/>
  <c r="D147" i="2"/>
  <c r="G127" i="1"/>
  <c r="G146" i="1" s="1"/>
  <c r="H280" i="1"/>
  <c r="H414" i="1" s="1"/>
  <c r="E138" i="2" s="1"/>
  <c r="H437" i="1"/>
  <c r="E142" i="2" s="1"/>
  <c r="H9" i="1"/>
  <c r="E61" i="2" s="1"/>
  <c r="E24" i="2" s="1"/>
  <c r="H399" i="1"/>
  <c r="H398" i="1"/>
  <c r="H404" i="1"/>
  <c r="E32" i="2" l="1"/>
  <c r="E38" i="2"/>
  <c r="E35" i="2"/>
  <c r="E34" i="2"/>
  <c r="E7" i="2"/>
  <c r="E22" i="2"/>
  <c r="D110" i="2"/>
  <c r="H423" i="1"/>
  <c r="H427" i="1"/>
  <c r="H346" i="1"/>
  <c r="H454" i="1"/>
  <c r="H457" i="1"/>
  <c r="H10" i="1"/>
  <c r="E62" i="2" s="1"/>
  <c r="E11" i="2" s="1"/>
  <c r="H348" i="1" l="1"/>
  <c r="H347" i="1"/>
  <c r="O413" i="1"/>
  <c r="O13" i="1" s="1"/>
  <c r="H11" i="1" l="1"/>
  <c r="E63" i="2" s="1"/>
  <c r="E8" i="2" s="1"/>
  <c r="O398" i="1"/>
  <c r="F23" i="4"/>
  <c r="F70" i="4" s="1"/>
  <c r="F99" i="4" s="1"/>
  <c r="O415" i="1"/>
  <c r="O94" i="1" s="1"/>
  <c r="O417" i="1"/>
  <c r="O402" i="1" s="1"/>
  <c r="H351" i="1"/>
  <c r="O347" i="1"/>
  <c r="P413" i="1"/>
  <c r="P13" i="1" s="1"/>
  <c r="P403" i="1"/>
  <c r="P411" i="1" s="1"/>
  <c r="H349" i="1"/>
  <c r="H12" i="1" l="1"/>
  <c r="E64" i="2" s="1"/>
  <c r="E12" i="2" s="1"/>
  <c r="P417" i="1"/>
  <c r="G59" i="4"/>
  <c r="G72" i="4" s="1"/>
  <c r="G101" i="4" s="1"/>
  <c r="O92" i="1"/>
  <c r="F35" i="4"/>
  <c r="F33" i="4" s="1"/>
  <c r="H352" i="1"/>
  <c r="O349" i="1"/>
  <c r="P347" i="1"/>
  <c r="O351" i="1"/>
  <c r="O346" i="1" s="1"/>
  <c r="P410" i="1"/>
  <c r="P398" i="1" s="1"/>
  <c r="O401" i="1"/>
  <c r="Q413" i="1"/>
  <c r="Q13" i="1" s="1"/>
  <c r="Q403" i="1"/>
  <c r="Q411" i="1" s="1"/>
  <c r="G23" i="4"/>
  <c r="G70" i="4" s="1"/>
  <c r="G99" i="4" s="1"/>
  <c r="H15" i="1" l="1"/>
  <c r="Q417" i="1"/>
  <c r="H59" i="4"/>
  <c r="H72" i="4" s="1"/>
  <c r="H101" i="4" s="1"/>
  <c r="T403" i="1"/>
  <c r="T411" i="1" s="1"/>
  <c r="S413" i="1"/>
  <c r="S13" i="1" s="1"/>
  <c r="S403" i="1"/>
  <c r="S411" i="1" s="1"/>
  <c r="H23" i="4"/>
  <c r="H70" i="4" s="1"/>
  <c r="H99" i="4" s="1"/>
  <c r="P414" i="1"/>
  <c r="P415" i="1" s="1"/>
  <c r="R413" i="1"/>
  <c r="R13" i="1" s="1"/>
  <c r="R403" i="1"/>
  <c r="R411" i="1" s="1"/>
  <c r="O9" i="1"/>
  <c r="P351" i="1"/>
  <c r="P346" i="1" s="1"/>
  <c r="Q347" i="1"/>
  <c r="P402" i="1"/>
  <c r="O352" i="1"/>
  <c r="O348" i="1" s="1"/>
  <c r="O11" i="1" s="1"/>
  <c r="F21" i="4" s="1"/>
  <c r="P349" i="1"/>
  <c r="E67" i="2" l="1"/>
  <c r="E13" i="2" s="1"/>
  <c r="H17" i="1"/>
  <c r="E69" i="2" s="1"/>
  <c r="H250" i="1"/>
  <c r="H251" i="1" s="1"/>
  <c r="H252" i="1" s="1"/>
  <c r="H253" i="1" s="1"/>
  <c r="H255" i="1" s="1"/>
  <c r="H257" i="1" s="1"/>
  <c r="H269" i="1" s="1"/>
  <c r="F19" i="4"/>
  <c r="F20" i="4" s="1"/>
  <c r="O470" i="1"/>
  <c r="O104" i="1" s="1"/>
  <c r="F45" i="4" s="1"/>
  <c r="R417" i="1"/>
  <c r="I59" i="4"/>
  <c r="I72" i="4" s="1"/>
  <c r="I101" i="4" s="1"/>
  <c r="S417" i="1"/>
  <c r="J59" i="4"/>
  <c r="J72" i="4" s="1"/>
  <c r="J101" i="4" s="1"/>
  <c r="T417" i="1"/>
  <c r="K59" i="4"/>
  <c r="K72" i="4" s="1"/>
  <c r="K101" i="4" s="1"/>
  <c r="F22" i="4"/>
  <c r="F25" i="4" s="1"/>
  <c r="F27" i="4" s="1"/>
  <c r="F66" i="4" s="1"/>
  <c r="Q410" i="1"/>
  <c r="Q398" i="1" s="1"/>
  <c r="P94" i="1"/>
  <c r="T413" i="1"/>
  <c r="O343" i="1"/>
  <c r="O344" i="1" s="1"/>
  <c r="P9" i="1"/>
  <c r="G19" i="4" s="1"/>
  <c r="G20" i="4" s="1"/>
  <c r="O467" i="1"/>
  <c r="O98" i="1" s="1"/>
  <c r="F39" i="4" s="1"/>
  <c r="O10" i="1"/>
  <c r="I23" i="4"/>
  <c r="I70" i="4" s="1"/>
  <c r="I99" i="4" s="1"/>
  <c r="P401" i="1"/>
  <c r="J23" i="4"/>
  <c r="J70" i="4" s="1"/>
  <c r="J99" i="4" s="1"/>
  <c r="Q349" i="1"/>
  <c r="P352" i="1"/>
  <c r="P348" i="1" s="1"/>
  <c r="P11" i="1" s="1"/>
  <c r="G21" i="4" s="1"/>
  <c r="R347" i="1"/>
  <c r="Q351" i="1"/>
  <c r="Q346" i="1" s="1"/>
  <c r="H150" i="1" l="1"/>
  <c r="H93" i="1" s="1"/>
  <c r="H270" i="1"/>
  <c r="H151" i="1" s="1"/>
  <c r="H142" i="1" s="1"/>
  <c r="T13" i="1"/>
  <c r="K23" i="4" s="1"/>
  <c r="K70" i="4" s="1"/>
  <c r="K99" i="4" s="1"/>
  <c r="F38" i="4"/>
  <c r="F53" i="4" s="1"/>
  <c r="F68" i="4"/>
  <c r="F97" i="4" s="1"/>
  <c r="F96" i="4"/>
  <c r="G22" i="4"/>
  <c r="G25" i="4" s="1"/>
  <c r="G27" i="4" s="1"/>
  <c r="G66" i="4" s="1"/>
  <c r="G96" i="4" s="1"/>
  <c r="P92" i="1"/>
  <c r="G35" i="4"/>
  <c r="G33" i="4" s="1"/>
  <c r="O97" i="1"/>
  <c r="O12" i="1"/>
  <c r="Q54" i="6" s="1"/>
  <c r="Q414" i="1"/>
  <c r="Q415" i="1" s="1"/>
  <c r="Q94" i="1" s="1"/>
  <c r="Q402" i="1"/>
  <c r="P10" i="1"/>
  <c r="P470" i="1"/>
  <c r="P104" i="1" s="1"/>
  <c r="G45" i="4" s="1"/>
  <c r="P467" i="1"/>
  <c r="P98" i="1" s="1"/>
  <c r="G39" i="4" s="1"/>
  <c r="S347" i="1"/>
  <c r="R351" i="1"/>
  <c r="R346" i="1" s="1"/>
  <c r="R349" i="1"/>
  <c r="Q352" i="1"/>
  <c r="Q348" i="1" s="1"/>
  <c r="Q11" i="1" s="1"/>
  <c r="H21" i="4" s="1"/>
  <c r="Q9" i="1"/>
  <c r="H19" i="4" s="1"/>
  <c r="H20" i="4" s="1"/>
  <c r="P343" i="1"/>
  <c r="P344" i="1" s="1"/>
  <c r="H141" i="1" l="1"/>
  <c r="E125" i="2"/>
  <c r="E76" i="2"/>
  <c r="H92" i="1"/>
  <c r="H294" i="1"/>
  <c r="G116" i="4"/>
  <c r="F98" i="4"/>
  <c r="O15" i="1"/>
  <c r="O17" i="1" s="1"/>
  <c r="G38" i="4"/>
  <c r="G75" i="4" s="1"/>
  <c r="R410" i="1"/>
  <c r="R414" i="1" s="1"/>
  <c r="R415" i="1" s="1"/>
  <c r="S410" i="1" s="1"/>
  <c r="S414" i="1" s="1"/>
  <c r="S415" i="1" s="1"/>
  <c r="Q401" i="1"/>
  <c r="H22" i="4"/>
  <c r="H25" i="4" s="1"/>
  <c r="H27" i="4" s="1"/>
  <c r="H66" i="4" s="1"/>
  <c r="G68" i="4"/>
  <c r="G97" i="4" s="1"/>
  <c r="Q92" i="1"/>
  <c r="H35" i="4"/>
  <c r="H33" i="4" s="1"/>
  <c r="O112" i="1"/>
  <c r="F75" i="4"/>
  <c r="F76" i="4" s="1"/>
  <c r="F103" i="4" s="1"/>
  <c r="P12" i="1"/>
  <c r="R54" i="6" s="1"/>
  <c r="P97" i="1"/>
  <c r="Q343" i="1"/>
  <c r="Q344" i="1" s="1"/>
  <c r="Q10" i="1"/>
  <c r="Q467" i="1"/>
  <c r="Q98" i="1" s="1"/>
  <c r="H39" i="4" s="1"/>
  <c r="Q470" i="1"/>
  <c r="Q104" i="1" s="1"/>
  <c r="H45" i="4" s="1"/>
  <c r="S351" i="1"/>
  <c r="S346" i="1" s="1"/>
  <c r="T347" i="1"/>
  <c r="R352" i="1"/>
  <c r="R348" i="1" s="1"/>
  <c r="R11" i="1" s="1"/>
  <c r="I21" i="4" s="1"/>
  <c r="S349" i="1"/>
  <c r="R9" i="1"/>
  <c r="I19" i="4" s="1"/>
  <c r="I20" i="4" s="1"/>
  <c r="L76" i="6"/>
  <c r="F96" i="6"/>
  <c r="Y54" i="6"/>
  <c r="I289" i="1" l="1"/>
  <c r="H442" i="1"/>
  <c r="H293" i="1"/>
  <c r="H441" i="1" s="1"/>
  <c r="E146" i="2" s="1"/>
  <c r="H112" i="1"/>
  <c r="E75" i="2"/>
  <c r="H145" i="1"/>
  <c r="E128" i="2" s="1"/>
  <c r="E124" i="2"/>
  <c r="T351" i="1"/>
  <c r="T346" i="1" s="1"/>
  <c r="T9" i="1" s="1"/>
  <c r="K19" i="4" s="1"/>
  <c r="K20" i="4" s="1"/>
  <c r="U347" i="1"/>
  <c r="U351" i="1" s="1"/>
  <c r="U346" i="1" s="1"/>
  <c r="G53" i="4"/>
  <c r="F115" i="4"/>
  <c r="P15" i="1"/>
  <c r="P17" i="1" s="1"/>
  <c r="R94" i="1"/>
  <c r="I35" i="4" s="1"/>
  <c r="I33" i="4" s="1"/>
  <c r="R401" i="1"/>
  <c r="I22" i="4"/>
  <c r="I25" i="4" s="1"/>
  <c r="I27" i="4" s="1"/>
  <c r="I66" i="4" s="1"/>
  <c r="I96" i="4" s="1"/>
  <c r="G98" i="4"/>
  <c r="H96" i="4"/>
  <c r="H116" i="4" s="1"/>
  <c r="F108" i="4"/>
  <c r="R398" i="1"/>
  <c r="R402" i="1"/>
  <c r="G76" i="4"/>
  <c r="G103" i="4" s="1"/>
  <c r="H38" i="4"/>
  <c r="H68" i="4"/>
  <c r="H97" i="4" s="1"/>
  <c r="P112" i="1"/>
  <c r="Q12" i="1"/>
  <c r="S398" i="1"/>
  <c r="S402" i="1"/>
  <c r="Q97" i="1"/>
  <c r="T410" i="1"/>
  <c r="T402" i="1" s="1"/>
  <c r="S94" i="1"/>
  <c r="S401" i="1"/>
  <c r="R343" i="1"/>
  <c r="R344" i="1" s="1"/>
  <c r="M76" i="6"/>
  <c r="F95" i="6"/>
  <c r="Z54" i="6"/>
  <c r="R10" i="1"/>
  <c r="R470" i="1"/>
  <c r="R104" i="1" s="1"/>
  <c r="I45" i="4" s="1"/>
  <c r="R467" i="1"/>
  <c r="R98" i="1" s="1"/>
  <c r="I39" i="4" s="1"/>
  <c r="T349" i="1"/>
  <c r="S352" i="1"/>
  <c r="S348" i="1" s="1"/>
  <c r="S11" i="1" s="1"/>
  <c r="J21" i="4" s="1"/>
  <c r="K96" i="6"/>
  <c r="T96" i="6" s="1"/>
  <c r="H13" i="6" s="1"/>
  <c r="L96" i="6"/>
  <c r="U96" i="6" s="1"/>
  <c r="I13" i="6" s="1"/>
  <c r="I96" i="6"/>
  <c r="R96" i="6" s="1"/>
  <c r="F13" i="6" s="1"/>
  <c r="J96" i="6"/>
  <c r="S96" i="6" s="1"/>
  <c r="H96" i="6"/>
  <c r="Q96" i="6" s="1"/>
  <c r="E13" i="6" s="1"/>
  <c r="S9" i="1"/>
  <c r="J19" i="4" s="1"/>
  <c r="J20" i="4" s="1"/>
  <c r="E95" i="2" l="1"/>
  <c r="H127" i="1"/>
  <c r="H426" i="1"/>
  <c r="E147" i="2"/>
  <c r="E52" i="2"/>
  <c r="E51" i="2"/>
  <c r="E50" i="2"/>
  <c r="E53" i="2"/>
  <c r="I293" i="1"/>
  <c r="I441" i="1" s="1"/>
  <c r="F146" i="2" s="1"/>
  <c r="I437" i="1"/>
  <c r="U9" i="1"/>
  <c r="T352" i="1"/>
  <c r="T348" i="1" s="1"/>
  <c r="T11" i="1" s="1"/>
  <c r="K21" i="4" s="1"/>
  <c r="K22" i="4" s="1"/>
  <c r="K25" i="4" s="1"/>
  <c r="K27" i="4" s="1"/>
  <c r="K66" i="4" s="1"/>
  <c r="U349" i="1"/>
  <c r="U352" i="1" s="1"/>
  <c r="U348" i="1" s="1"/>
  <c r="U11" i="1" s="1"/>
  <c r="L21" i="4" s="1"/>
  <c r="G13" i="6"/>
  <c r="H122" i="6"/>
  <c r="G122" i="6"/>
  <c r="F122" i="6"/>
  <c r="J122" i="6"/>
  <c r="I122" i="6"/>
  <c r="I116" i="4"/>
  <c r="F111" i="4"/>
  <c r="F112" i="4" s="1"/>
  <c r="G115" i="4"/>
  <c r="R92" i="1"/>
  <c r="I68" i="4"/>
  <c r="I97" i="4" s="1"/>
  <c r="F123" i="4"/>
  <c r="F124" i="4" s="1"/>
  <c r="G108" i="4"/>
  <c r="H98" i="4"/>
  <c r="I38" i="4"/>
  <c r="I53" i="4" s="1"/>
  <c r="H53" i="4"/>
  <c r="H75" i="4"/>
  <c r="H76" i="4" s="1"/>
  <c r="H103" i="4" s="1"/>
  <c r="T414" i="1"/>
  <c r="T415" i="1" s="1"/>
  <c r="J22" i="4"/>
  <c r="J25" i="4" s="1"/>
  <c r="J27" i="4" s="1"/>
  <c r="J66" i="4" s="1"/>
  <c r="T398" i="1"/>
  <c r="S92" i="1"/>
  <c r="J35" i="4"/>
  <c r="J33" i="4" s="1"/>
  <c r="Q112" i="1"/>
  <c r="Q15" i="1"/>
  <c r="Q17" i="1" s="1"/>
  <c r="S54" i="6"/>
  <c r="N76" i="6" s="1"/>
  <c r="R12" i="1"/>
  <c r="R97" i="1"/>
  <c r="T470" i="1"/>
  <c r="T104" i="1" s="1"/>
  <c r="K45" i="4" s="1"/>
  <c r="T10" i="1"/>
  <c r="T467" i="1"/>
  <c r="T98" i="1" s="1"/>
  <c r="K39" i="4" s="1"/>
  <c r="S10" i="1"/>
  <c r="S467" i="1"/>
  <c r="S98" i="1" s="1"/>
  <c r="J39" i="4" s="1"/>
  <c r="S470" i="1"/>
  <c r="S104" i="1" s="1"/>
  <c r="J45" i="4" s="1"/>
  <c r="H95" i="6"/>
  <c r="Q95" i="6" s="1"/>
  <c r="E12" i="6" s="1"/>
  <c r="L95" i="6"/>
  <c r="U95" i="6" s="1"/>
  <c r="I12" i="6" s="1"/>
  <c r="I95" i="6"/>
  <c r="R95" i="6" s="1"/>
  <c r="F12" i="6" s="1"/>
  <c r="K95" i="6"/>
  <c r="T95" i="6" s="1"/>
  <c r="H12" i="6" s="1"/>
  <c r="J95" i="6"/>
  <c r="S95" i="6" s="1"/>
  <c r="G12" i="6" s="1"/>
  <c r="S343" i="1"/>
  <c r="S344" i="1" s="1"/>
  <c r="F142" i="2" l="1"/>
  <c r="I427" i="1"/>
  <c r="I426" i="1"/>
  <c r="I423" i="1"/>
  <c r="H146" i="1"/>
  <c r="E110" i="2"/>
  <c r="F47" i="2"/>
  <c r="E17" i="2"/>
  <c r="F17" i="2"/>
  <c r="E16" i="2"/>
  <c r="F16" i="2"/>
  <c r="T343" i="1"/>
  <c r="T344" i="1" s="1"/>
  <c r="U467" i="1"/>
  <c r="U98" i="1" s="1"/>
  <c r="U470" i="1"/>
  <c r="U104" i="1" s="1"/>
  <c r="L45" i="4" s="1"/>
  <c r="U10" i="1"/>
  <c r="U12" i="1" s="1"/>
  <c r="U15" i="1" s="1"/>
  <c r="U17" i="1" s="1"/>
  <c r="L19" i="4"/>
  <c r="L20" i="4" s="1"/>
  <c r="L22" i="4" s="1"/>
  <c r="L25" i="4" s="1"/>
  <c r="L27" i="4" s="1"/>
  <c r="L66" i="4" s="1"/>
  <c r="U343" i="1"/>
  <c r="U344" i="1" s="1"/>
  <c r="N122" i="6"/>
  <c r="L122" i="6" s="1"/>
  <c r="M122" i="6"/>
  <c r="O122" i="6"/>
  <c r="P122" i="6"/>
  <c r="J117" i="6"/>
  <c r="G117" i="6"/>
  <c r="F117" i="6"/>
  <c r="H117" i="6"/>
  <c r="I117" i="6"/>
  <c r="I98" i="4"/>
  <c r="I115" i="4" s="1"/>
  <c r="F113" i="4"/>
  <c r="F114" i="4" s="1"/>
  <c r="T401" i="1"/>
  <c r="U410" i="1"/>
  <c r="H115" i="4"/>
  <c r="G111" i="4"/>
  <c r="G112" i="4" s="1"/>
  <c r="X54" i="6"/>
  <c r="F94" i="6"/>
  <c r="H94" i="6" s="1"/>
  <c r="Q94" i="6" s="1"/>
  <c r="E11" i="6" s="1"/>
  <c r="I75" i="4"/>
  <c r="I76" i="4" s="1"/>
  <c r="I103" i="4" s="1"/>
  <c r="G123" i="4"/>
  <c r="G124" i="4" s="1"/>
  <c r="H108" i="4"/>
  <c r="J96" i="4"/>
  <c r="J116" i="4" s="1"/>
  <c r="T94" i="1"/>
  <c r="T92" i="1" s="1"/>
  <c r="K68" i="4"/>
  <c r="K97" i="4" s="1"/>
  <c r="K96" i="4"/>
  <c r="K38" i="4"/>
  <c r="K75" i="4" s="1"/>
  <c r="J38" i="4"/>
  <c r="J68" i="4"/>
  <c r="J97" i="4" s="1"/>
  <c r="R112" i="1"/>
  <c r="AA54" i="6"/>
  <c r="T12" i="1"/>
  <c r="S12" i="1"/>
  <c r="R15" i="1"/>
  <c r="T97" i="1"/>
  <c r="S97" i="1"/>
  <c r="F38" i="2" l="1"/>
  <c r="F32" i="2"/>
  <c r="L68" i="4"/>
  <c r="L97" i="4" s="1"/>
  <c r="L96" i="4"/>
  <c r="L116" i="4" s="1"/>
  <c r="L39" i="4"/>
  <c r="L38" i="4" s="1"/>
  <c r="L75" i="4" s="1"/>
  <c r="L76" i="4" s="1"/>
  <c r="L103" i="4" s="1"/>
  <c r="U97" i="1"/>
  <c r="M117" i="6"/>
  <c r="N117" i="6"/>
  <c r="L117" i="6" s="1"/>
  <c r="O117" i="6"/>
  <c r="P117" i="6"/>
  <c r="F112" i="6"/>
  <c r="F135" i="6" s="1"/>
  <c r="E35" i="6" s="1"/>
  <c r="K116" i="4"/>
  <c r="H111" i="4"/>
  <c r="H112" i="4" s="1"/>
  <c r="U398" i="1"/>
  <c r="U414" i="1"/>
  <c r="U415" i="1" s="1"/>
  <c r="U402" i="1"/>
  <c r="J94" i="6"/>
  <c r="S94" i="6" s="1"/>
  <c r="G11" i="6" s="1"/>
  <c r="K94" i="6"/>
  <c r="T94" i="6" s="1"/>
  <c r="H11" i="6" s="1"/>
  <c r="L94" i="6"/>
  <c r="U94" i="6" s="1"/>
  <c r="I11" i="6" s="1"/>
  <c r="I94" i="6"/>
  <c r="R94" i="6" s="1"/>
  <c r="F11" i="6" s="1"/>
  <c r="G113" i="4"/>
  <c r="G114" i="4" s="1"/>
  <c r="K35" i="4"/>
  <c r="K33" i="4" s="1"/>
  <c r="K53" i="4" s="1"/>
  <c r="H123" i="4"/>
  <c r="H124" i="4" s="1"/>
  <c r="I108" i="4"/>
  <c r="J98" i="4"/>
  <c r="K98" i="4"/>
  <c r="J53" i="4"/>
  <c r="J75" i="4"/>
  <c r="J76" i="4" s="1"/>
  <c r="J103" i="4" s="1"/>
  <c r="T112" i="1"/>
  <c r="S112" i="1"/>
  <c r="R17" i="1"/>
  <c r="S15" i="1"/>
  <c r="T15" i="1"/>
  <c r="L98" i="4" l="1"/>
  <c r="L108" i="4" s="1"/>
  <c r="F127" i="6"/>
  <c r="E27" i="6" s="1"/>
  <c r="I112" i="6"/>
  <c r="I127" i="6" s="1"/>
  <c r="H27" i="6" s="1"/>
  <c r="G112" i="6"/>
  <c r="M112" i="6" s="1"/>
  <c r="M127" i="6" s="1"/>
  <c r="J112" i="6"/>
  <c r="J127" i="6" s="1"/>
  <c r="I27" i="6" s="1"/>
  <c r="H112" i="6"/>
  <c r="H113" i="4"/>
  <c r="H114" i="4" s="1"/>
  <c r="I111" i="4"/>
  <c r="I112" i="4" s="1"/>
  <c r="U94" i="1"/>
  <c r="U401" i="1"/>
  <c r="J115" i="4"/>
  <c r="K115" i="4"/>
  <c r="J108" i="4"/>
  <c r="I123" i="4"/>
  <c r="I124" i="4" s="1"/>
  <c r="K76" i="4"/>
  <c r="K103" i="4" s="1"/>
  <c r="T17" i="1"/>
  <c r="S17" i="1"/>
  <c r="L111" i="4" l="1"/>
  <c r="L112" i="4" s="1"/>
  <c r="L123" i="4"/>
  <c r="L131" i="4" s="1"/>
  <c r="L132" i="4" s="1"/>
  <c r="U92" i="1"/>
  <c r="U112" i="1" s="1"/>
  <c r="L35" i="4"/>
  <c r="L33" i="4" s="1"/>
  <c r="L53" i="4" s="1"/>
  <c r="L115" i="4" s="1"/>
  <c r="H127" i="6"/>
  <c r="G27" i="6" s="1"/>
  <c r="N112" i="6"/>
  <c r="G127" i="6"/>
  <c r="F27" i="6" s="1"/>
  <c r="H135" i="6"/>
  <c r="G35" i="6" s="1"/>
  <c r="J135" i="6"/>
  <c r="I35" i="6" s="1"/>
  <c r="P112" i="6"/>
  <c r="P127" i="6" s="1"/>
  <c r="G135" i="6"/>
  <c r="F35" i="6" s="1"/>
  <c r="O112" i="6"/>
  <c r="O127" i="6" s="1"/>
  <c r="I135" i="6"/>
  <c r="H35" i="6" s="1"/>
  <c r="I113" i="4"/>
  <c r="I114" i="4" s="1"/>
  <c r="L124" i="4"/>
  <c r="J123" i="4"/>
  <c r="J124" i="4" s="1"/>
  <c r="J111" i="4"/>
  <c r="K108" i="4"/>
  <c r="N127" i="6" l="1"/>
  <c r="L112" i="6"/>
  <c r="P135" i="6"/>
  <c r="M135" i="6"/>
  <c r="O135" i="6"/>
  <c r="N135" i="6"/>
  <c r="K111" i="4"/>
  <c r="J112" i="4"/>
  <c r="J113" i="4"/>
  <c r="K123" i="4"/>
  <c r="K124" i="4" s="1"/>
  <c r="L133" i="4" s="1"/>
  <c r="D170" i="4" s="1"/>
  <c r="F175" i="4" l="1"/>
  <c r="H180" i="4"/>
  <c r="G178" i="4"/>
  <c r="L177" i="4"/>
  <c r="H178" i="4"/>
  <c r="J178" i="4"/>
  <c r="I178" i="4"/>
  <c r="I177" i="4"/>
  <c r="H176" i="4"/>
  <c r="K178" i="4"/>
  <c r="K176" i="4"/>
  <c r="J175" i="4"/>
  <c r="J181" i="4"/>
  <c r="H177" i="4"/>
  <c r="F176" i="4"/>
  <c r="I180" i="4"/>
  <c r="G175" i="4"/>
  <c r="J176" i="4"/>
  <c r="F181" i="4"/>
  <c r="H179" i="4"/>
  <c r="F177" i="4"/>
  <c r="F178" i="4"/>
  <c r="J179" i="4"/>
  <c r="G176" i="4"/>
  <c r="H175" i="4"/>
  <c r="F179" i="4"/>
  <c r="I181" i="4"/>
  <c r="G179" i="4"/>
  <c r="K175" i="4"/>
  <c r="I179" i="4"/>
  <c r="L181" i="4"/>
  <c r="K180" i="4"/>
  <c r="J180" i="4"/>
  <c r="I176" i="4"/>
  <c r="L180" i="4"/>
  <c r="G181" i="4"/>
  <c r="L179" i="4"/>
  <c r="K177" i="4"/>
  <c r="H181" i="4"/>
  <c r="G177" i="4"/>
  <c r="G180" i="4"/>
  <c r="J177" i="4"/>
  <c r="K179" i="4"/>
  <c r="I175" i="4"/>
  <c r="L176" i="4"/>
  <c r="L178" i="4"/>
  <c r="F180" i="4"/>
  <c r="K181" i="4"/>
  <c r="L175" i="4"/>
  <c r="L127" i="6"/>
  <c r="L135" i="6"/>
  <c r="J114" i="4"/>
  <c r="K112" i="4"/>
  <c r="K113" i="4"/>
  <c r="L113" i="4" s="1"/>
  <c r="L114" i="4" s="1"/>
  <c r="L9" i="4" s="1"/>
  <c r="J132" i="6" l="1"/>
  <c r="J136" i="6" s="1"/>
  <c r="I36" i="6" s="1"/>
  <c r="I132" i="6"/>
  <c r="I136" i="6" s="1"/>
  <c r="H36" i="6" s="1"/>
  <c r="H132" i="6"/>
  <c r="H136" i="6" s="1"/>
  <c r="G36" i="6" s="1"/>
  <c r="G132" i="6"/>
  <c r="G136" i="6" s="1"/>
  <c r="F36" i="6" s="1"/>
  <c r="G191" i="4"/>
  <c r="G192" i="4"/>
  <c r="F132" i="6"/>
  <c r="F136" i="6" s="1"/>
  <c r="E36" i="6" s="1"/>
  <c r="I186" i="4"/>
  <c r="I189" i="4"/>
  <c r="I192" i="4"/>
  <c r="I187" i="4"/>
  <c r="K189" i="4"/>
  <c r="J191" i="4"/>
  <c r="J188" i="4"/>
  <c r="L192" i="4"/>
  <c r="I191" i="4"/>
  <c r="F191" i="4"/>
  <c r="K192" i="4"/>
  <c r="L188" i="4"/>
  <c r="F188" i="4"/>
  <c r="G189" i="4"/>
  <c r="J192" i="4"/>
  <c r="I188" i="4"/>
  <c r="H191" i="4"/>
  <c r="F189" i="4"/>
  <c r="L191" i="4"/>
  <c r="I190" i="4"/>
  <c r="L189" i="4"/>
  <c r="K190" i="4"/>
  <c r="L190" i="4"/>
  <c r="J187" i="4"/>
  <c r="G190" i="4"/>
  <c r="K186" i="4"/>
  <c r="J190" i="4"/>
  <c r="J186" i="4"/>
  <c r="H188" i="4"/>
  <c r="H190" i="4"/>
  <c r="L186" i="4"/>
  <c r="H187" i="4"/>
  <c r="H189" i="4"/>
  <c r="G188" i="4"/>
  <c r="H186" i="4"/>
  <c r="L187" i="4"/>
  <c r="F186" i="4"/>
  <c r="G187" i="4"/>
  <c r="H192" i="4"/>
  <c r="J189" i="4"/>
  <c r="G186" i="4"/>
  <c r="K188" i="4"/>
  <c r="F192" i="4"/>
  <c r="K191" i="4"/>
  <c r="F190" i="4"/>
  <c r="K187" i="4"/>
  <c r="F187" i="4"/>
  <c r="L135" i="4"/>
  <c r="K114" i="4"/>
  <c r="E32" i="6" l="1"/>
  <c r="L132" i="6"/>
  <c r="L136" i="6" s="1"/>
  <c r="F32" i="6"/>
  <c r="M132" i="6"/>
  <c r="M136" i="6" s="1"/>
  <c r="G32" i="6"/>
  <c r="N132" i="6"/>
  <c r="N136" i="6" s="1"/>
  <c r="H32" i="6"/>
  <c r="O132" i="6"/>
  <c r="O136" i="6" s="1"/>
  <c r="I32" i="6"/>
  <c r="P132" i="6"/>
  <c r="P136" i="6" s="1"/>
  <c r="N135" i="4"/>
  <c r="N138" i="4" s="1"/>
  <c r="L143" i="4"/>
  <c r="L150" i="4" s="1"/>
  <c r="N139" i="4" l="1"/>
  <c r="N150" i="4"/>
  <c r="N151" i="4" s="1"/>
  <c r="N140" i="4" l="1"/>
  <c r="N141" i="4" s="1"/>
  <c r="N143" i="4" s="1"/>
  <c r="N145" i="4" s="1"/>
  <c r="N147" i="4" s="1"/>
  <c r="N149" i="4" s="1"/>
  <c r="L153" i="4"/>
  <c r="L158" i="4" l="1"/>
  <c r="N15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Theodor Hogan</author>
  </authors>
  <commentList>
    <comment ref="A1" authorId="0" shapeId="0" xr:uid="{26812DC1-B989-46BC-8167-777A4C6C259F}">
      <text>
        <r>
          <rPr>
            <b/>
            <sz val="8"/>
            <color indexed="81"/>
            <rFont val="Tahoma"/>
            <family val="2"/>
          </rPr>
          <t>&lt;?xml version="1.0" encoding="utf-8"?&gt;&lt;Schema xmlns:xsd="http://www.w3.org/2001/XMLSchema" xmlns:xsi="http://www.w3.org/2001/XMLSchema-instance" Version="2" Timestamp="1764065892"&gt;&lt;FQL&gt;&lt;Q&gt;F-US^FG_PRICE(45962,,,EUR)&lt;/Q&gt;&lt;R&gt;1&lt;/R&gt;&lt;C&gt;1&lt;/C&gt;&lt;D xsi:type="xsd:double"&gt;11.375845&lt;/D&gt;&lt;/FQL&gt;&lt;FQL&gt;&lt;Q&gt;GM-US^FG_PRICE(45962,,,EUR)&lt;/Q&gt;&lt;R&gt;1&lt;/R&gt;&lt;C&gt;1&lt;/C&gt;&lt;D xsi:type="xsd:double"&gt;59.85964&lt;/D&gt;&lt;/FQL&gt;&lt;FQL&gt;&lt;Q&gt;7267-JP^FG_PRICE(45962,,,EUR)&lt;/Q&gt;&lt;R&gt;1&lt;/R&gt;&lt;C&gt;1&lt;/C&gt;&lt;D xsi:type="xsd:double"&gt;8.7733965&lt;/D&gt;&lt;/FQL&gt;&lt;FQL&gt;&lt;Q&gt;7203-JP^FG_PRICE(45962,,,EUR)&lt;/Q&gt;&lt;R&gt;1&lt;/R&gt;&lt;C&gt;1&lt;/C&gt;&lt;D xsi:type="xsd:double"&gt;17.648024&lt;/D&gt;&lt;/FQL&gt;&lt;FQL&gt;&lt;Q&gt;MBG-DE^FG_PRICE(45962,,,EUR)&lt;/Q&gt;&lt;R&gt;1&lt;/R&gt;&lt;C&gt;1&lt;/C&gt;&lt;D xsi:type="xsd:double"&gt;56.21&lt;/D&gt;&lt;/FQL&gt;&lt;FQL&gt;&lt;Q&gt;BMW-DE^FG_PRICE(45962,,,EUR)&lt;/Q&gt;&lt;R&gt;1&lt;/R&gt;&lt;C&gt;1&lt;/C&gt;&lt;D xsi:type="xsd:double"&gt;80.72&lt;/D&gt;&lt;/FQL&gt;&lt;FQL&gt;&lt;Q&gt;VOW-DE^FG_PRICE(45962,,,EUR)&lt;/Q&gt;&lt;R&gt;1&lt;/R&gt;&lt;C&gt;1&lt;/C&gt;&lt;D xsi:type="xsd:double"&gt;91.35&lt;/D&gt;&lt;/FQL&gt;&lt;FQL&gt;&lt;Q&gt;7201-JP^FG_PRICE(45962,,,EUR)&lt;/Q&gt;&lt;R&gt;1&lt;/R&gt;&lt;C&gt;1&lt;/C&gt;&lt;D xsi:type="xsd:double"&gt;1.9880741&lt;/D&gt;&lt;/FQL&gt;&lt;FQL&gt;&lt;Q&gt;STLAM-IT^FG_PRICE(45962,,,EUR)&lt;/Q&gt;&lt;R&gt;1&lt;/R&gt;&lt;C&gt;1&lt;/C&gt;&lt;D xsi:type="xsd:double"&gt;8.778&lt;/D&gt;&lt;/FQL&gt;&lt;/Schema&gt;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Theodor Hogan</author>
    <author>tc={3B736C25-8944-494F-B369-9E00FD4A9719}</author>
    <author>tc={BE339C0B-CEA4-4ABB-ABCA-D2B802593D6D}</author>
    <author>tc={12E93957-7A5B-46BD-96E3-887B2A57465A}</author>
    <author>tc={37C2BD61-1934-459F-BCE3-5706393EBB08}</author>
    <author>tc={91BB6AEC-6A2F-4607-BF0A-96A5EFC7941F}</author>
    <author>tc={09138768-89E2-4FCC-9AFE-0D8D623847E8}</author>
    <author>tc={CDFAA714-4D4B-4658-BB8C-46D5FD3017B2}</author>
    <author>tc={9A1A844A-2E93-44CC-A5E5-39A03F40D037}</author>
    <author>tc={18B820BD-CDA6-46D3-B7EB-837A8EB41DA0}</author>
    <author>tc={BFADFAC2-DC17-49C7-8B8D-06C4FEDFFAD5}</author>
    <author>tc={15EF5CBB-A6CE-48F3-8E06-6552B6D9DAB0}</author>
    <author>tc={E2CC0D17-0058-4E48-B87B-5E4B0ABC61DE}</author>
    <author>tc={70A86F1C-84F5-4967-A99B-6F01DC362D69}</author>
    <author>Rikus van der Vegt</author>
    <author>tc={5B7CF2BD-F2D6-4533-92C8-AC8D1268583F}</author>
    <author>tc={2D296B50-1985-4387-BDD5-3D18FD9E7DCB}</author>
    <author>tc={A9C62B31-15FD-4777-8099-712DAE866320}</author>
    <author>tc={1B3A71B7-B78D-4F83-B5A4-9A290607C037}</author>
    <author>tc={08D08FC7-63A0-4C1B-9C48-339F53CD0A9D}</author>
    <author>tc={3B0C2145-A756-49DA-91E7-DCC7CAD1002E}</author>
    <author>tc={C073451D-058F-42E1-B428-7027D55F32A8}</author>
    <author>tc={BAE70563-2732-4D70-9A8F-936810B94ADE}</author>
  </authors>
  <commentList>
    <comment ref="B100" authorId="0" shapeId="0" xr:uid="{C6404B28-24AD-43CF-A1BC-6E3FA78D2772}">
      <text>
        <r>
          <rPr>
            <b/>
            <sz val="9"/>
            <color rgb="FF000000"/>
            <rFont val="Tahoma"/>
            <family val="2"/>
          </rPr>
          <t>Theodor Hogan:</t>
        </r>
        <r>
          <rPr>
            <sz val="9"/>
            <color rgb="FF000000"/>
            <rFont val="Tahoma"/>
            <family val="2"/>
          </rPr>
          <t xml:space="preserve">
Group together as they behavior similar in turnover most of the current assets are prepaid expenses tied to operating activites
</t>
        </r>
      </text>
    </comment>
    <comment ref="B103" authorId="0" shapeId="0" xr:uid="{8CBF659D-E960-4753-B9DE-6DB66A6A53FA}">
      <text>
        <r>
          <rPr>
            <b/>
            <sz val="9"/>
            <color rgb="FF000000"/>
            <rFont val="Tahoma"/>
            <family val="2"/>
          </rPr>
          <t>Theodor Hogan:</t>
        </r>
        <r>
          <rPr>
            <sz val="9"/>
            <color rgb="FF000000"/>
            <rFont val="Tahoma"/>
            <family val="2"/>
          </rPr>
          <t xml:space="preserve">
</t>
        </r>
        <r>
          <rPr>
            <sz val="9"/>
            <color rgb="FF000000"/>
            <rFont val="Tahoma"/>
            <family val="2"/>
          </rPr>
          <t xml:space="preserve">This is included because the current sales financing debts are a cruical part of how renault operates their financing business, similar to the recievables it is defenitly part of operating activities
</t>
        </r>
      </text>
    </comment>
    <comment ref="B107" authorId="0" shapeId="0" xr:uid="{76CBE9F1-68BF-4436-BAED-A2A2055CF5D0}">
      <text>
        <r>
          <rPr>
            <b/>
            <sz val="9"/>
            <color rgb="FF000000"/>
            <rFont val="Tahoma"/>
            <family val="2"/>
          </rPr>
          <t>Theodor Hogan:</t>
        </r>
        <r>
          <rPr>
            <sz val="9"/>
            <color rgb="FF000000"/>
            <rFont val="Tahoma"/>
            <family val="2"/>
          </rPr>
          <t xml:space="preserve">
</t>
        </r>
        <r>
          <rPr>
            <sz val="9"/>
            <color rgb="FF000000"/>
            <rFont val="Tahoma"/>
            <family val="2"/>
          </rPr>
          <t>Also included the provision and can be found in note 8-2D</t>
        </r>
      </text>
    </comment>
    <comment ref="J107" authorId="0" shapeId="0" xr:uid="{58BD31CF-0C40-434A-8697-AF260C9DE2F7}">
      <text>
        <r>
          <rPr>
            <b/>
            <sz val="9"/>
            <color indexed="81"/>
            <rFont val="Tahoma"/>
            <family val="2"/>
          </rPr>
          <t>Theodor Hogan:</t>
        </r>
        <r>
          <rPr>
            <sz val="9"/>
            <color indexed="81"/>
            <rFont val="Tahoma"/>
            <family val="2"/>
          </rPr>
          <t xml:space="preserve">
Note that ATOVAZ is included here from 2020 till - which is why calculation more complicated</t>
        </r>
      </text>
    </comment>
    <comment ref="I109" authorId="1" shapeId="0" xr:uid="{3B736C25-8944-494F-B369-9E00FD4A9719}">
      <text>
        <t>[Threaded comment]
Your version of Excel allows you to read this threaded comment; however, any edits to it will get removed if the file is opened in a newer version of Excel. Learn more: https://go.microsoft.com/fwlink/?linkid=870924
Comment:
    Starting in 2019 we have more visability on what provisions are tax relevant and which are not that is why the formula changes. For non-current there is a material change but for current the tax liability is immaterial.</t>
      </text>
    </comment>
    <comment ref="B117" authorId="0" shapeId="0" xr:uid="{E7B419AA-D5FA-42FE-BAED-F862C401B73A}">
      <text>
        <r>
          <rPr>
            <b/>
            <sz val="9"/>
            <color rgb="FF000000"/>
            <rFont val="Tahoma"/>
            <family val="2"/>
          </rPr>
          <t>Theodor Hogan:</t>
        </r>
        <r>
          <rPr>
            <sz val="9"/>
            <color rgb="FF000000"/>
            <rFont val="Tahoma"/>
            <family val="2"/>
          </rPr>
          <t xml:space="preserve">
</t>
        </r>
        <r>
          <rPr>
            <sz val="9"/>
            <color rgb="FF000000"/>
            <rFont val="Tahoma"/>
            <family val="2"/>
          </rPr>
          <t xml:space="preserve">Value taken 8-D2 also consider that this is quite a substantional amount and seems to have been built around covid
</t>
        </r>
      </text>
    </comment>
    <comment ref="J117" authorId="0" shapeId="0" xr:uid="{3868FACC-9BCD-4E7D-A770-A2D1623518E5}">
      <text>
        <r>
          <rPr>
            <b/>
            <sz val="9"/>
            <color indexed="81"/>
            <rFont val="Tahoma"/>
            <family val="2"/>
          </rPr>
          <t>Theodor Hogan:</t>
        </r>
        <r>
          <rPr>
            <sz val="9"/>
            <color indexed="81"/>
            <rFont val="Tahoma"/>
            <family val="2"/>
          </rPr>
          <t xml:space="preserve">
Note that this includes AVTOVAZ, which holds true from 2020 till -</t>
        </r>
      </text>
    </comment>
    <comment ref="B118" authorId="0" shapeId="0" xr:uid="{C17EF677-9607-4E1F-B835-43875C1EE08B}">
      <text>
        <r>
          <rPr>
            <b/>
            <sz val="9"/>
            <color rgb="FF000000"/>
            <rFont val="Tahoma"/>
            <family val="2"/>
          </rPr>
          <t>Theodor Hogan:</t>
        </r>
        <r>
          <rPr>
            <sz val="9"/>
            <color rgb="FF000000"/>
            <rFont val="Tahoma"/>
            <family val="2"/>
          </rPr>
          <t xml:space="preserve">
</t>
        </r>
        <r>
          <rPr>
            <sz val="9"/>
            <color rgb="FF000000"/>
            <rFont val="Tahoma"/>
            <family val="2"/>
          </rPr>
          <t xml:space="preserve">Breakdown in Note 17, we need to adjust the other current assets for this tax amount
</t>
        </r>
      </text>
    </comment>
    <comment ref="B153" authorId="0" shapeId="0" xr:uid="{CED491E0-D6A4-4677-9B8C-962F305BD220}">
      <text>
        <r>
          <rPr>
            <b/>
            <sz val="8"/>
            <color rgb="FF000000"/>
            <rFont val="Tahoma"/>
            <family val="2"/>
          </rPr>
          <t>Theodor Hogan:</t>
        </r>
        <r>
          <rPr>
            <sz val="8"/>
            <color rgb="FF000000"/>
            <rFont val="Tahoma"/>
            <family val="2"/>
          </rPr>
          <t xml:space="preserve">
</t>
        </r>
        <r>
          <rPr>
            <sz val="8"/>
            <color rgb="FF000000"/>
            <rFont val="Tahoma"/>
            <family val="2"/>
          </rPr>
          <t>Usually Includes Joint Ventures and fixed assets</t>
        </r>
      </text>
    </comment>
    <comment ref="J153" authorId="0" shapeId="0" xr:uid="{EA7D0884-8432-49C7-AD7A-BB25BD864722}">
      <text>
        <r>
          <rPr>
            <b/>
            <sz val="9"/>
            <color rgb="FF000000"/>
            <rFont val="Tahoma"/>
            <family val="2"/>
          </rPr>
          <t>Theodor Hogan:</t>
        </r>
        <r>
          <rPr>
            <sz val="9"/>
            <color rgb="FF000000"/>
            <rFont val="Tahoma"/>
            <family val="2"/>
          </rPr>
          <t xml:space="preserve">
</t>
        </r>
        <r>
          <rPr>
            <sz val="9"/>
            <color rgb="FF000000"/>
            <rFont val="Tahoma"/>
            <family val="2"/>
          </rPr>
          <t>Note that ATOVAZ is included here from 2020 till - which is why calculation more complicated</t>
        </r>
      </text>
    </comment>
    <comment ref="B154" authorId="0" shapeId="0" xr:uid="{25E0F658-FC7C-411D-A214-61886A1644B7}">
      <text>
        <r>
          <rPr>
            <b/>
            <sz val="8"/>
            <color rgb="FF000000"/>
            <rFont val="Tahoma"/>
            <family val="2"/>
          </rPr>
          <t>Theodor Hogan:</t>
        </r>
        <r>
          <rPr>
            <sz val="8"/>
            <color rgb="FF000000"/>
            <rFont val="Tahoma"/>
            <family val="2"/>
          </rPr>
          <t xml:space="preserve">
</t>
        </r>
        <r>
          <rPr>
            <sz val="8"/>
            <color rgb="FF000000"/>
            <rFont val="Tahoma"/>
            <family val="2"/>
          </rPr>
          <t xml:space="preserve">Usually includes the carry forward and an unrecogized portion
</t>
        </r>
      </text>
    </comment>
    <comment ref="B155" authorId="0" shapeId="0" xr:uid="{9B202EB5-1817-4897-990F-F402ADFB1CE6}">
      <text>
        <r>
          <rPr>
            <b/>
            <sz val="8"/>
            <color rgb="FF000000"/>
            <rFont val="Tahoma"/>
            <family val="2"/>
          </rPr>
          <t>Theodor Hogan:</t>
        </r>
        <r>
          <rPr>
            <sz val="8"/>
            <color rgb="FF000000"/>
            <rFont val="Tahoma"/>
            <family val="2"/>
          </rPr>
          <t xml:space="preserve">
</t>
        </r>
        <r>
          <rPr>
            <sz val="8"/>
            <color rgb="FF000000"/>
            <rFont val="Tahoma"/>
            <family val="2"/>
          </rPr>
          <t>Usually includes other items and other unrecogized items</t>
        </r>
      </text>
    </comment>
    <comment ref="O170" authorId="2" shapeId="0" xr:uid="{BE339C0B-CEA4-4ABB-ABCA-D2B802593D6D}">
      <text>
        <t>[Threaded comment]
Your version of Excel allows you to read this threaded comment; however, any edits to it will get removed if the file is opened in a newer version of Excel. Learn more: https://go.microsoft.com/fwlink/?linkid=870924
Comment:
    Parts that we think are included in this are: Long-term financial receivables/loans, Long-term debt securities, Derivatives, etc. which are not tied to core business so we think its non-operating. 
Reply:
    If you read note 22-A (2024) you can see that this classification is generally correct as most of it is made up of loans and others which is non-operating, only a small portion is for financing operation with 48 in 2024 so immaterial to overall classification</t>
      </text>
    </comment>
    <comment ref="O171" authorId="3" shapeId="0" xr:uid="{12E93957-7A5B-46BD-96E3-887B2A57465A}">
      <text>
        <t>[Threaded comment]
Your version of Excel allows you to read this threaded comment; however, any edits to it will get removed if the file is opened in a newer version of Excel. Learn more: https://go.microsoft.com/fwlink/?linkid=870924
Comment:
    Should be split up in operating and non-operating
Reply:
    It was mamually split up in the reorganized balancesheet</t>
      </text>
    </comment>
    <comment ref="O172" authorId="4" shapeId="0" xr:uid="{37C2BD61-1934-459F-BCE3-5706393EBB08}">
      <text>
        <t xml:space="preserve">[Threaded comment]
Your version of Excel allows you to read this threaded comment; however, any edits to it will get removed if the file is opened in a newer version of Excel. Learn more: https://go.microsoft.com/fwlink/?linkid=870924
Comment:
    What are non-current assets? Should we do this operating since it could everything else that is not stated above, in which the above is almost all non operating? Idk
Reply:
    Based on the fact that these are made up by mostly prepaid expenses and other recievables, it can be assumed that these are part of fixed operating assets. As they are are inhernetly longterm in nature
</t>
      </text>
    </comment>
    <comment ref="O178" authorId="5" shapeId="0" xr:uid="{91BB6AEC-6A2F-4607-BF0A-96A5EFC7941F}">
      <text>
        <t>[Threaded comment]
Your version of Excel allows you to read this threaded comment; however, any edits to it will get removed if the file is opened in a newer version of Excel. Learn more: https://go.microsoft.com/fwlink/?linkid=870924
Comment:
    Same as non-current financial assets but &lt;12 months
Reply:
    Breakdown in 22-A found some items which are material and received different classifications</t>
      </text>
    </comment>
    <comment ref="B180" authorId="0" shapeId="0" xr:uid="{4C48E5E3-A730-469D-B534-99246692C5B6}">
      <text>
        <r>
          <rPr>
            <b/>
            <sz val="9"/>
            <color rgb="FF000000"/>
            <rFont val="Tahoma"/>
            <family val="2"/>
          </rPr>
          <t>Theodor Hogan:</t>
        </r>
        <r>
          <rPr>
            <sz val="9"/>
            <color rgb="FF000000"/>
            <rFont val="Tahoma"/>
            <family val="2"/>
          </rPr>
          <t xml:space="preserve">
</t>
        </r>
        <r>
          <rPr>
            <sz val="9"/>
            <color rgb="FF000000"/>
            <rFont val="Tahoma"/>
            <family val="2"/>
          </rPr>
          <t>Wil be part of operating capital as their financing segment is part of their operations</t>
        </r>
      </text>
    </comment>
    <comment ref="O183" authorId="6" shapeId="0" xr:uid="{09138768-89E2-4FCC-9AFE-0D8D623847E8}">
      <text>
        <t>[Threaded comment]
Your version of Excel allows you to read this threaded comment; however, any edits to it will get removed if the file is opened in a newer version of Excel. Learn more: https://go.microsoft.com/fwlink/?linkid=870924
Comment:
    Not sure if it's non-operating asset or operating fixed assets. Tax assets can be tied to business operations but we don't know the details 
Reply:
    It is an non-operating asset, it is the firms current taxes recieveables for the current year. Its also not non current so it wouldn’t make sense for fixed assets</t>
      </text>
    </comment>
    <comment ref="O184" authorId="7" shapeId="0" xr:uid="{CDFAA714-4D4B-4658-BB8C-46D5FD3017B2}">
      <text>
        <t>[Threaded comment]
Your version of Excel allows you to read this threaded comment; however, any edits to it will get removed if the file is opened in a newer version of Excel. Learn more: https://go.microsoft.com/fwlink/?linkid=870924
Comment:
    Think belong to net working capital because they are short-term operating items like prepayments and advances that turn into expenses or cash within a year. Since they tie up liquidity in the operations of the business, they are part of NWC rather than just broad operating assets I think
Reply:
    I would agree if you read note 17 (2024) you can see that most items match this description, with exception of Joint Ventures which is immaterial 62 in 24</t>
      </text>
    </comment>
    <comment ref="O185" authorId="8" shapeId="0" xr:uid="{9A1A844A-2E93-44CC-A5E5-39A03F40D037}">
      <text>
        <t>[Threaded comment]
Your version of Excel allows you to read this threaded comment; however, any edits to it will get removed if the file is opened in a newer version of Excel. Learn more: https://go.microsoft.com/fwlink/?linkid=870924
Comment:
    We have to distinguish operating and non-operating cash. See Operating Cash Assesment for more info.
Reply:
    Made adjustements for lectures method of counting excess cash and found information for cash not available but which needs to be included under IFRS</t>
      </text>
    </comment>
    <comment ref="B188" authorId="0" shapeId="0" xr:uid="{9708742A-CC71-4255-94F6-BF05DFFFEF45}">
      <text>
        <r>
          <rPr>
            <b/>
            <sz val="9"/>
            <color rgb="FF000000"/>
            <rFont val="Tahoma"/>
            <family val="2"/>
          </rPr>
          <t>Theodor Hogan:</t>
        </r>
        <r>
          <rPr>
            <sz val="9"/>
            <color rgb="FF000000"/>
            <rFont val="Tahoma"/>
            <family val="2"/>
          </rPr>
          <t xml:space="preserve">
</t>
        </r>
        <r>
          <rPr>
            <sz val="9"/>
            <color rgb="FF000000"/>
            <rFont val="Tahoma"/>
            <family val="2"/>
          </rPr>
          <t xml:space="preserve">Usually found in Note 22
</t>
        </r>
        <r>
          <rPr>
            <sz val="9"/>
            <color rgb="FF000000"/>
            <rFont val="Tahoma"/>
            <family val="2"/>
          </rPr>
          <t>and under 2-V. Cash and cash equivalents: "Bank accounts subject to restrictions …  are included in “Cash and cash equivalents”"</t>
        </r>
      </text>
    </comment>
    <comment ref="O203" authorId="9" shapeId="0" xr:uid="{18B820BD-CDA6-46D3-B7EB-837A8EB41DA0}">
      <text>
        <t>[Threaded comment]
Your version of Excel allows you to read this threaded comment; however, any edits to it will get removed if the file is opened in a newer version of Excel. Learn more: https://go.microsoft.com/fwlink/?linkid=870924
Comment:
    Should be split up in operating and non-operating</t>
      </text>
    </comment>
    <comment ref="O207" authorId="10" shapeId="0" xr:uid="{BFADFAC2-DC17-49C7-8B8D-06C4FEDFFAD5}">
      <text>
        <t>[Threaded comment]
Your version of Excel allows you to read this threaded comment; however, any edits to it will get removed if the file is opened in a newer version of Excel. Learn more: https://go.microsoft.com/fwlink/?linkid=870924
Comment:
    Didn't know for sure, asked chat and he said this: Other long-term provisions (excluding uncertain tax) relate to obligations that arise directly from running the business, such as warranties, restructuring, or environmental costs. Since they stem from operations rather than financing, they are classified as operating liabilities.
Reply:
    Yes this is correct, if you look at note 20 (2024) you can see that most items are related to operating activities if not all</t>
      </text>
    </comment>
    <comment ref="O209" authorId="11" shapeId="0" xr:uid="{15EF5CBB-A6CE-48F3-8E06-6552B6D9DAB0}">
      <text>
        <t>[Threaded comment]
Your version of Excel allows you to read this threaded comment; however, any edits to it will get removed if the file is opened in a newer version of Excel. Learn more: https://go.microsoft.com/fwlink/?linkid=870924
Comment:
    Not sure what this is and where it should go. Do you know what kind of costs this could entail?
Reply:
    In note 23-A we can see that most of the breakdown consists of other financial liablities, with exception of the lease liabilites. However these are immaterial in the grand scheme so therefore we will classify everything as other financial liabilities</t>
      </text>
    </comment>
    <comment ref="O210" authorId="12" shapeId="0" xr:uid="{E2CC0D17-0058-4E48-B87B-5E4B0ABC61DE}">
      <text>
        <t>[Threaded comment]
Your version of Excel allows you to read this threaded comment; however, any edits to it will get removed if the file is opened in a newer version of Excel. Learn more: https://go.microsoft.com/fwlink/?linkid=870924
Comment:
    Not specified which kind of financial liabilities these are.
Reply:
    Note 21 confirms this, cannot find any item which would indicate that is not part of operating, maybe 8 in non current tax liability but that is immaterial</t>
      </text>
    </comment>
    <comment ref="O218" authorId="13" shapeId="0" xr:uid="{70A86F1C-84F5-4967-A99B-6F01DC362D69}">
      <text>
        <t>[Threaded comment]
Your version of Excel allows you to read this threaded comment; however, any edits to it will get removed if the file is opened in a newer version of Excel. Learn more: https://go.microsoft.com/fwlink/?linkid=870924
Comment:
    Not sure whether this is Other financial liability or Non-operating liability.
Reply:
    I would consider it other financial liabilities as it (per note 23-A) mostly consists of some sort of borrowing or debts</t>
      </text>
    </comment>
    <comment ref="B253" authorId="0" shapeId="0" xr:uid="{8DE882AE-15A6-49B5-894A-7FB89937DB35}">
      <text>
        <r>
          <rPr>
            <b/>
            <sz val="9"/>
            <color indexed="81"/>
            <rFont val="Tahoma"/>
            <family val="2"/>
          </rPr>
          <t>Theodor Hogan:</t>
        </r>
        <r>
          <rPr>
            <sz val="9"/>
            <color indexed="81"/>
            <rFont val="Tahoma"/>
            <family val="2"/>
          </rPr>
          <t xml:space="preserve">
French lease terms generally 9 years (Note 2-A2, 2019 Annual Report)</t>
        </r>
      </text>
    </comment>
    <comment ref="E276" authorId="14" shapeId="0" xr:uid="{8751FF9D-6D44-423B-94E4-D5EEBDD9A21A}">
      <text>
        <r>
          <rPr>
            <b/>
            <sz val="9"/>
            <color indexed="81"/>
            <rFont val="Tahoma"/>
            <family val="2"/>
          </rPr>
          <t>Rikus van der Vegt:</t>
        </r>
        <r>
          <rPr>
            <sz val="9"/>
            <color indexed="81"/>
            <rFont val="Tahoma"/>
            <family val="2"/>
          </rPr>
          <t xml:space="preserve">
Stated BOP PPE but added the operating lease PPE</t>
        </r>
      </text>
    </comment>
    <comment ref="B277" authorId="14" shapeId="0" xr:uid="{68846284-63FC-471A-88B6-830CFEFA2575}">
      <text>
        <r>
          <rPr>
            <b/>
            <sz val="9"/>
            <color indexed="81"/>
            <rFont val="Tahoma"/>
            <family val="2"/>
          </rPr>
          <t>Rikus van der Vegt:</t>
        </r>
        <r>
          <rPr>
            <sz val="9"/>
            <color indexed="81"/>
            <rFont val="Tahoma"/>
            <family val="2"/>
          </rPr>
          <t xml:space="preserve">
Acquisitions
</t>
        </r>
      </text>
    </comment>
    <comment ref="B278" authorId="14" shapeId="0" xr:uid="{79399F8D-9C68-4087-B13D-BB58A33A2E15}">
      <text>
        <r>
          <rPr>
            <b/>
            <sz val="9"/>
            <color indexed="81"/>
            <rFont val="Tahoma"/>
            <family val="2"/>
          </rPr>
          <t>Rikus van der Vegt:</t>
        </r>
        <r>
          <rPr>
            <sz val="9"/>
            <color indexed="81"/>
            <rFont val="Tahoma"/>
            <family val="2"/>
          </rPr>
          <t xml:space="preserve">
Acquisitions net of disposals/ past</t>
        </r>
      </text>
    </comment>
    <comment ref="B279" authorId="14" shapeId="0" xr:uid="{06BA20A0-1349-4AE2-81D2-D2154FF20736}">
      <text>
        <r>
          <rPr>
            <b/>
            <sz val="9"/>
            <color indexed="81"/>
            <rFont val="Tahoma"/>
            <family val="2"/>
          </rPr>
          <t xml:space="preserve">Rikus van der Vegt:
</t>
        </r>
        <r>
          <rPr>
            <sz val="9"/>
            <color indexed="81"/>
            <rFont val="Tahoma"/>
            <family val="2"/>
          </rPr>
          <t xml:space="preserve">Stated depreciation &amp; Impairment but added the operating lease depreciation
</t>
        </r>
      </text>
    </comment>
    <comment ref="B285" authorId="14" shapeId="0" xr:uid="{70AAFB83-4668-4AB5-B9C9-F54BF83A9F9A}">
      <text>
        <r>
          <rPr>
            <b/>
            <sz val="9"/>
            <color rgb="FF000000"/>
            <rFont val="Tahoma"/>
            <family val="2"/>
          </rPr>
          <t>Rikus van der Vegt:</t>
        </r>
        <r>
          <rPr>
            <sz val="9"/>
            <color rgb="FF000000"/>
            <rFont val="Tahoma"/>
            <family val="2"/>
          </rPr>
          <t xml:space="preserve">
</t>
        </r>
        <r>
          <rPr>
            <sz val="9"/>
            <color rgb="FF000000"/>
            <rFont val="Tahoma"/>
            <family val="2"/>
          </rPr>
          <t>All intangible assets are together since goodwill is an inmaterial amount in most years.</t>
        </r>
      </text>
    </comment>
    <comment ref="B290" authorId="14" shapeId="0" xr:uid="{7E1E36E4-E416-411B-A5C0-1DD938482E52}">
      <text>
        <r>
          <rPr>
            <b/>
            <sz val="9"/>
            <color rgb="FF000000"/>
            <rFont val="Tahoma"/>
            <family val="2"/>
          </rPr>
          <t>Rikus van der Vegt:</t>
        </r>
        <r>
          <rPr>
            <sz val="9"/>
            <color rgb="FF000000"/>
            <rFont val="Tahoma"/>
            <family val="2"/>
          </rPr>
          <t xml:space="preserve">
</t>
        </r>
        <r>
          <rPr>
            <sz val="9"/>
            <color rgb="FF000000"/>
            <rFont val="Tahoma"/>
            <family val="2"/>
          </rPr>
          <t xml:space="preserve">Acquisitions
</t>
        </r>
      </text>
    </comment>
    <comment ref="B291" authorId="14" shapeId="0" xr:uid="{5DDDF18D-4D69-4FFF-B38E-25B810514893}">
      <text>
        <r>
          <rPr>
            <b/>
            <sz val="9"/>
            <color rgb="FF000000"/>
            <rFont val="Tahoma"/>
            <family val="2"/>
          </rPr>
          <t>Rikus van der Vegt:</t>
        </r>
        <r>
          <rPr>
            <sz val="9"/>
            <color rgb="FF000000"/>
            <rFont val="Tahoma"/>
            <family val="2"/>
          </rPr>
          <t xml:space="preserve">
</t>
        </r>
        <r>
          <rPr>
            <sz val="9"/>
            <color rgb="FF000000"/>
            <rFont val="Tahoma"/>
            <family val="2"/>
          </rPr>
          <t>Acquisitions net of disposals/ past</t>
        </r>
      </text>
    </comment>
    <comment ref="K304" authorId="15" shapeId="0" xr:uid="{5B7CF2BD-F2D6-4533-92C8-AC8D1268583F}">
      <text>
        <t xml:space="preserve">[Threaded comment]
Your version of Excel allows you to read this threaded comment; however, any edits to it will get removed if the file is opened in a newer version of Excel. Learn more: https://go.microsoft.com/fwlink/?linkid=870924
Comment:
    Adjusted for ATOVAZ income assumed as Automotive Segment (irrelevant for forecast mostly as starting point from 2024 but still here for completeness) from 2016-2021
</t>
      </text>
    </comment>
    <comment ref="U311" authorId="0" shapeId="0" xr:uid="{814D7071-1645-49EE-9DE1-64A1C54A055F}">
      <text>
        <r>
          <rPr>
            <b/>
            <sz val="8"/>
            <color indexed="81"/>
            <rFont val="Tahoma"/>
            <family val="2"/>
          </rPr>
          <t>Theodor Hogan:</t>
        </r>
        <r>
          <rPr>
            <sz val="8"/>
            <color indexed="81"/>
            <rFont val="Tahoma"/>
            <family val="2"/>
          </rPr>
          <t xml:space="preserve">
9 year average was around 1.7% so taking the conservative estimate would be around 1.3% especially in the face of a race to the bottom in EVs</t>
        </r>
      </text>
    </comment>
    <comment ref="N313" authorId="16" shapeId="0" xr:uid="{2D296B50-1985-4387-BDD5-3D18FD9E7DCB}">
      <text>
        <t xml:space="preserve">[Threaded comment]
Your version of Excel allows you to read this threaded comment; however, any edits to it will get removed if the file is opened in a newer version of Excel. Learn more: https://go.microsoft.com/fwlink/?linkid=870924
Comment:
    Totals don’t always match up the breakdown (e.g. totals was 2,264,815 in 2024) but we consider it to be immaterial
</t>
      </text>
    </comment>
    <comment ref="U319" authorId="17" shapeId="0" xr:uid="{A9C62B31-15FD-4777-8099-712DAE866320}">
      <text>
        <t>[Threaded comment]
Your version of Excel allows you to read this threaded comment; however, any edits to it will get removed if the file is opened in a newer version of Excel. Learn more: https://go.microsoft.com/fwlink/?linkid=870924
Comment:
    Based on DataForce’s eu car market forecast. This assumes that renaults market share is constant throught the period. This seems to be historically consistent as the EU is a highly consolidated car market. For 2031 we assumed 2% growth as the estimates don’t reach that far but we believe that this is a reasonable forecast.
Reply:
    Source: https://www.dataforce.de/en/forecasting/</t>
      </text>
    </comment>
    <comment ref="G323" authorId="18" shapeId="0" xr:uid="{1B3A71B7-B78D-4F83-B5A4-9A290607C037}">
      <text>
        <t>[Threaded comment]
Your version of Excel allows you to read this threaded comment; however, any edits to it will get removed if the file is opened in a newer version of Excel. Learn more: https://go.microsoft.com/fwlink/?linkid=870924
Comment:
    Started including the LADA brand here</t>
      </text>
    </comment>
    <comment ref="L323" authorId="19" shapeId="0" xr:uid="{08D08FC7-63A0-4C1B-9C48-339F53CD0A9D}">
      <text>
        <t>[Threaded comment]
Your version of Excel allows you to read this threaded comment; however, any edits to it will get removed if the file is opened in a newer version of Excel. Learn more: https://go.microsoft.com/fwlink/?linkid=870924
Comment:
    Russian operations discontinued</t>
      </text>
    </comment>
    <comment ref="U324" authorId="0" shapeId="0" xr:uid="{86EAF3D5-2190-4093-BE9D-256938BCC61E}">
      <text>
        <r>
          <rPr>
            <b/>
            <sz val="8"/>
            <color indexed="81"/>
            <rFont val="Tahoma"/>
            <family val="2"/>
          </rPr>
          <t>Theodor Hogan:</t>
        </r>
        <r>
          <rPr>
            <sz val="8"/>
            <color indexed="81"/>
            <rFont val="Tahoma"/>
            <family val="2"/>
          </rPr>
          <t xml:space="preserve">
Difficult to make good estimates due to changes in region makeup but given the average datapoints we have and a linear decrease of 70bps seems like a reasonable and conservative estimate</t>
        </r>
      </text>
    </comment>
    <comment ref="U329" authorId="0" shapeId="0" xr:uid="{926A0985-C8FE-4DE2-AB05-EF498EC7DC38}">
      <text>
        <r>
          <rPr>
            <b/>
            <sz val="8"/>
            <color indexed="81"/>
            <rFont val="Tahoma"/>
            <family val="2"/>
          </rPr>
          <t>Theodor Hogan:</t>
        </r>
        <r>
          <rPr>
            <sz val="8"/>
            <color indexed="81"/>
            <rFont val="Tahoma"/>
            <family val="2"/>
          </rPr>
          <t xml:space="preserve">
Not a lot of infoormation here from the firms outlooks or historical average which suffers from region categorization change. That’s why a conservative 1% increase is applied</t>
        </r>
      </text>
    </comment>
    <comment ref="U334" authorId="0" shapeId="0" xr:uid="{FC8FB4EB-2E5F-44E8-B8C8-225C170FE437}">
      <text>
        <r>
          <rPr>
            <b/>
            <sz val="8"/>
            <color indexed="81"/>
            <rFont val="Tahoma"/>
            <family val="2"/>
          </rPr>
          <t>Theodor Hogan:</t>
        </r>
        <r>
          <rPr>
            <sz val="8"/>
            <color indexed="81"/>
            <rFont val="Tahoma"/>
            <family val="2"/>
          </rPr>
          <t xml:space="preserve">
With lower focus and strong competiton from chinese EV makers in the region we take a moving average of the last 10 years. This reflects a decrease in growth rate based on the reasons mentioned above</t>
        </r>
      </text>
    </comment>
    <comment ref="U339" authorId="0" shapeId="0" xr:uid="{303A6CD2-D1A2-47E6-8E07-6600B40E185A}">
      <text>
        <r>
          <rPr>
            <b/>
            <sz val="8"/>
            <color indexed="81"/>
            <rFont val="Tahoma"/>
            <family val="2"/>
          </rPr>
          <t>Theodor Hogan:</t>
        </r>
        <r>
          <rPr>
            <sz val="8"/>
            <color indexed="81"/>
            <rFont val="Tahoma"/>
            <family val="2"/>
          </rPr>
          <t xml:space="preserve">
American's don't like non american (except japanese cars) and renault is focusing more on utility vehicles here. The decline is our estimate that due to protectonist US regime and the us shift towards home-grown car companies leads us to apply a conservative decrease to the number of vehicles sold</t>
        </r>
      </text>
    </comment>
    <comment ref="K343" authorId="20" shapeId="0" xr:uid="{3B0C2145-A756-49DA-91E7-DCC7CAD1002E}">
      <text>
        <t xml:space="preserve">[Threaded comment]
Your version of Excel allows you to read this threaded comment; however, any edits to it will get removed if the file is opened in a newer version of Excel. Learn more: https://go.microsoft.com/fwlink/?linkid=870924
Comment:
    Adjusted for ATOVAZ income assumed as Automotive Segment (irrelevant for forecast mostly as starting point from 2024 but still here for completeness) from 2016-2021
</t>
      </text>
    </comment>
    <comment ref="B346" authorId="0" shapeId="0" xr:uid="{65B2EC31-F899-4B9B-9831-8637D16E9D7B}">
      <text>
        <r>
          <rPr>
            <b/>
            <sz val="8"/>
            <color rgb="FF000000"/>
            <rFont val="Tahoma"/>
            <family val="2"/>
          </rPr>
          <t>Theodor Hogan:</t>
        </r>
        <r>
          <rPr>
            <sz val="8"/>
            <color rgb="FF000000"/>
            <rFont val="Tahoma"/>
            <family val="2"/>
          </rPr>
          <t xml:space="preserve">
</t>
        </r>
        <r>
          <rPr>
            <sz val="8"/>
            <color rgb="FF000000"/>
            <rFont val="Tahoma"/>
            <family val="2"/>
          </rPr>
          <t xml:space="preserve">Automotive makes sense to take all cost of goods as the expense grows more in line with car activities rather than lets say financing
</t>
        </r>
      </text>
    </comment>
    <comment ref="O347" authorId="0" shapeId="0" xr:uid="{FE7578B9-4812-4781-A7A7-6C20B282914F}">
      <text>
        <r>
          <rPr>
            <b/>
            <sz val="8"/>
            <color indexed="81"/>
            <rFont val="Tahoma"/>
            <family val="2"/>
          </rPr>
          <t>Theodor Hogan:</t>
        </r>
        <r>
          <rPr>
            <sz val="8"/>
            <color indexed="81"/>
            <rFont val="Tahoma"/>
            <family val="2"/>
          </rPr>
          <t xml:space="preserve">
around 73% seems stable and acheviable for the longrun as Renault announced cost cutting measures at their factories
</t>
        </r>
      </text>
    </comment>
    <comment ref="O349" authorId="0" shapeId="0" xr:uid="{8ABC640F-873B-44A5-970C-2D0BB0F6FD00}">
      <text>
        <r>
          <rPr>
            <b/>
            <sz val="8"/>
            <color indexed="81"/>
            <rFont val="Tahoma"/>
            <family val="2"/>
          </rPr>
          <t>Theodor Hogan:</t>
        </r>
        <r>
          <rPr>
            <sz val="8"/>
            <color indexed="81"/>
            <rFont val="Tahoma"/>
            <family val="2"/>
          </rPr>
          <t xml:space="preserve">
Excluded 2020 due to operating expenses attributable to russia deconsolidation. Then brought to 23% as this seems appropriate </t>
        </r>
      </text>
    </comment>
    <comment ref="B359" authorId="0" shapeId="0" xr:uid="{EDC361A7-76B4-4493-8465-A411AB1B68C4}">
      <text>
        <r>
          <rPr>
            <b/>
            <sz val="9"/>
            <color rgb="FF000000"/>
            <rFont val="Tahoma"/>
            <family val="2"/>
          </rPr>
          <t>Theodor Hogan:</t>
        </r>
        <r>
          <rPr>
            <sz val="9"/>
            <color rgb="FF000000"/>
            <rFont val="Tahoma"/>
            <family val="2"/>
          </rPr>
          <t xml:space="preserve">
</t>
        </r>
        <r>
          <rPr>
            <sz val="9"/>
            <color rgb="FF000000"/>
            <rFont val="Tahoma"/>
            <family val="2"/>
          </rPr>
          <t xml:space="preserve">Why do we isolate drivers separate from car sales? Simple answer: revenue has not been growing in line with car sales, suggesting a fundemental differences in business strategy for this segment. As managing the APA/AEA is affected by different drivers than pure car sales it is important to view this business more like a banking and insurance operating model, rather than a tangible asset model. </t>
        </r>
      </text>
    </comment>
    <comment ref="U362" authorId="0" shapeId="0" xr:uid="{65942F0C-AE19-4610-A85E-23D682DDFF8D}">
      <text>
        <r>
          <rPr>
            <b/>
            <sz val="8"/>
            <color indexed="81"/>
            <rFont val="Tahoma"/>
            <family val="2"/>
          </rPr>
          <t>Theodor Hogan:</t>
        </r>
        <r>
          <rPr>
            <sz val="8"/>
            <color indexed="81"/>
            <rFont val="Tahoma"/>
            <family val="2"/>
          </rPr>
          <t xml:space="preserve">
Difficult to forecast, but generally we can say that the steepening of the yield curve and improved operating effeciency justify a higher rate at first and then tapering off towards historical averages again</t>
        </r>
      </text>
    </comment>
    <comment ref="B364" authorId="21" shapeId="0" xr:uid="{C073451D-058F-42E1-B428-7027D55F32A8}">
      <text>
        <t xml:space="preserve">[Threaded comment]
Your version of Excel allows you to read this threaded comment; however, any edits to it will get removed if the file is opened in a newer version of Excel. Learn more: https://go.microsoft.com/fwlink/?linkid=870924
Comment:
    Taken from M&amp;DA
</t>
      </text>
    </comment>
    <comment ref="U365" authorId="0" shapeId="0" xr:uid="{78E172C1-EF75-42D6-A00C-7C68D4E2A507}">
      <text>
        <r>
          <rPr>
            <b/>
            <sz val="8"/>
            <color indexed="81"/>
            <rFont val="Tahoma"/>
            <family val="2"/>
          </rPr>
          <t>Theodor Hogan:</t>
        </r>
        <r>
          <rPr>
            <sz val="8"/>
            <color indexed="81"/>
            <rFont val="Tahoma"/>
            <family val="2"/>
          </rPr>
          <t xml:space="preserve">
Reflects a moving average of balancesheet expansion but as the balance sheet increases, we expect it harder to grow this amount. That’s why 5% is hardcoded in the last few years below the historical average.</t>
        </r>
      </text>
    </comment>
    <comment ref="B366" authorId="22" shapeId="0" xr:uid="{BAE70563-2732-4D70-9A8F-936810B94ADE}">
      <text>
        <t xml:space="preserve">[Threaded comment]
Your version of Excel allows you to read this threaded comment; however, any edits to it will get removed if the file is opened in a newer version of Excel. Learn more: https://go.microsoft.com/fwlink/?linkid=870924
Comment:
    Taken M&amp;DA normalized for 2021
</t>
      </text>
    </comment>
    <comment ref="O374" authorId="0" shapeId="0" xr:uid="{DCA8BFB7-05E3-45C2-B926-89096768BB61}">
      <text>
        <r>
          <rPr>
            <b/>
            <sz val="8"/>
            <color indexed="81"/>
            <rFont val="Tahoma"/>
            <family val="2"/>
          </rPr>
          <t>Theodor Hogan:</t>
        </r>
        <r>
          <rPr>
            <sz val="8"/>
            <color indexed="81"/>
            <rFont val="Tahoma"/>
            <family val="2"/>
          </rPr>
          <t xml:space="preserve">
Moving average assumptions makes most sense here, as this area is difficult to forecast
</t>
        </r>
      </text>
    </comment>
    <comment ref="O382" authorId="0" shapeId="0" xr:uid="{F749B9BE-700A-437B-83CF-715D623FCB7D}">
      <text>
        <r>
          <rPr>
            <b/>
            <sz val="8"/>
            <color indexed="81"/>
            <rFont val="Tahoma"/>
            <family val="2"/>
          </rPr>
          <t>Theodor Hogan:</t>
        </r>
        <r>
          <rPr>
            <sz val="8"/>
            <color indexed="81"/>
            <rFont val="Tahoma"/>
            <family val="2"/>
          </rPr>
          <t xml:space="preserve">
highly uncertain but the CEO wants it be a growth driver in the future</t>
        </r>
      </text>
    </comment>
    <comment ref="Q387" authorId="0" shapeId="0" xr:uid="{D2A59FDE-2121-406F-B626-94BC476A6881}">
      <text>
        <r>
          <rPr>
            <b/>
            <sz val="8"/>
            <color indexed="81"/>
            <rFont val="Tahoma"/>
            <family val="2"/>
          </rPr>
          <t>Theodor Hogan:</t>
        </r>
        <r>
          <rPr>
            <sz val="8"/>
            <color indexed="81"/>
            <rFont val="Tahoma"/>
            <family val="2"/>
          </rPr>
          <t xml:space="preserve">
Ceo menionted he wants this to be at least double digit operating income by 2027 beyond that we assume  that it grows towards 20% at 2% a year because the margin is similar to Sales financing and services should enjoy higher operating margin than the vehicle business</t>
        </r>
      </text>
    </comment>
    <comment ref="O390" authorId="0" shapeId="0" xr:uid="{E9A7975E-4727-4883-87E9-47A935FCD304}">
      <text>
        <r>
          <rPr>
            <b/>
            <sz val="8"/>
            <color indexed="81"/>
            <rFont val="Tahoma"/>
            <family val="2"/>
          </rPr>
          <t>Theodor Hogan:</t>
        </r>
        <r>
          <rPr>
            <sz val="8"/>
            <color indexed="81"/>
            <rFont val="Tahoma"/>
            <family val="2"/>
          </rPr>
          <t xml:space="preserve">
CEO target break even operating margin in 2025
</t>
        </r>
      </text>
    </comment>
    <comment ref="U399" authorId="14" shapeId="0" xr:uid="{C10C8B63-4EDD-44A8-BFF0-01E67538DDCC}">
      <text>
        <r>
          <rPr>
            <b/>
            <sz val="9"/>
            <color indexed="81"/>
            <rFont val="Tahoma"/>
            <family val="2"/>
          </rPr>
          <t>Rikus van der Vegt:</t>
        </r>
        <r>
          <rPr>
            <sz val="9"/>
            <color indexed="81"/>
            <rFont val="Tahoma"/>
            <family val="2"/>
          </rPr>
          <t xml:space="preserve">
Forecasted % is the average of relevant years, rounded to the nearest whole percent</t>
        </r>
      </text>
    </comment>
    <comment ref="U404" authorId="14" shapeId="0" xr:uid="{F1E2EBBE-962D-4143-8D62-AADED2C14374}">
      <text>
        <r>
          <rPr>
            <b/>
            <sz val="9"/>
            <color indexed="81"/>
            <rFont val="Tahoma"/>
            <family val="2"/>
          </rPr>
          <t>Rikus van der Vegt:</t>
        </r>
        <r>
          <rPr>
            <sz val="9"/>
            <color indexed="81"/>
            <rFont val="Tahoma"/>
            <family val="2"/>
          </rPr>
          <t xml:space="preserve">
Forecasted % is the average of relevant years</t>
        </r>
      </text>
    </comment>
    <comment ref="B411" authorId="14" shapeId="0" xr:uid="{5D83B4D2-C45F-4CFF-BD6C-988EE04E39DF}">
      <text>
        <r>
          <rPr>
            <b/>
            <sz val="9"/>
            <color rgb="FF000000"/>
            <rFont val="Tahoma"/>
            <family val="2"/>
          </rPr>
          <t>Rikus van der Vegt:</t>
        </r>
        <r>
          <rPr>
            <sz val="9"/>
            <color rgb="FF000000"/>
            <rFont val="Tahoma"/>
            <family val="2"/>
          </rPr>
          <t xml:space="preserve">
</t>
        </r>
        <r>
          <rPr>
            <sz val="9"/>
            <color rgb="FF000000"/>
            <rFont val="Tahoma"/>
            <family val="2"/>
          </rPr>
          <t xml:space="preserve">Acquisitions
</t>
        </r>
      </text>
    </comment>
    <comment ref="B412" authorId="14" shapeId="0" xr:uid="{B6067CAB-0812-4394-A975-5210E712BE60}">
      <text>
        <r>
          <rPr>
            <b/>
            <sz val="9"/>
            <color rgb="FF000000"/>
            <rFont val="Tahoma"/>
            <family val="2"/>
          </rPr>
          <t>Rikus van der Vegt:</t>
        </r>
        <r>
          <rPr>
            <sz val="9"/>
            <color rgb="FF000000"/>
            <rFont val="Tahoma"/>
            <family val="2"/>
          </rPr>
          <t xml:space="preserve">
</t>
        </r>
        <r>
          <rPr>
            <sz val="9"/>
            <color rgb="FF000000"/>
            <rFont val="Tahoma"/>
            <family val="2"/>
          </rPr>
          <t>Acquisitions net of disposals/ past</t>
        </r>
      </text>
    </comment>
    <comment ref="U424" authorId="0" shapeId="0" xr:uid="{135AAB38-B707-48A1-A258-2F10690DB00A}">
      <text>
        <r>
          <rPr>
            <b/>
            <sz val="8"/>
            <color indexed="81"/>
            <rFont val="Tahoma"/>
            <family val="2"/>
          </rPr>
          <t>Theodor Hogan:</t>
        </r>
        <r>
          <rPr>
            <sz val="8"/>
            <color indexed="81"/>
            <rFont val="Tahoma"/>
            <family val="2"/>
          </rPr>
          <t xml:space="preserve">
Intangible assets a fairly in line with top-line growth. Looking at the historical aveage over the past 10 years of 2.67% we assume a slighly more conservative 2.5%</t>
        </r>
      </text>
    </comment>
    <comment ref="U429" authorId="14" shapeId="0" xr:uid="{D6566FB0-156B-4779-BCCB-C374919D6641}">
      <text>
        <r>
          <rPr>
            <b/>
            <sz val="9"/>
            <color indexed="81"/>
            <rFont val="Tahoma"/>
            <family val="2"/>
          </rPr>
          <t>Rikus van der Vegt:</t>
        </r>
        <r>
          <rPr>
            <sz val="9"/>
            <color indexed="81"/>
            <rFont val="Tahoma"/>
            <family val="2"/>
          </rPr>
          <t xml:space="preserve">
Average was 0.83%, but to be conservative we chose 0.9%</t>
        </r>
      </text>
    </comment>
    <comment ref="U431" authorId="14" shapeId="0" xr:uid="{9DB8A9A3-7BD4-458B-9D35-6ED6A437B761}">
      <text>
        <r>
          <rPr>
            <b/>
            <sz val="9"/>
            <color indexed="81"/>
            <rFont val="Tahoma"/>
            <family val="2"/>
          </rPr>
          <t>Rikus van der Vegt:</t>
        </r>
        <r>
          <rPr>
            <sz val="9"/>
            <color indexed="81"/>
            <rFont val="Tahoma"/>
            <family val="2"/>
          </rPr>
          <t xml:space="preserve">
Average is 2.27% but we see a clear downward trend and feel comfortable keeping it at 2%</t>
        </r>
      </text>
    </comment>
    <comment ref="B433" authorId="14" shapeId="0" xr:uid="{0019A48E-A228-4F73-A746-484B81ED30DE}">
      <text>
        <r>
          <rPr>
            <b/>
            <sz val="9"/>
            <color rgb="FF000000"/>
            <rFont val="Tahoma"/>
            <family val="2"/>
          </rPr>
          <t>Rikus van der Vegt:</t>
        </r>
        <r>
          <rPr>
            <sz val="9"/>
            <color rgb="FF000000"/>
            <rFont val="Tahoma"/>
            <family val="2"/>
          </rPr>
          <t xml:space="preserve">
</t>
        </r>
        <r>
          <rPr>
            <sz val="9"/>
            <color rgb="FF000000"/>
            <rFont val="Tahoma"/>
            <family val="2"/>
          </rPr>
          <t>All intangible assets are together since goodwill is an inmaterial amount in most years.</t>
        </r>
      </text>
    </comment>
    <comment ref="B438" authorId="14" shapeId="0" xr:uid="{2AC3A271-6BD3-41B8-9DDE-3191359D0A01}">
      <text>
        <r>
          <rPr>
            <b/>
            <sz val="9"/>
            <color rgb="FF000000"/>
            <rFont val="Tahoma"/>
            <family val="2"/>
          </rPr>
          <t>Rikus van der Vegt:</t>
        </r>
        <r>
          <rPr>
            <sz val="9"/>
            <color rgb="FF000000"/>
            <rFont val="Tahoma"/>
            <family val="2"/>
          </rPr>
          <t xml:space="preserve">
</t>
        </r>
        <r>
          <rPr>
            <sz val="9"/>
            <color rgb="FF000000"/>
            <rFont val="Tahoma"/>
            <family val="2"/>
          </rPr>
          <t xml:space="preserve">Acquisitions
</t>
        </r>
      </text>
    </comment>
    <comment ref="B439" authorId="14" shapeId="0" xr:uid="{87B2E3F0-474D-4436-BB1F-0DA33E5ABF1C}">
      <text>
        <r>
          <rPr>
            <b/>
            <sz val="9"/>
            <color rgb="FF000000"/>
            <rFont val="Tahoma"/>
            <family val="2"/>
          </rPr>
          <t>Rikus van der Vegt:</t>
        </r>
        <r>
          <rPr>
            <sz val="9"/>
            <color rgb="FF000000"/>
            <rFont val="Tahoma"/>
            <family val="2"/>
          </rPr>
          <t xml:space="preserve">
</t>
        </r>
        <r>
          <rPr>
            <sz val="9"/>
            <color rgb="FF000000"/>
            <rFont val="Tahoma"/>
            <family val="2"/>
          </rPr>
          <t>Acquisitions net of disposals/ past</t>
        </r>
      </text>
    </comment>
    <comment ref="U454" authorId="0" shapeId="0" xr:uid="{21CDB21F-5047-4134-8B72-6B4F269C443A}">
      <text>
        <r>
          <rPr>
            <b/>
            <sz val="8"/>
            <color indexed="81"/>
            <rFont val="Tahoma"/>
            <family val="2"/>
          </rPr>
          <t>Theodor Hogan:</t>
        </r>
        <r>
          <rPr>
            <sz val="8"/>
            <color indexed="81"/>
            <rFont val="Tahoma"/>
            <family val="2"/>
          </rPr>
          <t xml:space="preserve">
Simple historical average rounded down to 10s</t>
        </r>
      </text>
    </comment>
    <comment ref="U455" authorId="0" shapeId="0" xr:uid="{81226409-2C69-4001-83F2-8BA955523AB2}">
      <text>
        <r>
          <rPr>
            <b/>
            <sz val="8"/>
            <color indexed="81"/>
            <rFont val="Tahoma"/>
            <family val="2"/>
          </rPr>
          <t>Theodor Hogan:</t>
        </r>
        <r>
          <rPr>
            <sz val="8"/>
            <color indexed="81"/>
            <rFont val="Tahoma"/>
            <family val="2"/>
          </rPr>
          <t xml:space="preserve">
Check notes for Sales financing debt fore more details</t>
        </r>
      </text>
    </comment>
    <comment ref="U456" authorId="14" shapeId="0" xr:uid="{D6E62E61-4909-410B-8722-10E57FC423C9}">
      <text>
        <r>
          <rPr>
            <b/>
            <sz val="9"/>
            <color indexed="81"/>
            <rFont val="Tahoma"/>
            <family val="2"/>
          </rPr>
          <t>Rikus van der Vegt:</t>
        </r>
        <r>
          <rPr>
            <sz val="9"/>
            <color indexed="81"/>
            <rFont val="Tahoma"/>
            <family val="2"/>
          </rPr>
          <t xml:space="preserve">
Near historical average</t>
        </r>
      </text>
    </comment>
    <comment ref="U457" authorId="14" shapeId="0" xr:uid="{8523675A-27AB-4111-9F62-220E78165024}">
      <text>
        <r>
          <rPr>
            <b/>
            <sz val="9"/>
            <color indexed="81"/>
            <rFont val="Tahoma"/>
            <family val="2"/>
          </rPr>
          <t>Rikus van der Vegt:</t>
        </r>
        <r>
          <rPr>
            <sz val="9"/>
            <color indexed="81"/>
            <rFont val="Tahoma"/>
            <family val="2"/>
          </rPr>
          <t xml:space="preserve">
Near historical average</t>
        </r>
      </text>
    </comment>
    <comment ref="U458" authorId="0" shapeId="0" xr:uid="{4AC182FC-BA3D-43C9-8141-5B92A869F019}">
      <text>
        <r>
          <rPr>
            <b/>
            <sz val="8"/>
            <color indexed="81"/>
            <rFont val="Tahoma"/>
            <family val="2"/>
          </rPr>
          <t>Theodor Hogan:</t>
        </r>
        <r>
          <rPr>
            <sz val="8"/>
            <color indexed="81"/>
            <rFont val="Tahoma"/>
            <family val="2"/>
          </rPr>
          <t xml:space="preserve">
Higher assumption than historical average, this is because the firm increasingly is operating more business with their financing debts and has been increasing over the years.</t>
        </r>
      </text>
    </comment>
    <comment ref="U460" authorId="14" shapeId="0" xr:uid="{CD694F03-3EC5-4027-8496-F4C9EF838B68}">
      <text>
        <r>
          <rPr>
            <b/>
            <sz val="9"/>
            <color indexed="81"/>
            <rFont val="Tahoma"/>
            <family val="2"/>
          </rPr>
          <t>Rikus van der Vegt:</t>
        </r>
        <r>
          <rPr>
            <sz val="9"/>
            <color indexed="81"/>
            <rFont val="Tahoma"/>
            <family val="2"/>
          </rPr>
          <t xml:space="preserve">
Average</t>
        </r>
      </text>
    </comment>
    <comment ref="U461" authorId="14" shapeId="0" xr:uid="{EA3CF434-7FD7-4355-BC02-7FD00AF8C0F6}">
      <text>
        <r>
          <rPr>
            <b/>
            <sz val="9"/>
            <color indexed="81"/>
            <rFont val="Tahoma"/>
            <family val="2"/>
          </rPr>
          <t>Rikus van der Vegt:</t>
        </r>
        <r>
          <rPr>
            <sz val="9"/>
            <color indexed="81"/>
            <rFont val="Tahoma"/>
            <family val="2"/>
          </rPr>
          <t xml:space="preserve">
Average and last two values</t>
        </r>
      </text>
    </comment>
    <comment ref="U480" authorId="14" shapeId="0" xr:uid="{3CC2F758-DAE1-4899-AC68-71011C5C7688}">
      <text>
        <r>
          <rPr>
            <b/>
            <sz val="9"/>
            <color indexed="81"/>
            <rFont val="Tahoma"/>
            <family val="2"/>
          </rPr>
          <t>Rikus van der Vegt:</t>
        </r>
        <r>
          <rPr>
            <sz val="9"/>
            <color indexed="81"/>
            <rFont val="Tahoma"/>
            <family val="2"/>
          </rPr>
          <t xml:space="preserve">
Normalized Average</t>
        </r>
      </text>
    </comment>
    <comment ref="U482" authorId="14" shapeId="0" xr:uid="{CDC6C723-F2A4-4455-863C-841F77BE3B12}">
      <text>
        <r>
          <rPr>
            <b/>
            <sz val="9"/>
            <color rgb="FF000000"/>
            <rFont val="Tahoma"/>
            <family val="2"/>
          </rPr>
          <t>Rikus van der Vegt:</t>
        </r>
        <r>
          <rPr>
            <sz val="9"/>
            <color rgb="FF000000"/>
            <rFont val="Tahoma"/>
            <family val="2"/>
          </rPr>
          <t xml:space="preserve">
</t>
        </r>
        <r>
          <rPr>
            <sz val="9"/>
            <color rgb="FF000000"/>
            <rFont val="Tahoma"/>
            <family val="2"/>
          </rPr>
          <t>Around average but might decrease in the future but we wanted to stay conservative</t>
        </r>
      </text>
    </comment>
    <comment ref="U483" authorId="0" shapeId="0" xr:uid="{DE35DD91-0D44-4B5B-B606-39EFF81A9EFE}">
      <text>
        <r>
          <rPr>
            <b/>
            <sz val="8"/>
            <color indexed="81"/>
            <rFont val="Tahoma"/>
            <family val="2"/>
          </rPr>
          <t>Theodor Hogan:</t>
        </r>
        <r>
          <rPr>
            <sz val="8"/>
            <color indexed="81"/>
            <rFont val="Tahoma"/>
            <family val="2"/>
          </rPr>
          <t xml:space="preserve">
Reflecting historical average over the last 5 years. We can see that before 2020 it was on average lower. That’s why we are assuming last 5 years average rounded</t>
        </r>
      </text>
    </comment>
    <comment ref="U484" authorId="0" shapeId="0" xr:uid="{8A2B34C0-E184-4E61-884B-E74CC2AED9B9}">
      <text>
        <r>
          <rPr>
            <b/>
            <sz val="8"/>
            <color indexed="81"/>
            <rFont val="Tahoma"/>
            <family val="2"/>
          </rPr>
          <t>Theodor Hogan:</t>
        </r>
        <r>
          <rPr>
            <sz val="8"/>
            <color indexed="81"/>
            <rFont val="Tahoma"/>
            <family val="2"/>
          </rPr>
          <t xml:space="preserve">
Based on historical average. Mainly consting of pension provisions which we can assume not to change much going forward.</t>
        </r>
      </text>
    </comment>
    <comment ref="U485" authorId="14" shapeId="0" xr:uid="{20DF8562-9DF9-49AB-A1BE-F0B86FCD77C1}">
      <text>
        <r>
          <rPr>
            <b/>
            <sz val="9"/>
            <color indexed="81"/>
            <rFont val="Tahoma"/>
            <family val="2"/>
          </rPr>
          <t xml:space="preserve">Rikus van der Vegt:
</t>
        </r>
        <r>
          <rPr>
            <sz val="9"/>
            <color indexed="81"/>
            <rFont val="Tahoma"/>
            <family val="2"/>
          </rPr>
          <t>Normalized average - exclusing crisis years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Jorick Stoel</author>
    <author>tc={85AC4383-10BB-4904-8438-C4B8955EE33F}</author>
    <author>tc={EBEC7C73-C011-482B-B3A1-46824100977D}</author>
    <author>Theodor Hogan</author>
    <author>tc={3B4DDE90-1A80-4CE9-9812-26C3CDB0E42A}</author>
    <author>tc={A41021FB-2427-4A69-B635-09D0530D82FE}</author>
    <author>tc={EAE2DB27-9988-4D65-9079-5388F859E7C6}</author>
    <author>tc={5D1EB20F-DBB8-427C-88EC-85201FE98AC7}</author>
    <author>tc={9F9499E5-26ED-0F46-A1EB-485BBBBD5EB4}</author>
    <author>tc={98820B13-E327-4D05-9113-8EBC415692A7}</author>
    <author>tc={5F7EE47B-8D9A-4EBB-8CD9-663ADF642BA4}</author>
    <author>tc={6DD18E0B-D5B3-1842-B9A1-3EF73798C92F}</author>
  </authors>
  <commentList>
    <comment ref="U2" authorId="0" shapeId="0" xr:uid="{4C86F78D-1657-E244-BE54-55EF71F52C2D}">
      <text>
        <r>
          <rPr>
            <b/>
            <sz val="10"/>
            <color rgb="FF000000"/>
            <rFont val="Tahoma"/>
            <family val="2"/>
          </rPr>
          <t>Jorick Stoel:</t>
        </r>
        <r>
          <rPr>
            <sz val="10"/>
            <color rgb="FF000000"/>
            <rFont val="Tahoma"/>
            <family val="2"/>
          </rPr>
          <t xml:space="preserve">
</t>
        </r>
        <r>
          <rPr>
            <sz val="10"/>
            <color rgb="FF000000"/>
            <rFont val="Arial"/>
            <family val="2"/>
          </rPr>
          <t>The Equity Risk Premium is a weighted average based on the GDP exposure of the company's operating regions. This approach captures the true systematic risk of the firm's global cash flows, correcting for the potential understatement of risk that arises from using a single home-market ERP for a multinational entity.</t>
        </r>
      </text>
    </comment>
    <comment ref="S3" authorId="1" shapeId="0" xr:uid="{85AC4383-10BB-4904-8438-C4B8955EE33F}">
      <text>
        <t>[Threaded comment]
Your version of Excel allows you to read this threaded comment; however, any edits to it will get removed if the file is opened in a newer version of Excel. Learn more: https://go.microsoft.com/fwlink/?linkid=870924
Comment:
    Source : https://pages.stern.nyu.edu/~adamodar/New_Home_Page/datafile/ctryprem.html</t>
      </text>
    </comment>
    <comment ref="T3" authorId="2" shapeId="0" xr:uid="{EBEC7C73-C011-482B-B3A1-46824100977D}">
      <text>
        <t>[Threaded comment]
Your version of Excel allows you to read this threaded comment; however, any edits to it will get removed if the file is opened in a newer version of Excel. Learn more: https://go.microsoft.com/fwlink/?linkid=870924
Comment:
    2023 values taken due to some union members not reporting their gdp yet for 2020 Source: https://ec.europa.eu/eurostat/databrowser/view/nama_10_gdp/default/table?lang=en&amp;category=na10.nama10.nama_10_ma</t>
      </text>
    </comment>
    <comment ref="F5" authorId="3" shapeId="0" xr:uid="{45F426DA-2339-4B75-AE33-E54B544209F9}">
      <text>
        <r>
          <rPr>
            <b/>
            <sz val="8"/>
            <color rgb="FF000000"/>
            <rFont val="Tahoma"/>
            <family val="2"/>
          </rPr>
          <t>Theodor Hogan:</t>
        </r>
        <r>
          <rPr>
            <sz val="8"/>
            <color rgb="FF000000"/>
            <rFont val="Tahoma"/>
            <family val="2"/>
          </rPr>
          <t xml:space="preserve">
</t>
        </r>
        <r>
          <rPr>
            <sz val="8"/>
            <color rgb="FF000000"/>
            <rFont val="Tahoma"/>
            <family val="2"/>
          </rPr>
          <t xml:space="preserve">Based on EURIBOR 1 month swap futures setteling for any given year in december
</t>
        </r>
      </text>
    </comment>
    <comment ref="P5" authorId="4" shapeId="0" xr:uid="{3B4DDE90-1A80-4CE9-9812-26C3CDB0E42A}">
      <text>
        <t>[Threaded comment]
Your version of Excel allows you to read this threaded comment; however, any edits to it will get removed if the file is opened in a newer version of Excel. Learn more: https://go.microsoft.com/fwlink/?linkid=870924
Comment:
    https://www.chathamfinancial.com/technology/european-forward-curves</t>
      </text>
    </comment>
    <comment ref="P6" authorId="5" shapeId="0" xr:uid="{A41021FB-2427-4A69-B635-09D0530D82FE}">
      <text>
        <t>[Threaded comment]
Your version of Excel allows you to read this threaded comment; however, any edits to it will get removed if the file is opened in a newer version of Excel. Learn more: https://go.microsoft.com/fwlink/?linkid=870924
Comment:
    https://care-mendoza.nd.edu/assets/152347/loss-given-default-rating-methodology.pdf</t>
      </text>
    </comment>
    <comment ref="D10" authorId="3" shapeId="0" xr:uid="{CA8BD152-E8CF-4DF4-B037-6192BEEAFEB3}">
      <text>
        <r>
          <rPr>
            <b/>
            <sz val="8"/>
            <color rgb="FF000000"/>
            <rFont val="Tahoma"/>
            <family val="2"/>
          </rPr>
          <t>Theodor Hogan:</t>
        </r>
        <r>
          <rPr>
            <sz val="8"/>
            <color rgb="FF000000"/>
            <rFont val="Tahoma"/>
            <family val="2"/>
          </rPr>
          <t xml:space="preserve">
</t>
        </r>
        <r>
          <rPr>
            <sz val="8"/>
            <color rgb="FF000000"/>
            <rFont val="Tahoma"/>
            <family val="2"/>
          </rPr>
          <t>Based on playing out market cap growth vs debt growth over the past 10 year we can see that debt grows roughly 100bps more than equity. That’s why we increase the d/e ratio by 0.01 per annum for a conserviate forecast for an asset heavy company</t>
        </r>
      </text>
    </comment>
    <comment ref="T13" authorId="3" shapeId="0" xr:uid="{70F21CA5-CF0B-4CA5-90DA-B53666BA88C6}">
      <text>
        <r>
          <rPr>
            <b/>
            <sz val="8"/>
            <color rgb="FF000000"/>
            <rFont val="Tahoma"/>
            <family val="2"/>
          </rPr>
          <t>Theodor Hogan:</t>
        </r>
        <r>
          <rPr>
            <sz val="8"/>
            <color rgb="FF000000"/>
            <rFont val="Tahoma"/>
            <family val="2"/>
          </rPr>
          <t xml:space="preserve">
</t>
        </r>
        <r>
          <rPr>
            <sz val="8"/>
            <color rgb="FF000000"/>
            <rFont val="Tahoma"/>
            <family val="2"/>
          </rPr>
          <t xml:space="preserve">provisional
</t>
        </r>
        <r>
          <rPr>
            <sz val="8"/>
            <color rgb="FF000000"/>
            <rFont val="Tahoma"/>
            <family val="2"/>
          </rPr>
          <t xml:space="preserve">
</t>
        </r>
      </text>
    </comment>
    <comment ref="T14" authorId="3" shapeId="0" xr:uid="{E43973E4-7DCB-4E8D-8F68-B147E5A78E75}">
      <text>
        <r>
          <rPr>
            <b/>
            <sz val="8"/>
            <color rgb="FF000000"/>
            <rFont val="Tahoma"/>
            <family val="2"/>
          </rPr>
          <t>Theodor Hogan:</t>
        </r>
        <r>
          <rPr>
            <sz val="8"/>
            <color rgb="FF000000"/>
            <rFont val="Tahoma"/>
            <family val="2"/>
          </rPr>
          <t xml:space="preserve">
</t>
        </r>
        <r>
          <rPr>
            <sz val="8"/>
            <color rgb="FF000000"/>
            <rFont val="Tahoma"/>
            <family val="2"/>
          </rPr>
          <t xml:space="preserve">provisional
</t>
        </r>
      </text>
    </comment>
    <comment ref="T15" authorId="3" shapeId="0" xr:uid="{2B2E7C05-7FB5-4A01-9D65-0ED1423D6A7E}">
      <text>
        <r>
          <rPr>
            <b/>
            <sz val="8"/>
            <color rgb="FF000000"/>
            <rFont val="Tahoma"/>
            <family val="2"/>
          </rPr>
          <t>Theodor Hogan:</t>
        </r>
        <r>
          <rPr>
            <sz val="8"/>
            <color rgb="FF000000"/>
            <rFont val="Tahoma"/>
            <family val="2"/>
          </rPr>
          <t xml:space="preserve">
</t>
        </r>
        <r>
          <rPr>
            <sz val="8"/>
            <color rgb="FF000000"/>
            <rFont val="Tahoma"/>
            <family val="2"/>
          </rPr>
          <t>provisional</t>
        </r>
      </text>
    </comment>
    <comment ref="F17" authorId="3" shapeId="0" xr:uid="{0F33FC7B-4C0B-4561-B9C9-ED641A4E1D78}">
      <text>
        <r>
          <rPr>
            <b/>
            <sz val="8"/>
            <color rgb="FF000000"/>
            <rFont val="Tahoma"/>
            <family val="2"/>
          </rPr>
          <t>Theodor Hogan:</t>
        </r>
        <r>
          <rPr>
            <sz val="8"/>
            <color rgb="FF000000"/>
            <rFont val="Tahoma"/>
            <family val="2"/>
          </rPr>
          <t xml:space="preserve">
</t>
        </r>
        <r>
          <rPr>
            <sz val="8"/>
            <color rgb="FF000000"/>
            <rFont val="Tahoma"/>
            <family val="2"/>
          </rPr>
          <t xml:space="preserve">Adjusted for inflation and risk-free rate after 2026
</t>
        </r>
      </text>
    </comment>
    <comment ref="T29" authorId="3" shapeId="0" xr:uid="{9AEAB627-2F69-410A-8FAC-A6BB76FBEECF}">
      <text>
        <r>
          <rPr>
            <b/>
            <sz val="8"/>
            <color rgb="FF000000"/>
            <rFont val="Tahoma"/>
            <family val="2"/>
          </rPr>
          <t>Theodor Hogan:</t>
        </r>
        <r>
          <rPr>
            <sz val="8"/>
            <color rgb="FF000000"/>
            <rFont val="Tahoma"/>
            <family val="2"/>
          </rPr>
          <t xml:space="preserve">
</t>
        </r>
        <r>
          <rPr>
            <sz val="8"/>
            <color rgb="FF000000"/>
            <rFont val="Tahoma"/>
            <family val="2"/>
          </rPr>
          <t xml:space="preserve">Provisional
</t>
        </r>
      </text>
    </comment>
    <comment ref="F33" authorId="6" shapeId="0" xr:uid="{EAE2DB27-9988-4D65-9079-5388F859E7C6}">
      <text>
        <t xml:space="preserve">[Threaded comment]
Your version of Excel allows you to read this threaded comment; however, any edits to it will get removed if the file is opened in a newer version of Excel. Learn more: https://go.microsoft.com/fwlink/?linkid=870924
Comment:
    Beta regression 100%, rf instantaneous 80%, Credit spread based on financials 80% </t>
      </text>
    </comment>
    <comment ref="F35" authorId="7" shapeId="0" xr:uid="{5D1EB20F-DBB8-427C-88EC-85201FE98AC7}">
      <text>
        <t>[Threaded comment]
Your version of Excel allows you to read this threaded comment; however, any edits to it will get removed if the file is opened in a newer version of Excel. Learn more: https://go.microsoft.com/fwlink/?linkid=870924
Comment:
    Beta Regression weight 20%, rf 50/50%, rating 20% based on financials</t>
      </text>
    </comment>
    <comment ref="AB38" authorId="0" shapeId="0" xr:uid="{195A3B20-EAF8-E143-AA00-4734C66C84A0}">
      <text>
        <r>
          <rPr>
            <b/>
            <sz val="10"/>
            <color rgb="FF000000"/>
            <rFont val="Tahoma"/>
            <family val="2"/>
          </rPr>
          <t>Jorick Stoel:</t>
        </r>
        <r>
          <rPr>
            <sz val="10"/>
            <color rgb="FF000000"/>
            <rFont val="Tahoma"/>
            <family val="2"/>
          </rPr>
          <t xml:space="preserve">
</t>
        </r>
        <r>
          <rPr>
            <sz val="10"/>
            <color rgb="FF000000"/>
            <rFont val="Arial"/>
            <family val="2"/>
          </rPr>
          <t xml:space="preserve">The Risk-Free Rate is a 50/50 weighted average of </t>
        </r>
        <r>
          <rPr>
            <sz val="10"/>
            <color rgb="FF000000"/>
            <rFont val="Arial"/>
            <family val="2"/>
          </rPr>
          <t>AAA Government Forwards and EURIBOR Swap Futures. Thi</t>
        </r>
        <r>
          <rPr>
            <sz val="10"/>
            <color rgb="FF000000"/>
            <rFont val="Arial"/>
            <family val="2"/>
          </rPr>
          <t>s blends sovereign and interbank benchmarks to proxy a robust corporate base rate, while using forward pricing to match the specific term structure of the cash flows.</t>
        </r>
      </text>
    </comment>
    <comment ref="P40" authorId="8" shapeId="0" xr:uid="{9F9499E5-26ED-0F46-A1EB-485BBBBD5EB4}">
      <text>
        <t xml:space="preserve">[Threaded comment]
Your version of Excel allows you to read this threaded comment; however, any edits to it will get removed if the file is opened in a newer version of Excel. Learn more: https://go.microsoft.com/fwlink/?linkid=870924
Comment:
    https://pages.stern.nyu.edu/~adamodar/New_Home_Page/datafile/ratings.html
</t>
      </text>
    </comment>
    <comment ref="R40" authorId="9" shapeId="0" xr:uid="{98820B13-E327-4D05-9113-8EBC415692A7}">
      <text>
        <t xml:space="preserve">[Threaded comment]
Your version of Excel allows you to read this threaded comment; however, any edits to it will get removed if the file is opened in a newer version of Excel. Learn more: https://go.microsoft.com/fwlink/?linkid=870924
Comment:
    Source: https://www.ecb.europa.eu/stats/financial_markets_and_interest_rates/euro_area_yield_curves/html/index.en.html
Reply:
    All data as of Oct 31’25
</t>
      </text>
    </comment>
    <comment ref="AB40" authorId="3" shapeId="0" xr:uid="{C3A4B4D1-639A-48F4-BD27-DB7763ABECF8}">
      <text>
        <r>
          <rPr>
            <b/>
            <sz val="8"/>
            <color rgb="FF000000"/>
            <rFont val="Tahoma"/>
            <family val="2"/>
          </rPr>
          <t>Theodor Hogan:</t>
        </r>
        <r>
          <rPr>
            <sz val="8"/>
            <color rgb="FF000000"/>
            <rFont val="Tahoma"/>
            <family val="2"/>
          </rPr>
          <t xml:space="preserve">
</t>
        </r>
        <r>
          <rPr>
            <sz val="8"/>
            <color rgb="FF000000"/>
            <rFont val="Tahoma"/>
            <family val="2"/>
          </rPr>
          <t>10 year futures</t>
        </r>
      </text>
    </comment>
    <comment ref="R41" authorId="10" shapeId="0" xr:uid="{5F7EE47B-8D9A-4EBB-8CD9-663ADF642BA4}">
      <text>
        <t>[Threaded comment]
Your version of Excel allows you to read this threaded comment; however, any edits to it will get removed if the file is opened in a newer version of Excel. Learn more: https://go.microsoft.com/fwlink/?linkid=870924
Comment:
    Price quotes taken from IBKR and then adjusted for implied future short-term risk-free rate.</t>
      </text>
    </comment>
    <comment ref="AB41" authorId="3" shapeId="0" xr:uid="{63F15849-3D0C-41F8-AC21-D97CF357693A}">
      <text>
        <r>
          <rPr>
            <b/>
            <sz val="8"/>
            <color rgb="FF000000"/>
            <rFont val="Tahoma"/>
            <family val="2"/>
          </rPr>
          <t>Theodor Hogan:</t>
        </r>
        <r>
          <rPr>
            <sz val="8"/>
            <color rgb="FF000000"/>
            <rFont val="Tahoma"/>
            <family val="2"/>
          </rPr>
          <t xml:space="preserve">
</t>
        </r>
        <r>
          <rPr>
            <sz val="8"/>
            <color rgb="FF000000"/>
            <rFont val="Tahoma"/>
            <family val="2"/>
          </rPr>
          <t xml:space="preserve">Swap curve ends here
</t>
        </r>
      </text>
    </comment>
    <comment ref="B51" authorId="3" shapeId="0" xr:uid="{7BD51DC1-884D-4578-B0CC-C090AA4B3D61}">
      <text>
        <r>
          <rPr>
            <b/>
            <sz val="8"/>
            <color indexed="81"/>
            <rFont val="Tahoma"/>
            <family val="2"/>
          </rPr>
          <t>Theodor Hogan:</t>
        </r>
        <r>
          <rPr>
            <sz val="8"/>
            <color indexed="81"/>
            <rFont val="Tahoma"/>
            <family val="2"/>
          </rPr>
          <t xml:space="preserve">
Breakdown can be found in Note 23 usually</t>
        </r>
      </text>
    </comment>
    <comment ref="B53" authorId="3" shapeId="0" xr:uid="{E90F1DC5-080E-40CC-8448-7A5AD1A6013B}">
      <text>
        <r>
          <rPr>
            <b/>
            <sz val="8"/>
            <color indexed="81"/>
            <rFont val="Tahoma"/>
            <family val="2"/>
          </rPr>
          <t>Theodor Hogan:</t>
        </r>
        <r>
          <rPr>
            <sz val="8"/>
            <color indexed="81"/>
            <rFont val="Tahoma"/>
            <family val="2"/>
          </rPr>
          <t xml:space="preserve">
Line item can be found in note 7 in 2024</t>
        </r>
      </text>
    </comment>
    <comment ref="B54" authorId="3" shapeId="0" xr:uid="{78F8FEF0-F130-448F-AF76-8F033C73C39D}">
      <text>
        <r>
          <rPr>
            <b/>
            <sz val="8"/>
            <color indexed="81"/>
            <rFont val="Tahoma"/>
            <family val="2"/>
          </rPr>
          <t>Theodor Hogan:</t>
        </r>
        <r>
          <rPr>
            <sz val="8"/>
            <color indexed="81"/>
            <rFont val="Tahoma"/>
            <family val="2"/>
          </rPr>
          <t xml:space="preserve">
This rate is calculated based on FY24 numbers but also is our best guess because interim report doesn't break down in enough detail</t>
        </r>
      </text>
    </comment>
    <comment ref="E54" authorId="3" shapeId="0" xr:uid="{E5818D63-9253-4679-ABCC-43445628F30D}">
      <text>
        <r>
          <rPr>
            <b/>
            <sz val="8"/>
            <color rgb="FF000000"/>
            <rFont val="Tahoma"/>
            <family val="2"/>
          </rPr>
          <t>Theodor Hogan:</t>
        </r>
        <r>
          <rPr>
            <sz val="8"/>
            <color rgb="FF000000"/>
            <rFont val="Tahoma"/>
            <family val="2"/>
          </rPr>
          <t xml:space="preserve">
</t>
        </r>
        <r>
          <rPr>
            <sz val="8"/>
            <color rgb="FF000000"/>
            <rFont val="Tahoma"/>
            <family val="2"/>
          </rPr>
          <t>As this is a best efforts estimate and pretty low for a BB+ rated firm this will serve as our starting point for risk-free interest for the firm</t>
        </r>
      </text>
    </comment>
    <comment ref="P58" authorId="11" shapeId="0" xr:uid="{6DD18E0B-D5B3-1842-B9A1-3EF73798C92F}">
      <text>
        <t>[Threaded comment]
Your version of Excel allows you to read this threaded comment; however, any edits to it will get removed if the file is opened in a newer version of Excel. Learn more: https://go.microsoft.com/fwlink/?linkid=870924
Comment:
    https://pages.stern.nyu.edu/~adamodar/New_Home_Page/dataarchived.html#capstru</t>
      </text>
    </comment>
    <comment ref="B60" authorId="3" shapeId="0" xr:uid="{4ADC9BF2-957B-4043-B00B-00F790745717}">
      <text>
        <r>
          <rPr>
            <b/>
            <sz val="8"/>
            <color rgb="FF000000"/>
            <rFont val="Tahoma"/>
            <family val="2"/>
          </rPr>
          <t>Theodor Hogan:</t>
        </r>
        <r>
          <rPr>
            <sz val="8"/>
            <color rgb="FF000000"/>
            <rFont val="Tahoma"/>
            <family val="2"/>
          </rPr>
          <t xml:space="preserve">
</t>
        </r>
        <r>
          <rPr>
            <sz val="8"/>
            <color rgb="FF000000"/>
            <rFont val="Tahoma"/>
            <family val="2"/>
          </rPr>
          <t>Source: https://www.renaultgroup.com/en/finance/debt-and-ratings/</t>
        </r>
      </text>
    </comment>
    <comment ref="B62" authorId="3" shapeId="0" xr:uid="{501462FA-3A2B-43A4-8877-E820E7E2989B}">
      <text>
        <r>
          <rPr>
            <b/>
            <sz val="8"/>
            <color rgb="FF000000"/>
            <rFont val="Tahoma"/>
            <family val="2"/>
          </rPr>
          <t>Theodor Hogan:</t>
        </r>
        <r>
          <rPr>
            <sz val="8"/>
            <color rgb="FF000000"/>
            <rFont val="Tahoma"/>
            <family val="2"/>
          </rPr>
          <t xml:space="preserve">
</t>
        </r>
        <r>
          <rPr>
            <sz val="8"/>
            <color rgb="FF000000"/>
            <rFont val="Tahoma"/>
            <family val="2"/>
          </rPr>
          <t>Based on IFRS financials for comparability to Damodaran synthetics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Theodor Hogan</author>
    <author>Jorick Stoel</author>
    <author>tc={69A73DEF-E481-4D5C-8C08-7429182FC723}</author>
  </authors>
  <commentList>
    <comment ref="C3" authorId="0" shapeId="0" xr:uid="{733FAFBE-7B10-4CF6-A414-591866301A8B}">
      <text>
        <r>
          <rPr>
            <b/>
            <sz val="8"/>
            <color indexed="81"/>
            <rFont val="Tahoma"/>
            <family val="2"/>
          </rPr>
          <t>Theodor Hogan:</t>
        </r>
        <r>
          <rPr>
            <sz val="8"/>
            <color indexed="81"/>
            <rFont val="Tahoma"/>
            <family val="2"/>
          </rPr>
          <t xml:space="preserve">
As of Nov-1 2025
</t>
        </r>
      </text>
    </comment>
    <comment ref="F3" authorId="0" shapeId="0" xr:uid="{9F0A8AB6-6B31-4314-9323-C089AEB064B9}">
      <text>
        <r>
          <rPr>
            <b/>
            <sz val="8"/>
            <color rgb="FF000000"/>
            <rFont val="Tahoma"/>
            <family val="2"/>
          </rPr>
          <t>Theodor Hogan:</t>
        </r>
        <r>
          <rPr>
            <sz val="8"/>
            <color rgb="FF000000"/>
            <rFont val="Tahoma"/>
            <family val="2"/>
          </rPr>
          <t xml:space="preserve">
</t>
        </r>
        <r>
          <rPr>
            <sz val="8"/>
            <color rgb="FF000000"/>
            <rFont val="Tahoma"/>
            <family val="2"/>
          </rPr>
          <t xml:space="preserve">As of most recent quarter
</t>
        </r>
      </text>
    </comment>
    <comment ref="H3" authorId="1" shapeId="0" xr:uid="{028ABC37-B73D-C443-A762-661EB06309CC}">
      <text>
        <r>
          <rPr>
            <b/>
            <sz val="10"/>
            <color rgb="FF000000"/>
            <rFont val="Tahoma"/>
            <family val="2"/>
          </rPr>
          <t>Jorick Stoel:</t>
        </r>
        <r>
          <rPr>
            <sz val="10"/>
            <color rgb="FF000000"/>
            <rFont val="Tahoma"/>
            <family val="2"/>
          </rPr>
          <t xml:space="preserve">
</t>
        </r>
        <r>
          <rPr>
            <sz val="10"/>
            <color rgb="FF000000"/>
            <rFont val="Tahoma"/>
            <family val="2"/>
          </rPr>
          <t>Tax Rate based on statutory tax rate of country of origin of competitors</t>
        </r>
      </text>
    </comment>
    <comment ref="D4" authorId="0" shapeId="0" xr:uid="{2B070FFC-DF8E-40F2-B413-7D9E17D4D3FA}">
      <text>
        <r>
          <rPr>
            <b/>
            <sz val="8"/>
            <color rgb="FF000000"/>
            <rFont val="Tahoma"/>
            <family val="2"/>
          </rPr>
          <t>Theodor Hogan:</t>
        </r>
        <r>
          <rPr>
            <sz val="8"/>
            <color rgb="FF000000"/>
            <rFont val="Tahoma"/>
            <family val="2"/>
          </rPr>
          <t xml:space="preserve">
</t>
        </r>
        <r>
          <rPr>
            <sz val="8"/>
            <color rgb="FF000000"/>
            <rFont val="Tahoma"/>
            <family val="2"/>
          </rPr>
          <t>Keep in mind that these values are updated for the interim report</t>
        </r>
      </text>
    </comment>
    <comment ref="F4" authorId="0" shapeId="0" xr:uid="{489D714C-034B-4614-AC6C-44F626824FA5}">
      <text>
        <r>
          <rPr>
            <b/>
            <sz val="8"/>
            <color rgb="FF000000"/>
            <rFont val="Tahoma"/>
            <family val="2"/>
          </rPr>
          <t>Theodor Hogan:</t>
        </r>
        <r>
          <rPr>
            <sz val="8"/>
            <color rgb="FF000000"/>
            <rFont val="Tahoma"/>
            <family val="2"/>
          </rPr>
          <t xml:space="preserve">
</t>
        </r>
        <r>
          <rPr>
            <sz val="8"/>
            <color rgb="FF000000"/>
            <rFont val="Tahoma"/>
            <family val="2"/>
          </rPr>
          <t>Keep in mind that these are updated for the interim report</t>
        </r>
      </text>
    </comment>
    <comment ref="B27" authorId="2" shapeId="0" xr:uid="{69A73DEF-E481-4D5C-8C08-7429182FC723}">
      <text>
        <t>[Threaded comment]
Your version of Excel allows you to read this threaded comment; however, any edits to it will get removed if the file is opened in a newer version of Excel. Learn more: https://go.microsoft.com/fwlink/?linkid=870924
Comment:
    The reason we decided on factsets total return numbers is that they have some of the most reliable financial data. Furthermore, as all our comparable companies data is also pulled from FactSet, this is the most fair and comparable way to caclulate the beta.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tc={B2B9FF22-9A2F-4CA9-9ABB-4C2C427B59DA}</author>
    <author>tc={A905FA82-E249-417B-BDDD-0D92401E4CCD}</author>
    <author>Theodor Hogan</author>
    <author>tc={52CB3464-3DDE-4E23-8913-78BC01C9E8E6}</author>
  </authors>
  <commentList>
    <comment ref="B7" authorId="0" shapeId="0" xr:uid="{B2B9FF22-9A2F-4CA9-9ABB-4C2C427B59DA}">
      <text>
        <t>[Threaded comment]
Your version of Excel allows you to read this threaded comment; however, any edits to it will get removed if the file is opened in a newer version of Excel. Learn more: https://go.microsoft.com/fwlink/?linkid=870924
Comment:
    Some minimum to median values are negative due to subtracting the debt. These values we assume to default to 0 that’s why there empty cells</t>
      </text>
    </comment>
    <comment ref="B32" authorId="1" shapeId="0" xr:uid="{A905FA82-E249-417B-BDDD-0D92401E4CCD}">
      <text>
        <t>[Threaded comment]
Your version of Excel allows you to read this threaded comment; however, any edits to it will get removed if the file is opened in a newer version of Excel. Learn more: https://go.microsoft.com/fwlink/?linkid=870924
Comment:
    Dynamically changes with inputs made in the “Valuations” sheet</t>
      </text>
    </comment>
    <comment ref="F54" authorId="2" shapeId="0" xr:uid="{88C3DA0B-B2A7-4FC7-8B74-F2ABF22F3F8B}">
      <text>
        <r>
          <rPr>
            <b/>
            <sz val="8"/>
            <color indexed="81"/>
            <rFont val="Tahoma"/>
            <family val="2"/>
          </rPr>
          <t>Theodor Hogan:</t>
        </r>
        <r>
          <rPr>
            <sz val="8"/>
            <color indexed="81"/>
            <rFont val="Tahoma"/>
            <family val="2"/>
          </rPr>
          <t xml:space="preserve">
At open on Monday of the weekend of Nov-1
</t>
        </r>
      </text>
    </comment>
    <comment ref="G54" authorId="2" shapeId="0" xr:uid="{B4387DCF-3B5F-4976-8BBF-5F432F0C438B}">
      <text>
        <r>
          <rPr>
            <b/>
            <sz val="8"/>
            <color indexed="81"/>
            <rFont val="Tahoma"/>
            <family val="2"/>
          </rPr>
          <t>Theodor Hogan:</t>
        </r>
        <r>
          <rPr>
            <sz val="8"/>
            <color indexed="81"/>
            <rFont val="Tahoma"/>
            <family val="2"/>
          </rPr>
          <t xml:space="preserve">
Taken from most recent interim statement Q2'25</t>
        </r>
      </text>
    </comment>
    <comment ref="J54" authorId="2" shapeId="0" xr:uid="{D9F8C7E3-0D8B-4724-AD22-028B226900C9}">
      <text>
        <r>
          <rPr>
            <b/>
            <sz val="8"/>
            <color indexed="81"/>
            <rFont val="Tahoma"/>
            <family val="2"/>
          </rPr>
          <t>Theodor Hogan:</t>
        </r>
        <r>
          <rPr>
            <sz val="8"/>
            <color indexed="81"/>
            <rFont val="Tahoma"/>
            <family val="2"/>
          </rPr>
          <t xml:space="preserve">
Taken from most recent statement Q2'25 to be comparables with peers</t>
        </r>
      </text>
    </comment>
    <comment ref="P54" authorId="2" shapeId="0" xr:uid="{AB5F1BFD-B988-4F65-92D1-0FA3DDE7755E}">
      <text>
        <r>
          <rPr>
            <b/>
            <sz val="8"/>
            <color indexed="81"/>
            <rFont val="Tahoma"/>
            <family val="2"/>
          </rPr>
          <t>Theodor Hogan:</t>
        </r>
        <r>
          <rPr>
            <sz val="8"/>
            <color indexed="81"/>
            <rFont val="Tahoma"/>
            <family val="2"/>
          </rPr>
          <t xml:space="preserve">
All revenue </t>
        </r>
      </text>
    </comment>
    <comment ref="T54" authorId="2" shapeId="0" xr:uid="{3A9E9163-BB0F-4741-8595-18DFC3E51D53}">
      <text>
        <r>
          <rPr>
            <b/>
            <sz val="8"/>
            <color indexed="81"/>
            <rFont val="Tahoma"/>
            <family val="2"/>
          </rPr>
          <t>Theodor Hogan:</t>
        </r>
        <r>
          <rPr>
            <sz val="8"/>
            <color indexed="81"/>
            <rFont val="Tahoma"/>
            <family val="2"/>
          </rPr>
          <t xml:space="preserve">
Due to a substantial switch in NWC and cost cutting measure wallstreet is expecing a large loss AND MAJOR impact from nissan losses</t>
        </r>
      </text>
    </comment>
    <comment ref="V54" authorId="2" shapeId="0" xr:uid="{8A42EEBD-AC61-4306-82BF-1237B71231E2}">
      <text>
        <r>
          <rPr>
            <b/>
            <sz val="8"/>
            <color indexed="81"/>
            <rFont val="Tahoma"/>
            <family val="2"/>
          </rPr>
          <t>Theodor Hogan:</t>
        </r>
        <r>
          <rPr>
            <sz val="8"/>
            <color indexed="81"/>
            <rFont val="Tahoma"/>
            <family val="2"/>
          </rPr>
          <t xml:space="preserve">
Hardcoded NI values taken from factset mean broker estimate. This is because our simple valuation doesn't make any predicitons about future net income</t>
        </r>
      </text>
    </comment>
    <comment ref="B100" authorId="2" shapeId="0" xr:uid="{21E51341-EF50-4841-8BF5-92278D801F61}">
      <text>
        <r>
          <rPr>
            <b/>
            <sz val="8"/>
            <color indexed="81"/>
            <rFont val="Tahoma"/>
            <family val="2"/>
          </rPr>
          <t>Theodor Hogan:</t>
        </r>
        <r>
          <rPr>
            <sz val="8"/>
            <color indexed="81"/>
            <rFont val="Tahoma"/>
            <family val="2"/>
          </rPr>
          <t xml:space="preserve">
Negative for 2025 expected by analysts</t>
        </r>
      </text>
    </comment>
    <comment ref="B107" authorId="3" shapeId="0" xr:uid="{52CB3464-3DDE-4E23-8913-78BC01C9E8E6}">
      <text>
        <t>[Threaded comment]
Your version of Excel allows you to read this threaded comment; however, any edits to it will get removed if the file is opened in a newer version of Excel. Learn more: https://go.microsoft.com/fwlink/?linkid=870924
Comment:
    Some values had to be hard coded so that the charts make sense. Otherwise the graphical repesention would be off</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Rikus van der Vegt</author>
    <author>tc={C78DFE53-A21D-4FB1-955F-1B5304C18B43}</author>
  </authors>
  <commentList>
    <comment ref="B6" authorId="0" shapeId="0" xr:uid="{8597A966-8939-4315-A457-58D05505CEF4}">
      <text>
        <r>
          <rPr>
            <b/>
            <sz val="9"/>
            <color indexed="81"/>
            <rFont val="Tahoma"/>
            <family val="2"/>
          </rPr>
          <t xml:space="preserve">Rikus van der Vegt: </t>
        </r>
        <r>
          <rPr>
            <sz val="9"/>
            <color indexed="81"/>
            <rFont val="Tahoma"/>
            <family val="2"/>
          </rPr>
          <t xml:space="preserve">Valuation Date
</t>
        </r>
      </text>
    </comment>
    <comment ref="B7" authorId="0" shapeId="0" xr:uid="{D31CFDF5-B1C9-43BE-B0BE-C1E265DD75FB}">
      <text>
        <r>
          <rPr>
            <b/>
            <sz val="9"/>
            <color indexed="81"/>
            <rFont val="Tahoma"/>
            <family val="2"/>
          </rPr>
          <t>Rikus van der Vegt:</t>
        </r>
        <r>
          <rPr>
            <sz val="9"/>
            <color indexed="81"/>
            <rFont val="Tahoma"/>
            <family val="2"/>
          </rPr>
          <t xml:space="preserve">
Fiscal Year End
</t>
        </r>
      </text>
    </comment>
    <comment ref="H8" authorId="0" shapeId="0" xr:uid="{04F6CAF4-0489-4F8F-9BDD-196D43566E5A}">
      <text>
        <r>
          <rPr>
            <b/>
            <sz val="9"/>
            <color indexed="81"/>
            <rFont val="Tahoma"/>
            <family val="2"/>
          </rPr>
          <t>Rikus van der Vegt:</t>
        </r>
        <r>
          <rPr>
            <sz val="9"/>
            <color indexed="81"/>
            <rFont val="Tahoma"/>
            <family val="2"/>
          </rPr>
          <t xml:space="preserve">
European Union Average Real GDP Growth 1996-2004</t>
        </r>
      </text>
    </comment>
    <comment ref="H9" authorId="0" shapeId="0" xr:uid="{F4FB2506-A16D-4B7D-A1C3-3D15427CFF04}">
      <text>
        <r>
          <rPr>
            <b/>
            <sz val="9"/>
            <color indexed="81"/>
            <rFont val="Tahoma"/>
            <family val="2"/>
          </rPr>
          <t>Rikus van der Vegt:</t>
        </r>
        <r>
          <rPr>
            <sz val="9"/>
            <color indexed="81"/>
            <rFont val="Tahoma"/>
            <family val="2"/>
          </rPr>
          <t xml:space="preserve">
Long term NOPAT growth rate (not recommended, seems unrealistic)</t>
        </r>
      </text>
    </comment>
    <comment ref="H10" authorId="0" shapeId="0" xr:uid="{725C07D8-94A9-40E3-988F-A4DBBBC586F4}">
      <text>
        <r>
          <rPr>
            <b/>
            <sz val="9"/>
            <color indexed="81"/>
            <rFont val="Tahoma"/>
            <family val="2"/>
          </rPr>
          <t>Rikus van der Vegt:</t>
        </r>
        <r>
          <rPr>
            <sz val="9"/>
            <color indexed="81"/>
            <rFont val="Tahoma"/>
            <family val="2"/>
          </rPr>
          <t xml:space="preserve">
Limited input range
[0, tgr-wacc)</t>
        </r>
      </text>
    </comment>
    <comment ref="B126" authorId="0" shapeId="0" xr:uid="{C7B989F6-1FBD-4BFE-A4BB-91FAFBD03658}">
      <text>
        <r>
          <rPr>
            <b/>
            <sz val="9"/>
            <color indexed="81"/>
            <rFont val="Tahoma"/>
            <family val="2"/>
          </rPr>
          <t>Rikus van der Vegt:</t>
        </r>
        <r>
          <rPr>
            <sz val="9"/>
            <color indexed="81"/>
            <rFont val="Tahoma"/>
            <family val="2"/>
          </rPr>
          <t xml:space="preserve">
shortened financial period created to capture the portion of time between two reporting dates</t>
        </r>
      </text>
    </comment>
    <comment ref="B127" authorId="0" shapeId="0" xr:uid="{526F7BCA-C4AF-4B01-9EB1-E5AA35ADEF3A}">
      <text>
        <r>
          <rPr>
            <b/>
            <sz val="9"/>
            <color indexed="81"/>
            <rFont val="Tahoma"/>
            <family val="2"/>
          </rPr>
          <t>Rikus van der Vegt:</t>
        </r>
        <r>
          <rPr>
            <sz val="9"/>
            <color indexed="81"/>
            <rFont val="Tahoma"/>
            <family val="2"/>
          </rPr>
          <t xml:space="preserve">
Using Mid-Year Convention. i.e. We assume the cashflows arrive in the middle of the year to reflect a more accurate PV, since all cashflows do not only arrive at the end of the year</t>
        </r>
      </text>
    </comment>
    <comment ref="B132" authorId="0" shapeId="0" xr:uid="{5EFE5A0C-762D-435E-BB2E-97AD56845E36}">
      <text>
        <r>
          <rPr>
            <b/>
            <sz val="9"/>
            <color indexed="81"/>
            <rFont val="Tahoma"/>
            <family val="2"/>
          </rPr>
          <t>Rikus van der Vegt:</t>
        </r>
        <r>
          <rPr>
            <sz val="9"/>
            <color indexed="81"/>
            <rFont val="Tahoma"/>
            <family val="2"/>
          </rPr>
          <t xml:space="preserve">
TV is treated as an Annuity and discounted accordingly
PV of TV is discounted assuming the cashflow of the TV would arrive at the end of the last year</t>
        </r>
      </text>
    </comment>
    <comment ref="B138" authorId="1" shapeId="0" xr:uid="{C78DFE53-A21D-4FB1-955F-1B5304C18B43}">
      <text>
        <t>[Threaded comment]
Your version of Excel allows you to read this threaded comment; however, any edits to it will get removed if the file is opened in a newer version of Excel. Learn more: https://go.microsoft.com/fwlink/?linkid=870924
Comment:
    As the Investments in associated was negative for the year this value also is negative. IN 2025 they also had a massive write down of 11 billion due nissan. Although the implementation here is not perfect, we believe that currently and going forward the Nissan partnership hasn’t added value to net income consistently. That’s why we believe it is justified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tc={2AE9B453-98F4-4DCB-962A-37863FF1B77E}</author>
    <author>tc={1ADF9D48-1928-4F9E-98F4-F4516973C0D7}</author>
    <author>tc={47F9900A-449A-4A22-947A-A44DF9F039D4}</author>
  </authors>
  <commentList>
    <comment ref="B6" authorId="0" shapeId="0" xr:uid="{2AE9B453-98F4-4DCB-962A-37863FF1B77E}">
      <text>
        <t xml:space="preserve">[Threaded comment]
Your version of Excel allows you to read this threaded comment; however, any edits to it will get removed if the file is opened in a newer version of Excel. Learn more: https://go.microsoft.com/fwlink/?linkid=870924
Comment:
    Taken from Workshop week 3
</t>
      </text>
    </comment>
    <comment ref="U6" authorId="1" shapeId="0" xr:uid="{1ADF9D48-1928-4F9E-98F4-F4516973C0D7}">
      <text>
        <t>[Threaded comment]
Your version of Excel allows you to read this threaded comment; however, any edits to it will get removed if the file is opened in a newer version of Excel. Learn more: https://go.microsoft.com/fwlink/?linkid=870924
Comment:
    Long-term assumption</t>
      </text>
    </comment>
    <comment ref="B17" authorId="2" shapeId="0" xr:uid="{47F9900A-449A-4A22-947A-A44DF9F039D4}">
      <text>
        <t>[Threaded comment]
Your version of Excel allows you to read this threaded comment; however, any edits to it will get removed if the file is opened in a newer version of Excel. Learn more: https://go.microsoft.com/fwlink/?linkid=870924
Comment:
    https://tradingeconomics.com/france/corporate-tax-rate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Jorick Stoel</author>
  </authors>
  <commentList>
    <comment ref="B23" authorId="0" shapeId="0" xr:uid="{5C9FFA53-5115-0344-AB38-6335C7252907}">
      <text>
        <r>
          <rPr>
            <b/>
            <sz val="10"/>
            <color rgb="FF000000"/>
            <rFont val="Tahoma"/>
            <family val="2"/>
          </rPr>
          <t>Jorick Stoel:</t>
        </r>
        <r>
          <rPr>
            <sz val="10"/>
            <color rgb="FF000000"/>
            <rFont val="Tahoma"/>
            <family val="2"/>
          </rPr>
          <t xml:space="preserve">
</t>
        </r>
        <r>
          <rPr>
            <sz val="10"/>
            <color rgb="FF000000"/>
            <rFont val="Arial"/>
            <family val="2"/>
          </rPr>
          <t>Sales Financing receivables have been excluded from this calculation as they are interest-bearing loans, not operating trade receivables. Including them would distort the trade receivables days metric and misrepresent operational efficiency.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tc={C16E509A-382A-4322-B6BB-2DE73CAFA2D1}</author>
    <author>tc={5B74458B-6486-4E86-B284-2E155FFD427E}</author>
  </authors>
  <commentList>
    <comment ref="R15" authorId="0" shapeId="0" xr:uid="{C16E509A-382A-4322-B6BB-2DE73CAFA2D1}">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5B74458B-6486-4E86-B284-2E155FFD427E}">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tc={ADDBC511-4830-4DB8-819A-8AF563672894}</author>
    <author>tc={31B21091-E8BE-4B8D-B86E-6F99B753CF4B}</author>
  </authors>
  <commentList>
    <comment ref="R15" authorId="0" shapeId="0" xr:uid="{ADDBC511-4830-4DB8-819A-8AF563672894}">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1B21091-E8BE-4B8D-B86E-6F99B753CF4B}">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tc={DA88985C-2590-4071-9D9D-71C325A8651B}</author>
    <author>tc={3F3ED532-8931-482B-885A-B8B668E25B72}</author>
  </authors>
  <commentList>
    <comment ref="R15" authorId="0" shapeId="0" xr:uid="{DA88985C-2590-4071-9D9D-71C325A8651B}">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F3ED532-8931-482B-885A-B8B668E25B72}">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tc={2A9E5777-9BA3-4016-BFD7-B69191744487}</author>
    <author>tc={1E4DA9DB-89EC-47BB-8976-9BBB9FBC415C}</author>
  </authors>
  <commentList>
    <comment ref="R15" authorId="0" shapeId="0" xr:uid="{2A9E5777-9BA3-4016-BFD7-B69191744487}">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1E4DA9DB-89EC-47BB-8976-9BBB9FBC415C}">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tc={4436AA20-4F17-40C5-A14C-533A787EAE27}</author>
    <author>tc={3A2B8FC4-8E31-44EC-AC12-831CA06B77CA}</author>
  </authors>
  <commentList>
    <comment ref="R15" authorId="0" shapeId="0" xr:uid="{4436AA20-4F17-40C5-A14C-533A787EAE27}">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A2B8FC4-8E31-44EC-AC12-831CA06B77CA}">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tc={D3AA08F7-E63A-4FB2-B5F2-872928328554}</author>
    <author>tc={6859ED32-E2DA-4084-9AED-B22C9D3C35E0}</author>
  </authors>
  <commentList>
    <comment ref="R15" authorId="0" shapeId="0" xr:uid="{D3AA08F7-E63A-4FB2-B5F2-872928328554}">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6859ED32-E2DA-4084-9AED-B22C9D3C35E0}">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tc={E7F41CB5-BFB8-4B98-84D4-3A440F1CF3F6}</author>
    <author>tc={A65AD430-EF4A-40C5-B30A-86633CB4EEC7}</author>
  </authors>
  <commentList>
    <comment ref="R15" authorId="0" shapeId="0" xr:uid="{E7F41CB5-BFB8-4B98-84D4-3A440F1CF3F6}">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A65AD430-EF4A-40C5-B30A-86633CB4EEC7}">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tc={81A96864-E51E-4891-AF18-00A4C41ECD2A}</author>
    <author>tc={3262B62B-F15B-4651-BBB2-5235166AEF91}</author>
  </authors>
  <commentList>
    <comment ref="R15" authorId="0" shapeId="0" xr:uid="{81A96864-E51E-4891-AF18-00A4C41ECD2A}">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3262B62B-F15B-4651-BBB2-5235166AEF91}">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tc={9A401984-CA85-4836-A18C-8E1B92215D6D}</author>
    <author>tc={BCA33669-2F62-40A5-896F-1EE6F6807DF2}</author>
  </authors>
  <commentList>
    <comment ref="R15" authorId="0" shapeId="0" xr:uid="{9A401984-CA85-4836-A18C-8E1B92215D6D}">
      <text>
        <t>[Threaded comment]
Your version of Excel allows you to read this threaded comment; however, any edits to it will get removed if the file is opened in a newer version of Excel. Learn more: https://go.microsoft.com/fwlink/?linkid=870924
Comment:
    FCF is LTM based, makes most sense if we want to incorporate FCF yield (income statement mixed with balancesheet ratio)</t>
      </text>
    </comment>
    <comment ref="B30" authorId="1" shapeId="0" xr:uid="{BCA33669-2F62-40A5-896F-1EE6F6807DF2}">
      <text>
        <t>[Threaded comment]
Your version of Excel allows you to read this threaded comment; however, any edits to it will get removed if the file is opened in a newer version of Excel. Learn more: https://go.microsoft.com/fwlink/?linkid=870924
Comment:
    Last Twelve Months Chosen because it best reflects the most recent annual return on equity, FY ending would be outdated. General rule for Income Statement mixed with Balance Sheet ratio!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<sst xmlns="http://schemas.openxmlformats.org/spreadsheetml/2006/main" count="1526" uniqueCount="727">
  <si>
    <t>This sheet contains FactSet XML data for use with this workbook's =FDS codes.  Modifying the worksheet's contents may damage the workbook's =FDS functionality.</t>
  </si>
  <si>
    <t>Price for Renault Group</t>
  </si>
  <si>
    <t>Rotterdam School of Management</t>
  </si>
  <si>
    <t>Msc. Finance &amp; Investment</t>
  </si>
  <si>
    <t>Last Update:</t>
  </si>
  <si>
    <t>Authors: Jordy Dikken (673670), Jorick Stoel (694007),</t>
  </si>
  <si>
    <t>Rikus van der Vegt (666665) &amp; Theodor Hogan (754441)</t>
  </si>
  <si>
    <t>Note:</t>
  </si>
  <si>
    <t xml:space="preserve">Format: </t>
  </si>
  <si>
    <t>Hardcode</t>
  </si>
  <si>
    <t>XXX</t>
  </si>
  <si>
    <t>Sheet Link</t>
  </si>
  <si>
    <t>Ext. Link</t>
  </si>
  <si>
    <t>Note: FactSet live links have been broken for compatability.</t>
  </si>
  <si>
    <t>Mixed Formula</t>
  </si>
  <si>
    <t>Assumptions</t>
  </si>
  <si>
    <t>Font</t>
  </si>
  <si>
    <t>Arial</t>
  </si>
  <si>
    <t>Default</t>
  </si>
  <si>
    <t>10 pt</t>
  </si>
  <si>
    <t>Input Field</t>
  </si>
  <si>
    <t>[Input]</t>
  </si>
  <si>
    <t xml:space="preserve"> </t>
  </si>
  <si>
    <t>Basics</t>
  </si>
  <si>
    <t>Company</t>
  </si>
  <si>
    <t>Renault SA</t>
  </si>
  <si>
    <t>$/Share Estimate Deadline</t>
  </si>
  <si>
    <t>Final Document Deadline</t>
  </si>
  <si>
    <t>OUR DEADLINE</t>
  </si>
  <si>
    <t>Grading Rubric</t>
  </si>
  <si>
    <t>Team Members</t>
  </si>
  <si>
    <t>ID</t>
  </si>
  <si>
    <t>Abbreviation</t>
  </si>
  <si>
    <t>Jordy Dikken</t>
  </si>
  <si>
    <t>JD</t>
  </si>
  <si>
    <t>Jorick Stoel</t>
  </si>
  <si>
    <t>JS</t>
  </si>
  <si>
    <t>Rikus  van der Vegt</t>
  </si>
  <si>
    <t>RV</t>
  </si>
  <si>
    <t>Theodor Hogan</t>
  </si>
  <si>
    <t>TH</t>
  </si>
  <si>
    <t>Evaluation Criterion</t>
  </si>
  <si>
    <t>Weight</t>
  </si>
  <si>
    <t>Reorganizing balancsheet and income statement</t>
  </si>
  <si>
    <t>Adjustments to income statement and balancesheet; calculating key ratios</t>
  </si>
  <si>
    <t xml:space="preserve">JD </t>
  </si>
  <si>
    <t>Projections of future cash cashflows and continuing (i.e. stable) growth rate</t>
  </si>
  <si>
    <t>TH, RV</t>
  </si>
  <si>
    <t>Estimating the cost of debt, cost of equity, cost of capital</t>
  </si>
  <si>
    <t>JD,  JS</t>
  </si>
  <si>
    <t>Implemeting WACC; appropriate post DCF value adj. to estime $/shr</t>
  </si>
  <si>
    <t xml:space="preserve">Sensititivity analysis </t>
  </si>
  <si>
    <t>Correctly identifiying peers and implementing multiples valuation</t>
  </si>
  <si>
    <t>General presentation and readability of Excel file</t>
  </si>
  <si>
    <t>JD, JS, RV, TH</t>
  </si>
  <si>
    <t>Total</t>
  </si>
  <si>
    <t>Income Statement</t>
  </si>
  <si>
    <t>Income Statement Adjusted and Reorganized</t>
  </si>
  <si>
    <t>All figures in  EUR(€) millions unless stated</t>
  </si>
  <si>
    <t>Revenues</t>
  </si>
  <si>
    <t>Cost of sales (excl. D&amp;A exp.)</t>
  </si>
  <si>
    <t>Gross profit</t>
  </si>
  <si>
    <t>Total SGA + other operating expenses (excl. D&amp;A)</t>
  </si>
  <si>
    <t>EBITDA</t>
  </si>
  <si>
    <t>Depreciation expenses</t>
  </si>
  <si>
    <t>Depreciation on right-of-use assets (i.e., operating lease assets)</t>
  </si>
  <si>
    <t>EBITA</t>
  </si>
  <si>
    <t>Amortization expenses</t>
  </si>
  <si>
    <t>EBIT before non-recurring items</t>
  </si>
  <si>
    <t>Adjustments to Income Statement</t>
  </si>
  <si>
    <t>Operating lease costs expensed</t>
  </si>
  <si>
    <t xml:space="preserve">Interest expense on right-of-use asset (i.e., operating lease asset) </t>
  </si>
  <si>
    <t xml:space="preserve">Depreciation expense on right-of-use asset (i.e., operating lease asset) </t>
  </si>
  <si>
    <t>Revenue Breakdown and Forecast unadj.</t>
  </si>
  <si>
    <t>Total Automotive</t>
  </si>
  <si>
    <t xml:space="preserve">ACEA Europe </t>
  </si>
  <si>
    <t xml:space="preserve">Eurasia </t>
  </si>
  <si>
    <t xml:space="preserve">Africa &amp; Middle East </t>
  </si>
  <si>
    <t>Asia-Pacific</t>
  </si>
  <si>
    <t>Americas</t>
  </si>
  <si>
    <t>Total Sales Financing</t>
  </si>
  <si>
    <t>Total Mobility Services</t>
  </si>
  <si>
    <t>Income Statement Historical IFRS</t>
  </si>
  <si>
    <t>Cost of goods and services sold</t>
  </si>
  <si>
    <t>Research and development expenses</t>
  </si>
  <si>
    <t>Selling, general and administrative expenses</t>
  </si>
  <si>
    <t>Operating margin</t>
  </si>
  <si>
    <t>Other operating income and expenses</t>
  </si>
  <si>
    <t>Other operating income</t>
  </si>
  <si>
    <t>Other operating expenses</t>
  </si>
  <si>
    <t>Operating income / loss</t>
  </si>
  <si>
    <t>Financial income / expenses</t>
  </si>
  <si>
    <t>Cost of gross financial indebtedness</t>
  </si>
  <si>
    <t>Income on cash and financial assets</t>
  </si>
  <si>
    <t>Other financial income and expenses</t>
  </si>
  <si>
    <t>Share in net income / loss of associates and joint ventures</t>
  </si>
  <si>
    <t>Nissan</t>
  </si>
  <si>
    <t>Volvo</t>
  </si>
  <si>
    <t>Other associates and joint ventures</t>
  </si>
  <si>
    <t>Pre-tax income</t>
  </si>
  <si>
    <t>Current and deferred taxes</t>
  </si>
  <si>
    <t>Net income from continuing operations</t>
  </si>
  <si>
    <t>Net income from discontinued operations</t>
  </si>
  <si>
    <t>Net income from discontinued operations - parent-company shareholders share</t>
  </si>
  <si>
    <t>Net income from discontinued operations - non-controlling interests share</t>
  </si>
  <si>
    <t>Net income or loss</t>
  </si>
  <si>
    <t>Net income / loss - non-controlling interests' share</t>
  </si>
  <si>
    <t>Net income - parent company shareholders' share</t>
  </si>
  <si>
    <t>Per share</t>
  </si>
  <si>
    <t>Basic</t>
  </si>
  <si>
    <t>Continuing operations</t>
  </si>
  <si>
    <t>Discontinued operations</t>
  </si>
  <si>
    <t>Diluted</t>
  </si>
  <si>
    <t>Weighted average shares</t>
  </si>
  <si>
    <t>Balance Sheet</t>
  </si>
  <si>
    <t>Balance Sheet Adjusted and Reorganized</t>
  </si>
  <si>
    <t>Operating fixed assets</t>
  </si>
  <si>
    <t>Operating net working capital</t>
  </si>
  <si>
    <t>Sales financing recievables</t>
  </si>
  <si>
    <t>Automotive recivable &amp; other current assets (excl. tax and current tax due)</t>
  </si>
  <si>
    <t>Trade payables (current)</t>
  </si>
  <si>
    <t>Operating Liabilities</t>
  </si>
  <si>
    <t>Net deferred tax liabilities associated with operating ítems</t>
  </si>
  <si>
    <t>Tax Liabilitity</t>
  </si>
  <si>
    <t>Operating provisions (non-current + current)</t>
  </si>
  <si>
    <t>Other liabilities (non-current + current)</t>
  </si>
  <si>
    <t>Operating Capital</t>
  </si>
  <si>
    <t>Non-operating assets</t>
  </si>
  <si>
    <t>Non current finacial assets + marketable securities + loans and others</t>
  </si>
  <si>
    <t>Deferred tax assets associated with tax loss carry forwards</t>
  </si>
  <si>
    <t>Tax recievable (current taxes + excl. current due)</t>
  </si>
  <si>
    <t>Assets held for sale</t>
  </si>
  <si>
    <t>Non-operating liabilities</t>
  </si>
  <si>
    <t>Pension provisions (non-current + current)</t>
  </si>
  <si>
    <t>Liabilities related to assets held for sales</t>
  </si>
  <si>
    <t>Net deferred tax liabilities with non-operating items</t>
  </si>
  <si>
    <t>Total capital</t>
  </si>
  <si>
    <t>Equity &amp; other financial liabilities</t>
  </si>
  <si>
    <t>Equity</t>
  </si>
  <si>
    <t>Other financial liabilities</t>
  </si>
  <si>
    <t>Financial liabilities (non-current + current)</t>
  </si>
  <si>
    <t>check</t>
  </si>
  <si>
    <t>Adjustments to Balancesheets</t>
  </si>
  <si>
    <t>Non-current tangible assets</t>
  </si>
  <si>
    <t>Non-current debt</t>
  </si>
  <si>
    <t>Balance Sheet Historical IFRS</t>
  </si>
  <si>
    <t>Total assets</t>
  </si>
  <si>
    <t>Total non-current assets</t>
  </si>
  <si>
    <t>Intangible assets and goodwill</t>
  </si>
  <si>
    <t>Property, plant and equipment</t>
  </si>
  <si>
    <t>Investments in associates and joint ventures</t>
  </si>
  <si>
    <t>Non-current financial assets</t>
  </si>
  <si>
    <t>Deferred tax assets</t>
  </si>
  <si>
    <t>Operating/non operating</t>
  </si>
  <si>
    <t>Other non-current assets</t>
  </si>
  <si>
    <t>Total current assets</t>
  </si>
  <si>
    <t>Inventories</t>
  </si>
  <si>
    <t>Sales financing receivables</t>
  </si>
  <si>
    <t>Automotive receivables</t>
  </si>
  <si>
    <t>Current financial assets</t>
  </si>
  <si>
    <t>Marketable  securities and negotiable debt instruments</t>
  </si>
  <si>
    <t>Derivatives of financing operations by the Automotive segment</t>
  </si>
  <si>
    <t>Loans and others</t>
  </si>
  <si>
    <t>Other current assets</t>
  </si>
  <si>
    <t>Current tax assets</t>
  </si>
  <si>
    <t>Other current assets excluding current tax assets</t>
  </si>
  <si>
    <t>Cash and cash equivalents</t>
  </si>
  <si>
    <t>Operating Cash</t>
  </si>
  <si>
    <t>Excess Cash</t>
  </si>
  <si>
    <t>non-operating assets</t>
  </si>
  <si>
    <t>Cash not available to Group</t>
  </si>
  <si>
    <t>NOT RELEVANT</t>
  </si>
  <si>
    <t>Total shareholders' equity and liabilities</t>
  </si>
  <si>
    <t>Total shareholders' equity</t>
  </si>
  <si>
    <t>Shareholders' equity - parent-company shareholders' share</t>
  </si>
  <si>
    <t>Share capital</t>
  </si>
  <si>
    <t>Share premium</t>
  </si>
  <si>
    <t>Treasury shares</t>
  </si>
  <si>
    <t>Revaluation of financial instruments</t>
  </si>
  <si>
    <t>Translation adjustment</t>
  </si>
  <si>
    <t>Reserves</t>
  </si>
  <si>
    <t>Net income - parent-company shareholders' share</t>
  </si>
  <si>
    <t>Shareholders' equity - non-controlling interests' share</t>
  </si>
  <si>
    <t>Total non-current liabilities</t>
  </si>
  <si>
    <t>Deferred tax liabilities</t>
  </si>
  <si>
    <t>Operating/Non-operating liabilities</t>
  </si>
  <si>
    <t>Provisions - long-term</t>
  </si>
  <si>
    <t>Provisions for pension and other long-term employee benefit obligations - long-term</t>
  </si>
  <si>
    <t>Other provisions - long-term</t>
  </si>
  <si>
    <t>Other provisions - long-term excluding provisions for uncertain tax liabilities - long-term</t>
  </si>
  <si>
    <t xml:space="preserve">Operating liabilities </t>
  </si>
  <si>
    <t>Provisions for uncertain tax liabilities - long-term</t>
  </si>
  <si>
    <t>Non-current financial liabilities</t>
  </si>
  <si>
    <t xml:space="preserve">Other financial liabilities </t>
  </si>
  <si>
    <t>Other non-current liabilities</t>
  </si>
  <si>
    <t>Total current liabilities</t>
  </si>
  <si>
    <t>Provisions - short-term</t>
  </si>
  <si>
    <t>Provisions for pension and other long-term employee benefit obligations - short-term</t>
  </si>
  <si>
    <t>Other provisions - short-term</t>
  </si>
  <si>
    <t>Other provisions - short-term excluding provisions for uncertain tax liabilities - short-term</t>
  </si>
  <si>
    <t>Provisions for uncertain tax liabilities - short-term</t>
  </si>
  <si>
    <t>Current financial liabilities</t>
  </si>
  <si>
    <t>Sales financing debts</t>
  </si>
  <si>
    <t>Trade payables</t>
  </si>
  <si>
    <t>Current tax liabilities</t>
  </si>
  <si>
    <t>Other current liabilities</t>
  </si>
  <si>
    <t>Liabilities related to assets held for sale</t>
  </si>
  <si>
    <t>Adjustment Calculations</t>
  </si>
  <si>
    <t>Operating Lease Adjustment</t>
  </si>
  <si>
    <t>Operating Lease (Off BS)</t>
  </si>
  <si>
    <t>&lt; 1yr</t>
  </si>
  <si>
    <t>Note 28, 2018, 2016</t>
  </si>
  <si>
    <t>1 to 5 yrs</t>
  </si>
  <si>
    <t>&gt;5yrs</t>
  </si>
  <si>
    <t>Interest Rate</t>
  </si>
  <si>
    <t>Note 2-A2, 2019 Annual Report</t>
  </si>
  <si>
    <t>Actual Lease PMT</t>
  </si>
  <si>
    <t>Tax Rate</t>
  </si>
  <si>
    <t>France income tax rate mentioned for calculation</t>
  </si>
  <si>
    <t>Operating Lease Payments in:</t>
  </si>
  <si>
    <t>Total Present Value</t>
  </si>
  <si>
    <t xml:space="preserve">Present Value Yr 2 </t>
  </si>
  <si>
    <t>Increase in lease liability over the year</t>
  </si>
  <si>
    <t>Adjustments</t>
  </si>
  <si>
    <t>Adj. to Income Statement</t>
  </si>
  <si>
    <t>Lease expense</t>
  </si>
  <si>
    <t>Other financial income and expenses - Interest expense on operating lease</t>
  </si>
  <si>
    <t>Other operating income/(expenses) - Depreciation of operating lease asset</t>
  </si>
  <si>
    <t>Adj to Balance Sheet</t>
  </si>
  <si>
    <t>Tangible assets (PPE)</t>
  </si>
  <si>
    <t xml:space="preserve">Beginning of period </t>
  </si>
  <si>
    <t>Capital expenditure (Spending on organic growth)</t>
  </si>
  <si>
    <t>Disposals net reversals</t>
  </si>
  <si>
    <t>Depreciation &amp; impairment</t>
  </si>
  <si>
    <t>Revaluations/adjustments/transfers</t>
  </si>
  <si>
    <t>End of period value</t>
  </si>
  <si>
    <t>Reinvestments</t>
  </si>
  <si>
    <t>Intangible assets &amp; Goodwill</t>
  </si>
  <si>
    <t>Amortization &amp; impairment</t>
  </si>
  <si>
    <t>Revenue and Cost Forecast</t>
  </si>
  <si>
    <t>Automotive Segment</t>
  </si>
  <si>
    <t>Automotive Revenue (nominal €)</t>
  </si>
  <si>
    <t>% Change</t>
  </si>
  <si>
    <t>Average Selling Price EUR(nominal €)</t>
  </si>
  <si>
    <t>Average Selling Price EUR(real €)</t>
  </si>
  <si>
    <t>Automotive Volume</t>
  </si>
  <si>
    <t>Automotive Revenue ACEA Europe (nominal €)</t>
  </si>
  <si>
    <t>Automotive Revenue ACEA Europe (real €)</t>
  </si>
  <si>
    <t>ACEA Europe Volume</t>
  </si>
  <si>
    <t>Automotive Revenue Eurasia (nominal €)</t>
  </si>
  <si>
    <t>Automotive Revenue Eurasia (real €)</t>
  </si>
  <si>
    <t>Eurasia Volume</t>
  </si>
  <si>
    <t>Automotive Revenue Africa &amp; Middle East (nominal €)</t>
  </si>
  <si>
    <t>Automotive Revenue Africa &amp; Middle East (real €)</t>
  </si>
  <si>
    <t>Africa &amp; Middle East Volume</t>
  </si>
  <si>
    <t>Automotive Revenue Asia-Pacific (nomial €)</t>
  </si>
  <si>
    <t>Automotive Revenue Asia-Pacific (real €)</t>
  </si>
  <si>
    <t>Asia-Pacific Volume</t>
  </si>
  <si>
    <t>Automotive Revenue Americas (nominal €)</t>
  </si>
  <si>
    <t>Automotive Revenue Americas (real €)</t>
  </si>
  <si>
    <t>Americas Volume</t>
  </si>
  <si>
    <t>Automotive Operating Income (nominal €)</t>
  </si>
  <si>
    <t>% Automotive Revenue</t>
  </si>
  <si>
    <t>Cost of Goods Sold (nominal €)</t>
  </si>
  <si>
    <t>Estimated SGA expenses + other operating expenses based on COGS (nominal €)</t>
  </si>
  <si>
    <t>Average Cost of Goods Sold per Automotive (real €)</t>
  </si>
  <si>
    <t>Average SGA expenses + other operating expenses per Automotive (real €)</t>
  </si>
  <si>
    <t>Sales Financing Segment</t>
  </si>
  <si>
    <t>Sales Financing Revenue</t>
  </si>
  <si>
    <t>Assumptions for Sales Financing Balancesheet Utilization</t>
  </si>
  <si>
    <t>Revenue Yield per APA/AEA Penetration</t>
  </si>
  <si>
    <t>Pentration per APA/AEA</t>
  </si>
  <si>
    <t>Average Performing Assets (APA/AEA)</t>
  </si>
  <si>
    <t>Penetration Rate</t>
  </si>
  <si>
    <t>Sales Financing Operating Income (nominal €)</t>
  </si>
  <si>
    <t>% Sales Financing Revenue</t>
  </si>
  <si>
    <t>Estimated SGA expenses + other operating expenses based on operating income (nominal €)</t>
  </si>
  <si>
    <t>Mobility Services Segment</t>
  </si>
  <si>
    <t>Mobility Services Revenue</t>
  </si>
  <si>
    <t>Mobilitiy Services Operating Income (nominal €)</t>
  </si>
  <si>
    <t>% Mobility Services Revenue</t>
  </si>
  <si>
    <t>Reinvestments Forecast</t>
  </si>
  <si>
    <t>Reinvestments &amp; depreciation of tangible assets (PPE)</t>
  </si>
  <si>
    <t xml:space="preserve">Depreciation in PPE as a % of BOP PPE </t>
  </si>
  <si>
    <t>Depreciation in PPE as a % of net sales</t>
  </si>
  <si>
    <t>Tangible assets turnover</t>
  </si>
  <si>
    <t>Reinvestments as a % of BOP PPE</t>
  </si>
  <si>
    <t>Reinvestments as a % of net sales</t>
  </si>
  <si>
    <t>Net reinvestments in PPE as a % net sales</t>
  </si>
  <si>
    <t>Reinvestments &amp; amortization of intangible assets &amp; Goodwill</t>
  </si>
  <si>
    <t>Amortization in intangible as a % of BOP intangibles</t>
  </si>
  <si>
    <t>Amortization in intangible as a % of net sales</t>
  </si>
  <si>
    <t>Intangible asset turnover</t>
  </si>
  <si>
    <t>Reinvestments in intagible assets as a % of BOP intangibles</t>
  </si>
  <si>
    <t>Reinvestments in intagible assets as a % of net sales</t>
  </si>
  <si>
    <t>Net reinvestments in intangible assets as a % of net sales</t>
  </si>
  <si>
    <t>Other non-current assets Forecasted % is the average of relevant years</t>
  </si>
  <si>
    <t>Intangible assets, Goodwill, and other non-current Assets</t>
  </si>
  <si>
    <t>Reinvesting Operating net working capital</t>
  </si>
  <si>
    <t>Days in Period</t>
  </si>
  <si>
    <t>(Days)</t>
  </si>
  <si>
    <t>Operating Cash as a % of AR</t>
  </si>
  <si>
    <t>Reinvessting Other operating assets &amp; liabilities</t>
  </si>
  <si>
    <t>Operating Liabilities as a % of net sales</t>
  </si>
  <si>
    <t>As a % of Total Operating Liabilities:</t>
  </si>
  <si>
    <t xml:space="preserve">Net deferred tax liabilities associated with operating items </t>
  </si>
  <si>
    <t xml:space="preserve">Tax Liabilitity </t>
  </si>
  <si>
    <t>Other operating assets &amp; liabilities</t>
  </si>
  <si>
    <t>Net deferred tax liabilities associated with operating items</t>
  </si>
  <si>
    <t>Levered β Assumptions</t>
  </si>
  <si>
    <t>Macro Factors</t>
  </si>
  <si>
    <t>Country Equity Risk Premium Calculation</t>
  </si>
  <si>
    <t>Method</t>
  </si>
  <si>
    <t>β</t>
  </si>
  <si>
    <t>Terminal</t>
  </si>
  <si>
    <t xml:space="preserve">Country </t>
  </si>
  <si>
    <t>ERP</t>
  </si>
  <si>
    <t>GDP 2023</t>
  </si>
  <si>
    <t>Weight GDP</t>
  </si>
  <si>
    <t>Regression</t>
  </si>
  <si>
    <t>EU inflation</t>
  </si>
  <si>
    <t>Austria</t>
  </si>
  <si>
    <t>Bottom-up</t>
  </si>
  <si>
    <t>Risk-free rate</t>
  </si>
  <si>
    <t>Belgium</t>
  </si>
  <si>
    <t>WA β</t>
  </si>
  <si>
    <t>Expected loss from default</t>
  </si>
  <si>
    <t>Bulgaria</t>
  </si>
  <si>
    <t>Croatia</t>
  </si>
  <si>
    <t>Debt to Equity Forecast</t>
  </si>
  <si>
    <t>Assumptions for Cost of Equity</t>
  </si>
  <si>
    <t>Cyprus</t>
  </si>
  <si>
    <t>Year</t>
  </si>
  <si>
    <t>Ratio</t>
  </si>
  <si>
    <t>Czech Republic</t>
  </si>
  <si>
    <t>Explainer</t>
  </si>
  <si>
    <t>Levered β</t>
  </si>
  <si>
    <t>Denmark</t>
  </si>
  <si>
    <t>Estonia</t>
  </si>
  <si>
    <t>Equity risk premium</t>
  </si>
  <si>
    <t>Finland</t>
  </si>
  <si>
    <t>Cost of Equity</t>
  </si>
  <si>
    <t>France</t>
  </si>
  <si>
    <t>Germany</t>
  </si>
  <si>
    <t>Assumptions for Cost of Debt</t>
  </si>
  <si>
    <t>Greece</t>
  </si>
  <si>
    <t>Hungary</t>
  </si>
  <si>
    <t>Accounting cost of debt adj.</t>
  </si>
  <si>
    <t>Ireland</t>
  </si>
  <si>
    <t>Credit Spread</t>
  </si>
  <si>
    <t>Italy</t>
  </si>
  <si>
    <t>Latvia</t>
  </si>
  <si>
    <t>Cost of Debt</t>
  </si>
  <si>
    <t>Lithuania</t>
  </si>
  <si>
    <t>Luxembourg</t>
  </si>
  <si>
    <t>WACC</t>
  </si>
  <si>
    <t>Malta</t>
  </si>
  <si>
    <t>Netherlands</t>
  </si>
  <si>
    <t>Weight of equity</t>
  </si>
  <si>
    <t>Poland</t>
  </si>
  <si>
    <t>Portugal</t>
  </si>
  <si>
    <t>Weight of Debt</t>
  </si>
  <si>
    <t>Romania</t>
  </si>
  <si>
    <t>Slovakia</t>
  </si>
  <si>
    <t>Slovenia</t>
  </si>
  <si>
    <t>Spain</t>
  </si>
  <si>
    <t>Sweden</t>
  </si>
  <si>
    <t>Total GDP</t>
  </si>
  <si>
    <t>Weighted average  ERP by GDP</t>
  </si>
  <si>
    <t>Best Case</t>
  </si>
  <si>
    <t>Base Case</t>
  </si>
  <si>
    <t>Worst Case</t>
  </si>
  <si>
    <t>Debt and Ratings</t>
  </si>
  <si>
    <t>Risk-free Rate Assumptions</t>
  </si>
  <si>
    <t>Debt Breakdown 2024</t>
  </si>
  <si>
    <t>Synthetic rating</t>
  </si>
  <si>
    <t>Instantaneous Forward AAA EU gov. bonds</t>
  </si>
  <si>
    <t>Non-current</t>
  </si>
  <si>
    <t>Current</t>
  </si>
  <si>
    <t>If interest coverage ratio is greater than</t>
  </si>
  <si>
    <t>to ≤</t>
  </si>
  <si>
    <t>Rating</t>
  </si>
  <si>
    <t>Spread</t>
  </si>
  <si>
    <t>Debt-Recovery Rates</t>
  </si>
  <si>
    <t>Drop in EBITDA</t>
  </si>
  <si>
    <t>EURIBOR 3 month swap futures</t>
  </si>
  <si>
    <t xml:space="preserve">Renault SA redeemable shares </t>
  </si>
  <si>
    <t>Aaa/AAA</t>
  </si>
  <si>
    <t>Bonds</t>
  </si>
  <si>
    <t>Aa2/AA</t>
  </si>
  <si>
    <t>Instantaneous weight</t>
  </si>
  <si>
    <t>Other debt represented by certificate</t>
  </si>
  <si>
    <t>A1/A+</t>
  </si>
  <si>
    <t>EURIBOR weight</t>
  </si>
  <si>
    <t>Borrowings from credit institutions</t>
  </si>
  <si>
    <t>A2/A</t>
  </si>
  <si>
    <t>Weighted average implied risk-free rate</t>
  </si>
  <si>
    <t>Lease liabilities</t>
  </si>
  <si>
    <t>A3/A-</t>
  </si>
  <si>
    <t>Baa2/BBB</t>
  </si>
  <si>
    <t>Derivatives on financing</t>
  </si>
  <si>
    <t>Ba1/BB+</t>
  </si>
  <si>
    <t>Financial liabilities internal</t>
  </si>
  <si>
    <t>Ba2/BB</t>
  </si>
  <si>
    <t>Subordinated loans Diac</t>
  </si>
  <si>
    <t>B1/B+</t>
  </si>
  <si>
    <t>Total Financial Liabilities</t>
  </si>
  <si>
    <t>B2/B</t>
  </si>
  <si>
    <t>B3/B-</t>
  </si>
  <si>
    <t>Gross cost of financial indebtness</t>
  </si>
  <si>
    <t>Caa/CCC</t>
  </si>
  <si>
    <t>Implied rate of financial debt</t>
  </si>
  <si>
    <t>Ca2/CC</t>
  </si>
  <si>
    <t>C2/C</t>
  </si>
  <si>
    <t>D2/D</t>
  </si>
  <si>
    <t>Renault Credit Rating Details</t>
  </si>
  <si>
    <t>Synthetic Rating Spread</t>
  </si>
  <si>
    <t>Rating Agency</t>
  </si>
  <si>
    <t>Date</t>
  </si>
  <si>
    <t>S&amp;P</t>
  </si>
  <si>
    <t>BB+</t>
  </si>
  <si>
    <t>Interest coverage ratio</t>
  </si>
  <si>
    <t>Spread based financials</t>
  </si>
  <si>
    <t>Avg. pread based on rating</t>
  </si>
  <si>
    <t>WA spread</t>
  </si>
  <si>
    <t>Comparable Companies Unlevered Beta Calculation</t>
  </si>
  <si>
    <t>Companies</t>
  </si>
  <si>
    <t xml:space="preserve">€/ Share </t>
  </si>
  <si>
    <t>FD Shares</t>
  </si>
  <si>
    <t>Market Cap</t>
  </si>
  <si>
    <t>Total Debt</t>
  </si>
  <si>
    <t>Unlevered β</t>
  </si>
  <si>
    <t>Last Report</t>
  </si>
  <si>
    <t>Renault</t>
  </si>
  <si>
    <t>Stellantis</t>
  </si>
  <si>
    <t>Volkswagen</t>
  </si>
  <si>
    <t>BMW</t>
  </si>
  <si>
    <t>MercedesBenz</t>
  </si>
  <si>
    <t>Ford</t>
  </si>
  <si>
    <t>Toyota</t>
  </si>
  <si>
    <t>GeneralMotors</t>
  </si>
  <si>
    <t>Honda</t>
  </si>
  <si>
    <t>Mean</t>
  </si>
  <si>
    <t>Median</t>
  </si>
  <si>
    <t>Bottom Up Beta</t>
  </si>
  <si>
    <t>Beta Summary</t>
  </si>
  <si>
    <t>Regression β</t>
  </si>
  <si>
    <t>Bottom up β</t>
  </si>
  <si>
    <t>Stock Return History and Levered Beta Calculations</t>
  </si>
  <si>
    <t>All return values are taken from FactSet as total return measures and converted to € by their currency conversion, yields are also taken from FactSet as Yield-to-Maturity values.</t>
  </si>
  <si>
    <t>Risk Free Data</t>
  </si>
  <si>
    <t>Return Data and Levered Beta Calculations</t>
  </si>
  <si>
    <t>Comparables Levered Beta Calculations</t>
  </si>
  <si>
    <t>Eurozone 10-year Bond</t>
  </si>
  <si>
    <t>Frequency</t>
  </si>
  <si>
    <t>W</t>
  </si>
  <si>
    <t>Currency</t>
  </si>
  <si>
    <t>EUR</t>
  </si>
  <si>
    <t>Note: Negative in '20-'21</t>
  </si>
  <si>
    <t>Start</t>
  </si>
  <si>
    <t>Return Convention</t>
  </si>
  <si>
    <t>7-DAY</t>
  </si>
  <si>
    <t>Mercedez-Benz</t>
  </si>
  <si>
    <t>General Motors</t>
  </si>
  <si>
    <t>Stock Levered β</t>
  </si>
  <si>
    <t>EU10YR</t>
  </si>
  <si>
    <t xml:space="preserve">RNO </t>
  </si>
  <si>
    <t>STOXX600</t>
  </si>
  <si>
    <t>Renault Levered β</t>
  </si>
  <si>
    <t>YTM</t>
  </si>
  <si>
    <t>Weekly rf</t>
  </si>
  <si>
    <t>Return</t>
  </si>
  <si>
    <t>Excess</t>
  </si>
  <si>
    <t>Source: FactSet Global</t>
  </si>
  <si>
    <t>Comparable Companies Analysis</t>
  </si>
  <si>
    <t>Football Field</t>
  </si>
  <si>
    <t>Valuation Summary - Renault</t>
  </si>
  <si>
    <t>Implied Per Share Multiples Value Range</t>
  </si>
  <si>
    <t>25th</t>
  </si>
  <si>
    <t>75th</t>
  </si>
  <si>
    <t>Comparables</t>
  </si>
  <si>
    <t>Minimum</t>
  </si>
  <si>
    <t>Percentile</t>
  </si>
  <si>
    <t>Maximum</t>
  </si>
  <si>
    <t>CCA EV/Sales</t>
  </si>
  <si>
    <t>CCA EV/EBITDA</t>
  </si>
  <si>
    <t>CCA P/E Multiple</t>
  </si>
  <si>
    <t>CCA Price/Sales</t>
  </si>
  <si>
    <t>DCF Bear Case</t>
  </si>
  <si>
    <t>DCF Base Case</t>
  </si>
  <si>
    <t>DCF Bull Case</t>
  </si>
  <si>
    <t>CCA Average Value</t>
  </si>
  <si>
    <t>DCF Average Value</t>
  </si>
  <si>
    <t>Price on Nov 1st: 33.79</t>
  </si>
  <si>
    <t>CCA - Comparable Companies Analysis</t>
  </si>
  <si>
    <t>Operating  cash assessment</t>
  </si>
  <si>
    <t>Cash to Sales</t>
  </si>
  <si>
    <t>Operating Statistics</t>
  </si>
  <si>
    <t>Capitalization</t>
  </si>
  <si>
    <t>Revenue</t>
  </si>
  <si>
    <t>Net Income</t>
  </si>
  <si>
    <t>EBITDA Margin</t>
  </si>
  <si>
    <t>Equity Value €</t>
  </si>
  <si>
    <t>Enterprise €</t>
  </si>
  <si>
    <t>Projected</t>
  </si>
  <si>
    <t>Company Name</t>
  </si>
  <si>
    <t>Share Price</t>
  </si>
  <si>
    <t>Diluted Shares</t>
  </si>
  <si>
    <t>Millions</t>
  </si>
  <si>
    <t>Cash</t>
  </si>
  <si>
    <t>Debt</t>
  </si>
  <si>
    <t xml:space="preserve">Value  </t>
  </si>
  <si>
    <t>ROE</t>
  </si>
  <si>
    <t>ROIC</t>
  </si>
  <si>
    <t>2025E</t>
  </si>
  <si>
    <t>2026E</t>
  </si>
  <si>
    <t>2027E</t>
  </si>
  <si>
    <t>Revenue Growth</t>
  </si>
  <si>
    <t>EBITDA Growth</t>
  </si>
  <si>
    <t>Mercedes Benz</t>
  </si>
  <si>
    <t>Average</t>
  </si>
  <si>
    <t>Total Average (excl. covid)</t>
  </si>
  <si>
    <t xml:space="preserve">Renault </t>
  </si>
  <si>
    <t>Market Value of equity to Book value of equity ratio</t>
  </si>
  <si>
    <t>Quartile</t>
  </si>
  <si>
    <t>Market to Book</t>
  </si>
  <si>
    <t>75th Percentile</t>
  </si>
  <si>
    <t>25th Percentile</t>
  </si>
  <si>
    <t>Valuation Statistics</t>
  </si>
  <si>
    <t>Enterprise Value / Revenue</t>
  </si>
  <si>
    <t>Enterprise Value / EBITDA</t>
  </si>
  <si>
    <t>P/E Ratio</t>
  </si>
  <si>
    <t>Price / Sales</t>
  </si>
  <si>
    <t>Key Financials</t>
  </si>
  <si>
    <t xml:space="preserve"> Millions</t>
  </si>
  <si>
    <t xml:space="preserve">Enterprise Value  </t>
  </si>
  <si>
    <t>Share Count</t>
  </si>
  <si>
    <t>Total Average</t>
  </si>
  <si>
    <t>All values of market and book equity taken from FactSet for each given year.</t>
  </si>
  <si>
    <t>Implied EV or Equity Value at a Range of Multiples</t>
  </si>
  <si>
    <t>Applicable</t>
  </si>
  <si>
    <t>Company Figure</t>
  </si>
  <si>
    <t>2027E Enterprise Value / Revenue</t>
  </si>
  <si>
    <t>2026E Enterprise Value / Revenue</t>
  </si>
  <si>
    <t>2025E Enterprise Value / Revenue</t>
  </si>
  <si>
    <t>2027E Enterprise Value / EBITDA</t>
  </si>
  <si>
    <t>2026E Enterprise Value / EBITDA</t>
  </si>
  <si>
    <t>2025E Enterprise Value / EBITDA</t>
  </si>
  <si>
    <t>2027E P/E Ratio</t>
  </si>
  <si>
    <t>2026E P/E Ratio</t>
  </si>
  <si>
    <t>2025E P/E Ratio</t>
  </si>
  <si>
    <t>2027E Price / Sales</t>
  </si>
  <si>
    <t>2026E Price / Sales</t>
  </si>
  <si>
    <t>2025E Price / Sales</t>
  </si>
  <si>
    <t>CCA Charts - Renault</t>
  </si>
  <si>
    <t>Implied Per Share DCF Value Range</t>
  </si>
  <si>
    <t>Implied Per Share DCF Value Points</t>
  </si>
  <si>
    <t/>
  </si>
  <si>
    <t>DCF Worst Case</t>
  </si>
  <si>
    <t>DCF Best Case</t>
  </si>
  <si>
    <t>Financial Model</t>
  </si>
  <si>
    <t>Assumptions &amp; Drivers</t>
  </si>
  <si>
    <t>TGR Assumptions:</t>
  </si>
  <si>
    <t>FYE</t>
  </si>
  <si>
    <t>Conservative Est</t>
  </si>
  <si>
    <t>European Union</t>
  </si>
  <si>
    <t>WACC Case</t>
  </si>
  <si>
    <t>NOPAT</t>
  </si>
  <si>
    <t>TGR</t>
  </si>
  <si>
    <t>Custom</t>
  </si>
  <si>
    <t>Supporting Schedules</t>
  </si>
  <si>
    <t>Reorganized Balance Sheet</t>
  </si>
  <si>
    <t>Reinvestment Schedules</t>
  </si>
  <si>
    <t>CapEx PPE (Reinvestments in tangible assets)</t>
  </si>
  <si>
    <t>CapEx Intangibles (Reinvestments in intangible assets)</t>
  </si>
  <si>
    <t>Calculation Accounts</t>
  </si>
  <si>
    <t>Adjusted EBIT</t>
  </si>
  <si>
    <t>Tax rate %</t>
  </si>
  <si>
    <t>- Statutory taxes</t>
  </si>
  <si>
    <t>+ Depreciation of tangible assets</t>
  </si>
  <si>
    <t>+ Amortization intangible assets</t>
  </si>
  <si>
    <t>- Reinvestments in tangible assets</t>
  </si>
  <si>
    <t>- Reinvestments in intangible assets</t>
  </si>
  <si>
    <t>- Investments in operating NWC</t>
  </si>
  <si>
    <t>- Changes in non-current operating assets</t>
  </si>
  <si>
    <t>+ Change in operating provisions</t>
  </si>
  <si>
    <t>+ Change in net operating DTL</t>
  </si>
  <si>
    <t>+ Change in other non-current operating liabilities</t>
  </si>
  <si>
    <t>FCF Forecast</t>
  </si>
  <si>
    <t>Free cash flow</t>
  </si>
  <si>
    <t>New investment</t>
  </si>
  <si>
    <t>Reinvestment rate</t>
  </si>
  <si>
    <t>RONIC</t>
  </si>
  <si>
    <t>NOPAT growth rate</t>
  </si>
  <si>
    <t>DCF</t>
  </si>
  <si>
    <t>PV of Operating FCF</t>
  </si>
  <si>
    <t>Stub</t>
  </si>
  <si>
    <t>Discount rate</t>
  </si>
  <si>
    <t>Weighted average cost of capital</t>
  </si>
  <si>
    <t>Terminal Value</t>
  </si>
  <si>
    <t>PV of TV</t>
  </si>
  <si>
    <t>Sum of PV of Operating FCF</t>
  </si>
  <si>
    <t>Graph Data</t>
  </si>
  <si>
    <t>Operating enterprise value</t>
  </si>
  <si>
    <t>Non-operating assets (excl. excess cash)</t>
  </si>
  <si>
    <t>Enterprise value</t>
  </si>
  <si>
    <t>Non-operating liabilities (i.e.,debt-like liabilities)</t>
  </si>
  <si>
    <t>Financial liabilities</t>
  </si>
  <si>
    <t>Net debt</t>
  </si>
  <si>
    <t>MV of equity</t>
  </si>
  <si>
    <t>Non-controlling interest (market value estimate)</t>
  </si>
  <si>
    <t>Value of preferred equity</t>
  </si>
  <si>
    <t>MV of common equity before dilution</t>
  </si>
  <si>
    <t>Illiquidity discount</t>
  </si>
  <si>
    <t>Minority discount</t>
  </si>
  <si>
    <t>Number of shares outstanding - diluted (in million)</t>
  </si>
  <si>
    <t>Value per share (in EUR)</t>
  </si>
  <si>
    <t>Car Industry</t>
  </si>
  <si>
    <t>Average Price to Earnings ratio</t>
  </si>
  <si>
    <t>Average Market Value of equity to Book value of equity ratio</t>
  </si>
  <si>
    <t>Sensitivity Analysis</t>
  </si>
  <si>
    <t>Terminal WACC</t>
  </si>
  <si>
    <t>(+)</t>
  </si>
  <si>
    <t>Non-operating liabilities &amp; Financial liabilities</t>
  </si>
  <si>
    <t>(-)</t>
  </si>
  <si>
    <t>Non-controlling interest (MV estimate) + Value of preferred Equity</t>
  </si>
  <si>
    <t>(/)</t>
  </si>
  <si>
    <t>Valuation Sensitivity</t>
  </si>
  <si>
    <t>Terminal CAGR</t>
  </si>
  <si>
    <t>Risk / Reward</t>
  </si>
  <si>
    <t>Inflation Input</t>
  </si>
  <si>
    <t>Compounded inflation multiple</t>
  </si>
  <si>
    <t>Tax Rates</t>
  </si>
  <si>
    <t>Renault Effective Tax</t>
  </si>
  <si>
    <t>FR nominal/statutory tax rate</t>
  </si>
  <si>
    <t>Country Corporate Tax Rates</t>
  </si>
  <si>
    <t>Competitors</t>
  </si>
  <si>
    <t>Country of Origin</t>
  </si>
  <si>
    <t>10 Year Aver Effective Tax</t>
  </si>
  <si>
    <t>Japan</t>
  </si>
  <si>
    <t>United States</t>
  </si>
  <si>
    <t>https://taxsummaries.pwc.com/quick-charts/corporate-income-tax-cit-rates</t>
  </si>
  <si>
    <t>Financial Ratios</t>
  </si>
  <si>
    <t>Operating costs</t>
  </si>
  <si>
    <t>Cost of sales (excl. D&amp;A) as % of net sales</t>
  </si>
  <si>
    <t>Total SGA + other operating expenses (excl. D&amp;A) as % of net sales</t>
  </si>
  <si>
    <t>Profit margin</t>
  </si>
  <si>
    <t>Gross margin</t>
  </si>
  <si>
    <t>EBITDA margin</t>
  </si>
  <si>
    <t>EBITA margin</t>
  </si>
  <si>
    <t>Profitability ratios</t>
  </si>
  <si>
    <t>Return on invested capital (ROIC)</t>
  </si>
  <si>
    <t>Return on invested capital excluding goodwill (ROIC excluding goowill)</t>
  </si>
  <si>
    <t>Net working capital</t>
  </si>
  <si>
    <t>Operaing NWC as a %  net sales</t>
  </si>
  <si>
    <t>Inventory days</t>
  </si>
  <si>
    <t>Trade and other receivables days - Automotive</t>
  </si>
  <si>
    <t>Trade and other accounts payable days</t>
  </si>
  <si>
    <t>Trade and other accounts payable days (as a % of net sales)</t>
  </si>
  <si>
    <t>Capital reinvestments</t>
  </si>
  <si>
    <t>Reinvestment in tangibles as a % of net sales</t>
  </si>
  <si>
    <t>Reinvestment in tangibles as a % of BOP tangibles</t>
  </si>
  <si>
    <t>Reinvestment in intangibles and goodwill as a % of net sales</t>
  </si>
  <si>
    <t>Reinvestment in intangibles and goodwill as a % of BOP intangibles and goodwill</t>
  </si>
  <si>
    <t>Depreciation as a % of net sales</t>
  </si>
  <si>
    <t>Depreciation as a % of BOP tangibles</t>
  </si>
  <si>
    <t>Amortization as a % of net sales</t>
  </si>
  <si>
    <t>Amortization as a% of BOP intangibles</t>
  </si>
  <si>
    <t>Other operating ratios</t>
  </si>
  <si>
    <t>Other non-current assets (including trade receivables) as a % of net sales</t>
  </si>
  <si>
    <t>Income tax liabilities (non-current + current) as a %net sales</t>
  </si>
  <si>
    <t>Operating provisions (non-current + current) as a % of net sales</t>
  </si>
  <si>
    <t>Trade and other accounts payable (non-current) as a % of net sales</t>
  </si>
  <si>
    <t>Net deferred tax liabilities associated with operating ítems as a % of net sales</t>
  </si>
  <si>
    <t>Net deferred tax liabilities associated with operating ítems as a % BOP operating capital</t>
  </si>
  <si>
    <t>Capital structure</t>
  </si>
  <si>
    <t>(Adjusted) Debt / EBITDA</t>
  </si>
  <si>
    <t>(Adj. Debt - excess cash) / EBITDA</t>
  </si>
  <si>
    <t>Book value of (adj.) debt/Total capital</t>
  </si>
  <si>
    <t xml:space="preserve">Book value of debt/Book value of equity </t>
  </si>
  <si>
    <t>Financial Data for Input</t>
  </si>
  <si>
    <t>Fixed Assets</t>
  </si>
  <si>
    <t>Property plan and equipment</t>
  </si>
  <si>
    <t>Reinvestment</t>
  </si>
  <si>
    <t>Reinvestment in tangibles</t>
  </si>
  <si>
    <t>Reinvestment in intangibles, goodwill and other non-curent assets</t>
  </si>
  <si>
    <t>Investment in operating NWC</t>
  </si>
  <si>
    <t>Company Data Inputs</t>
  </si>
  <si>
    <t>FactSet Inputs</t>
  </si>
  <si>
    <t>Reporting Information</t>
  </si>
  <si>
    <t>Name</t>
  </si>
  <si>
    <t>Last FY</t>
  </si>
  <si>
    <t>Last Quarter</t>
  </si>
  <si>
    <t>Identifier</t>
  </si>
  <si>
    <t>STLAM-IT</t>
  </si>
  <si>
    <t>Ended</t>
  </si>
  <si>
    <t>12/31/2024</t>
  </si>
  <si>
    <t>Start Date</t>
  </si>
  <si>
    <t>End Date</t>
  </si>
  <si>
    <t>Report Basis</t>
  </si>
  <si>
    <t>ANN_R</t>
  </si>
  <si>
    <t>€/Share</t>
  </si>
  <si>
    <t>Key Financial Items and Forecast</t>
  </si>
  <si>
    <t>All values in € (FactSet currency adjusted) million except for shares outstanding in millions.</t>
  </si>
  <si>
    <t>Current Q</t>
  </si>
  <si>
    <t xml:space="preserve">COGS </t>
  </si>
  <si>
    <t>D&amp;A</t>
  </si>
  <si>
    <t>EBIT</t>
  </si>
  <si>
    <t>Taxes</t>
  </si>
  <si>
    <t>Free Cash Flow</t>
  </si>
  <si>
    <t>Cash and ST Investments</t>
  </si>
  <si>
    <t>Total Common Stock FD</t>
  </si>
  <si>
    <t>ROE (LTM)</t>
  </si>
  <si>
    <t>ROIC (LTM)</t>
  </si>
  <si>
    <t xml:space="preserve">Source: FactSet Standardized Financials </t>
  </si>
  <si>
    <t>2024</t>
  </si>
  <si>
    <t>7201-JP</t>
  </si>
  <si>
    <t>03/31/2025</t>
  </si>
  <si>
    <t>09/30/2025</t>
  </si>
  <si>
    <t>VOW-DE</t>
  </si>
  <si>
    <t>BMW-DE</t>
  </si>
  <si>
    <t>Mercedes-Benz</t>
  </si>
  <si>
    <t>MBG-DE</t>
  </si>
  <si>
    <t>7203-JP</t>
  </si>
  <si>
    <t>7267-JP</t>
  </si>
  <si>
    <t>GM-US</t>
  </si>
  <si>
    <t>F-US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</si>
</sst>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6" formatCode="&quot;$&quot;#,##0_);[Red]\(&quot;$&quot;#,##0\)"/>
    <numFmt numFmtId="8" formatCode="&quot;$&quot;#,##0.00_);[Red]\(&quot;$&quot;#,##0.00\)"/>
    <numFmt numFmtId="43" formatCode="_(* #,##0.00_);_(* \(#,##0.00\);_(* &quot;-&quot;??_);_(@_)"/>
    <numFmt numFmtId="164" formatCode="_ * #,##0.00_ ;_ * \-#,##0.00_ ;_ * &quot;-&quot;??_ ;_ @_ "/>
    <numFmt numFmtId="165" formatCode="0&quot;A&quot;"/>
    <numFmt numFmtId="166" formatCode="0&quot;E&quot;"/>
    <numFmt numFmtId="167" formatCode="_(#,##0_)_%;\(#,##0\)_%;_(&quot;–&quot;_)_%;_(@_)_%"/>
    <numFmt numFmtId="168" formatCode="&quot;FY &quot;\ 0\ &quot;A&quot;"/>
    <numFmt numFmtId="169" formatCode="_(#,##0.00%_);\(#,##0.00%\);_(&quot;–&quot;_)_%;_(@_)_%"/>
    <numFmt numFmtId="170" formatCode="_(#,##0.000%_);\(#,##0.000%\);_(&quot;–&quot;_)_%;_(@_)_%"/>
    <numFmt numFmtId="171" formatCode="0.00\x"/>
    <numFmt numFmtId="172" formatCode="&quot;31 DEC '&quot;0"/>
    <numFmt numFmtId="173" formatCode="0\A"/>
    <numFmt numFmtId="174" formatCode="0\E"/>
    <numFmt numFmtId="175" formatCode="_ * #,##0_ ;_ * \(#,##0\)_ ;_ * &quot;-&quot;??_ ;_ @"/>
    <numFmt numFmtId="176" formatCode="_ * #,##0.00_ ;_ * \(#,##0.00\)_ ;_ * &quot;-&quot;??_ ;_ @"/>
    <numFmt numFmtId="177" formatCode="_ * #,##0.000_ ;_ * \(#,##0.000\)_ ;_ * &quot;-&quot;??_ ;_ @"/>
    <numFmt numFmtId="178" formatCode="_(* #,##0_);_(* \(#,##0\);_(* &quot;-&quot;??_);_(@_)"/>
    <numFmt numFmtId="179" formatCode="0.000"/>
    <numFmt numFmtId="180" formatCode="_ * #,##0_ ;_ * \-#,##0_ ;_ * &quot;-&quot;??_ ;_ @_ "/>
    <numFmt numFmtId="181" formatCode="0.0%"/>
    <numFmt numFmtId="182" formatCode="0&quot; year(s)&quot;"/>
    <numFmt numFmtId="183" formatCode="_([$€-2]\ * #,##0.00_);_([$€-2]\ * \(#,##0.00\);_([$€-2]\ * &quot;-&quot;??_);_(@_)"/>
    <numFmt numFmtId="184" formatCode="_([$€-2]\ * #,##0_);_([$€-2]\ * \(#,##0\);_([$€-2]\ * &quot;-&quot;??_);_(@_)"/>
    <numFmt numFmtId="185" formatCode="##0.0&quot;x&quot;"/>
    <numFmt numFmtId="186" formatCode="m/d/yyyy;@"/>
    <numFmt numFmtId="187" formatCode="0000&quot;E&quot;"/>
    <numFmt numFmtId="188" formatCode="_(#,##0.0%_);\(#,##0.0%\);_(&quot;–&quot;_)_%;_(@_)_%"/>
  </numFmts>
  <fonts count="68" x14ac:knownFonts="1">
    <font>
      <sz val="10"/>
      <color theme="1"/>
      <name val="Arial"/>
      <family val="2"/>
    </font>
    <font>
      <sz val="10"/>
      <color theme="1"/>
      <name val="Arial"/>
      <family val="2"/>
    </font>
    <font>
      <b/>
      <sz val="10"/>
      <color theme="0"/>
      <name val="Arial"/>
      <family val="2"/>
    </font>
    <font>
      <i/>
      <sz val="10"/>
      <color rgb="FF7F7F7F"/>
      <name val="Arial"/>
      <family val="2"/>
    </font>
    <font>
      <b/>
      <sz val="10"/>
      <color theme="1"/>
      <name val="Arial"/>
      <family val="2"/>
    </font>
    <font>
      <b/>
      <sz val="14"/>
      <color theme="0"/>
      <name val="Arial"/>
      <family val="2"/>
    </font>
    <font>
      <sz val="10"/>
      <color rgb="FF0000FF"/>
      <name val="Arial"/>
      <family val="2"/>
    </font>
    <font>
      <sz val="5"/>
      <color rgb="FF60707B"/>
      <name val="Arial"/>
      <family val="2"/>
    </font>
    <font>
      <sz val="10"/>
      <color rgb="FFC00000"/>
      <name val="Arial"/>
      <family val="2"/>
    </font>
    <font>
      <sz val="10"/>
      <color rgb="FF000000"/>
      <name val="Arial"/>
      <family val="2"/>
    </font>
    <font>
      <i/>
      <sz val="10"/>
      <color rgb="FFC00000"/>
      <name val="Arial"/>
      <family val="2"/>
    </font>
    <font>
      <i/>
      <sz val="10"/>
      <color theme="1"/>
      <name val="Arial"/>
      <family val="2"/>
    </font>
    <font>
      <sz val="10"/>
      <color theme="1"/>
      <name val="Arial"/>
      <family val="2"/>
      <scheme val="major"/>
    </font>
    <font>
      <b/>
      <sz val="10"/>
      <color theme="1"/>
      <name val="Arial"/>
      <family val="2"/>
      <scheme val="major"/>
    </font>
    <font>
      <sz val="10"/>
      <name val="Arial"/>
      <family val="2"/>
    </font>
    <font>
      <b/>
      <sz val="9"/>
      <color indexed="81"/>
      <name val="Tahoma"/>
      <family val="2"/>
    </font>
    <font>
      <sz val="11"/>
      <color rgb="FF0000FF"/>
      <name val="Cambria"/>
      <family val="1"/>
    </font>
    <font>
      <sz val="12"/>
      <color theme="1"/>
      <name val="Arial"/>
      <family val="2"/>
      <scheme val="minor"/>
    </font>
    <font>
      <sz val="9"/>
      <color indexed="81"/>
      <name val="Tahoma"/>
      <family val="2"/>
    </font>
    <font>
      <b/>
      <sz val="10"/>
      <color theme="0"/>
      <name val="Arial"/>
      <family val="2"/>
      <scheme val="major"/>
    </font>
    <font>
      <i/>
      <sz val="10"/>
      <color theme="1"/>
      <name val="Arial"/>
      <family val="2"/>
      <scheme val="major"/>
    </font>
    <font>
      <b/>
      <sz val="10"/>
      <color rgb="FF0000FF"/>
      <name val="Arial"/>
      <family val="2"/>
      <scheme val="major"/>
    </font>
    <font>
      <sz val="10"/>
      <color rgb="FF0000FF"/>
      <name val="Arial"/>
      <family val="2"/>
      <scheme val="major"/>
    </font>
    <font>
      <sz val="10"/>
      <color rgb="FFFF3FFF"/>
      <name val="Arial"/>
      <family val="2"/>
      <scheme val="major"/>
    </font>
    <font>
      <b/>
      <sz val="10"/>
      <name val="Arial"/>
      <family val="2"/>
      <scheme val="major"/>
    </font>
    <font>
      <i/>
      <sz val="9"/>
      <color theme="1"/>
      <name val="Arial"/>
      <family val="2"/>
      <scheme val="major"/>
    </font>
    <font>
      <b/>
      <sz val="10"/>
      <color theme="0"/>
      <name val="Arial"/>
      <family val="2"/>
      <scheme val="minor"/>
    </font>
    <font>
      <sz val="10"/>
      <color theme="1"/>
      <name val="Arial"/>
      <family val="2"/>
      <scheme val="minor"/>
    </font>
    <font>
      <sz val="10"/>
      <color rgb="FF0000FF"/>
      <name val="Arial"/>
      <family val="2"/>
      <scheme val="minor"/>
    </font>
    <font>
      <b/>
      <sz val="10"/>
      <color theme="1"/>
      <name val="Arial"/>
      <family val="2"/>
      <scheme val="minor"/>
    </font>
    <font>
      <i/>
      <sz val="10"/>
      <color theme="1"/>
      <name val="Arial"/>
      <family val="2"/>
      <scheme val="minor"/>
    </font>
    <font>
      <sz val="10"/>
      <color theme="7"/>
      <name val="Arial"/>
      <family val="2"/>
      <scheme val="minor"/>
    </font>
    <font>
      <sz val="10"/>
      <color rgb="FFFF3FFF"/>
      <name val="Arial"/>
      <family val="2"/>
      <scheme val="minor"/>
    </font>
    <font>
      <sz val="10"/>
      <color rgb="FF0070C0"/>
      <name val="Arial"/>
      <family val="2"/>
      <scheme val="major"/>
    </font>
    <font>
      <sz val="10"/>
      <name val="Arial"/>
      <family val="2"/>
      <scheme val="major"/>
    </font>
    <font>
      <b/>
      <sz val="10"/>
      <color rgb="FF0000FF"/>
      <name val="Arial"/>
      <family val="2"/>
    </font>
    <font>
      <b/>
      <i/>
      <sz val="9"/>
      <color theme="1"/>
      <name val="Arial"/>
      <family val="2"/>
      <scheme val="major"/>
    </font>
    <font>
      <sz val="10"/>
      <color theme="0"/>
      <name val="Arial"/>
      <family val="2"/>
      <scheme val="minor"/>
    </font>
    <font>
      <sz val="11"/>
      <color theme="1"/>
      <name val="Arial"/>
      <family val="2"/>
      <scheme val="minor"/>
    </font>
    <font>
      <sz val="10"/>
      <color theme="7"/>
      <name val="Arial"/>
      <family val="2"/>
      <scheme val="major"/>
    </font>
    <font>
      <sz val="10"/>
      <color theme="9"/>
      <name val="Arial"/>
      <family val="2"/>
      <scheme val="major"/>
    </font>
    <font>
      <b/>
      <sz val="8"/>
      <color indexed="81"/>
      <name val="Tahoma"/>
      <family val="2"/>
    </font>
    <font>
      <sz val="8"/>
      <color indexed="81"/>
      <name val="Tahoma"/>
      <family val="2"/>
    </font>
    <font>
      <b/>
      <sz val="10"/>
      <color theme="7"/>
      <name val="Arial"/>
      <family val="2"/>
      <scheme val="major"/>
    </font>
    <font>
      <i/>
      <sz val="10"/>
      <color rgb="FF0000FF"/>
      <name val="Arial"/>
      <family val="2"/>
    </font>
    <font>
      <sz val="10"/>
      <color rgb="FF00B050"/>
      <name val="Arial"/>
      <family val="2"/>
    </font>
    <font>
      <sz val="10"/>
      <color theme="7"/>
      <name val="Arial"/>
      <family val="2"/>
    </font>
    <font>
      <b/>
      <sz val="10"/>
      <color theme="8"/>
      <name val="Arial"/>
      <family val="2"/>
    </font>
    <font>
      <b/>
      <sz val="10"/>
      <color theme="7"/>
      <name val="Arial"/>
      <family val="2"/>
    </font>
    <font>
      <sz val="10"/>
      <color rgb="FF00B050"/>
      <name val="Arial"/>
      <family val="2"/>
      <scheme val="major"/>
    </font>
    <font>
      <b/>
      <sz val="10"/>
      <color rgb="FF00B050"/>
      <name val="Arial"/>
      <family val="2"/>
    </font>
    <font>
      <b/>
      <sz val="10"/>
      <color rgb="FF00B050"/>
      <name val="Arial"/>
      <family val="2"/>
      <scheme val="major"/>
    </font>
    <font>
      <sz val="10"/>
      <color rgb="FF7030A0"/>
      <name val="Arial"/>
      <family val="2"/>
    </font>
    <font>
      <sz val="10"/>
      <color rgb="FF000000"/>
      <name val="Tahoma"/>
      <family val="2"/>
    </font>
    <font>
      <b/>
      <sz val="10"/>
      <color rgb="FF000000"/>
      <name val="Tahoma"/>
      <family val="2"/>
    </font>
    <font>
      <b/>
      <i/>
      <sz val="10"/>
      <color theme="1"/>
      <name val="Arial"/>
      <family val="2"/>
    </font>
    <font>
      <b/>
      <sz val="8"/>
      <color rgb="FF000000"/>
      <name val="Tahoma"/>
      <family val="2"/>
    </font>
    <font>
      <sz val="8"/>
      <color rgb="FF000000"/>
      <name val="Tahoma"/>
      <family val="2"/>
    </font>
    <font>
      <u/>
      <sz val="10"/>
      <color theme="10"/>
      <name val="Arial"/>
      <family val="2"/>
    </font>
    <font>
      <b/>
      <sz val="9"/>
      <color rgb="FF000000"/>
      <name val="Tahoma"/>
      <family val="2"/>
    </font>
    <font>
      <sz val="9"/>
      <color rgb="FF000000"/>
      <name val="Tahoma"/>
      <family val="2"/>
    </font>
    <font>
      <sz val="10"/>
      <color theme="0"/>
      <name val="Arial"/>
      <family val="2"/>
    </font>
    <font>
      <b/>
      <sz val="10"/>
      <color theme="3"/>
      <name val="Arial"/>
      <family val="2"/>
    </font>
    <font>
      <sz val="10"/>
      <color rgb="FFC00000"/>
      <name val="Arial"/>
      <family val="2"/>
      <scheme val="minor"/>
    </font>
    <font>
      <sz val="10"/>
      <color theme="9"/>
      <name val="Arial"/>
      <family val="2"/>
      <scheme val="minor"/>
    </font>
    <font>
      <i/>
      <sz val="10"/>
      <color rgb="FF0000FF"/>
      <name val="Arial"/>
      <family val="2"/>
      <scheme val="major"/>
    </font>
    <font>
      <i/>
      <sz val="10"/>
      <color theme="9"/>
      <name val="Arial"/>
      <family val="2"/>
      <scheme val="major"/>
    </font>
    <font>
      <sz val="10"/>
      <color theme="8"/>
      <name val="Arial"/>
      <family val="2"/>
    </font>
  </fonts>
  <fills count="10">
    <fill>
      <patternFill patternType="none"/>
    </fill>
    <fill>
      <patternFill patternType="gray125"/>
    </fill>
    <fill>
      <patternFill patternType="solid">
        <fgColor theme="4" tint="0.79998168889431442"/>
        <bgColor indexed="65"/>
      </patternFill>
    </fill>
    <fill>
      <patternFill patternType="solid">
        <fgColor theme="3"/>
        <bgColor indexed="64"/>
      </patternFill>
    </fill>
    <fill>
      <patternFill patternType="solid">
        <fgColor theme="5" tint="0.79998168889431442"/>
        <bgColor indexed="64"/>
      </patternFill>
    </fill>
    <fill>
      <patternFill patternType="darkUp">
        <fgColor theme="3"/>
      </patternFill>
    </fill>
    <fill>
      <patternFill patternType="lightUp">
        <fgColor theme="3"/>
      </patternFill>
    </fill>
    <fill>
      <patternFill patternType="solid">
        <fgColor theme="0" tint="-4.9989318521683403E-2"/>
        <bgColor indexed="64"/>
      </patternFill>
    </fill>
    <fill>
      <patternFill patternType="solid">
        <fgColor rgb="FFFFF5CD"/>
        <bgColor indexed="64"/>
      </patternFill>
    </fill>
    <fill>
      <patternFill patternType="solid">
        <fgColor theme="7"/>
        <bgColor indexed="64"/>
      </patternFill>
    </fill>
  </fills>
  <borders count="72">
    <border>
      <left/>
      <right/>
      <top/>
      <bottom/>
      <diagonal/>
    </border>
    <border>
      <left style="dotted">
        <color auto="1"/>
      </left>
      <right style="dotted">
        <color auto="1"/>
      </right>
      <top style="dotted">
        <color auto="1"/>
      </top>
      <bottom style="dotted">
        <color auto="1"/>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medium">
        <color theme="3"/>
      </bottom>
      <diagonal/>
    </border>
    <border>
      <left/>
      <right style="medium">
        <color theme="3"/>
      </right>
      <top/>
      <bottom/>
      <diagonal/>
    </border>
    <border>
      <left style="medium">
        <color theme="3"/>
      </left>
      <right/>
      <top/>
      <bottom/>
      <diagonal/>
    </border>
    <border>
      <left style="medium">
        <color theme="3"/>
      </left>
      <right/>
      <top/>
      <bottom style="medium">
        <color theme="3"/>
      </bottom>
      <diagonal/>
    </border>
    <border>
      <left/>
      <right style="medium">
        <color theme="3"/>
      </right>
      <top/>
      <bottom style="medium">
        <color theme="3"/>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style="thin">
        <color indexed="64"/>
      </top>
      <bottom/>
      <diagonal/>
    </border>
    <border>
      <left/>
      <right style="medium">
        <color theme="3"/>
      </right>
      <top style="thin">
        <color indexed="64"/>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top/>
      <bottom style="thin">
        <color indexed="64"/>
      </bottom>
      <diagonal/>
    </border>
    <border>
      <left/>
      <right style="medium">
        <color theme="3"/>
      </right>
      <top/>
      <bottom style="thin">
        <color indexed="64"/>
      </bottom>
      <diagonal/>
    </border>
    <border>
      <left style="medium">
        <color theme="3"/>
      </left>
      <right/>
      <top style="thin">
        <color theme="1"/>
      </top>
      <bottom style="thin">
        <color theme="1"/>
      </bottom>
      <diagonal/>
    </border>
    <border>
      <left/>
      <right/>
      <top style="thin">
        <color theme="1"/>
      </top>
      <bottom style="thin">
        <color theme="1"/>
      </bottom>
      <diagonal/>
    </border>
    <border>
      <left/>
      <right style="medium">
        <color theme="3"/>
      </right>
      <top style="thin">
        <color theme="1"/>
      </top>
      <bottom style="thin">
        <color theme="1"/>
      </bottom>
      <diagonal/>
    </border>
    <border>
      <left style="hair">
        <color indexed="64"/>
      </left>
      <right style="hair">
        <color indexed="64"/>
      </right>
      <top style="hair">
        <color indexed="64"/>
      </top>
      <bottom style="hair">
        <color indexed="64"/>
      </bottom>
      <diagonal/>
    </border>
    <border>
      <left/>
      <right style="medium">
        <color theme="3"/>
      </right>
      <top style="hair">
        <color theme="3"/>
      </top>
      <bottom style="hair">
        <color theme="3"/>
      </bottom>
      <diagonal/>
    </border>
    <border>
      <left/>
      <right/>
      <top style="hair">
        <color theme="3"/>
      </top>
      <bottom style="hair">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n">
        <color indexed="64"/>
      </bottom>
      <diagonal/>
    </border>
    <border>
      <left/>
      <right style="thick">
        <color theme="3"/>
      </right>
      <top/>
      <bottom style="thin">
        <color indexed="64"/>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medium">
        <color theme="3"/>
      </left>
      <right/>
      <top style="thin">
        <color indexed="64"/>
      </top>
      <bottom style="medium">
        <color theme="3"/>
      </bottom>
      <diagonal/>
    </border>
    <border>
      <left/>
      <right/>
      <top style="thin">
        <color indexed="64"/>
      </top>
      <bottom style="medium">
        <color theme="3"/>
      </bottom>
      <diagonal/>
    </border>
    <border>
      <left/>
      <right style="medium">
        <color theme="3"/>
      </right>
      <top style="thin">
        <color indexed="64"/>
      </top>
      <bottom style="medium">
        <color theme="3"/>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diagonal/>
    </border>
    <border>
      <left/>
      <right style="thin">
        <color theme="3"/>
      </right>
      <top/>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5">
    <xf numFmtId="0" fontId="0" fillId="0" borderId="0"/>
    <xf numFmtId="9" fontId="1" fillId="0" borderId="0" applyFont="0" applyFill="0" applyBorder="0" applyAlignment="0" applyProtection="0"/>
    <xf numFmtId="0" fontId="6" fillId="4" borderId="1" applyNumberFormat="0" applyAlignment="0" applyProtection="0"/>
    <xf numFmtId="0" fontId="3" fillId="0" borderId="0" applyNumberFormat="0" applyFill="0" applyBorder="0" applyAlignment="0" applyProtection="0"/>
    <xf numFmtId="0" fontId="1" fillId="2" borderId="0" applyNumberFormat="0" applyBorder="0" applyAlignment="0" applyProtection="0"/>
    <xf numFmtId="0" fontId="5" fillId="3" borderId="0"/>
    <xf numFmtId="0" fontId="2" fillId="3" borderId="0"/>
    <xf numFmtId="167" fontId="8" fillId="5" borderId="5" applyFont="0" applyAlignment="0" applyProtection="0"/>
    <xf numFmtId="0" fontId="17" fillId="0" borderId="0"/>
    <xf numFmtId="0" fontId="16" fillId="8" borderId="1" applyNumberFormat="0" applyAlignment="0"/>
    <xf numFmtId="164" fontId="1" fillId="0" borderId="0" applyFont="0" applyFill="0" applyBorder="0" applyAlignment="0" applyProtection="0"/>
    <xf numFmtId="0" fontId="1" fillId="0" borderId="0"/>
    <xf numFmtId="0" fontId="38" fillId="0" borderId="0"/>
    <xf numFmtId="43" fontId="1" fillId="0" borderId="0" applyFont="0" applyFill="0" applyBorder="0" applyAlignment="0" applyProtection="0"/>
    <xf numFmtId="0" fontId="58" fillId="0" borderId="0" applyNumberFormat="0" applyFill="0" applyBorder="0" applyAlignment="0" applyProtection="0"/>
  </cellStyleXfs>
  <cellXfs count="596">
    <xf numFmtId="0" fontId="0" fillId="0" borderId="0" xfId="0"/>
    <xf numFmtId="0" fontId="3" fillId="0" borderId="0" xfId="3"/>
    <xf numFmtId="0" fontId="0" fillId="0" borderId="0" xfId="0" applyAlignment="1">
      <alignment horizontal="center"/>
    </xf>
    <xf numFmtId="0" fontId="7" fillId="0" borderId="0" xfId="0" applyFont="1"/>
    <xf numFmtId="0" fontId="2" fillId="3" borderId="0" xfId="6" applyAlignment="1">
      <alignment horizontal="centerContinuous"/>
    </xf>
    <xf numFmtId="0" fontId="4" fillId="0" borderId="2" xfId="0" applyFont="1" applyBorder="1"/>
    <xf numFmtId="165" fontId="4" fillId="0" borderId="2" xfId="0" applyNumberFormat="1" applyFont="1" applyBorder="1" applyAlignment="1">
      <alignment horizontal="center"/>
    </xf>
    <xf numFmtId="166" fontId="4" fillId="0" borderId="3" xfId="0" applyNumberFormat="1" applyFont="1" applyBorder="1" applyAlignment="1">
      <alignment horizontal="center"/>
    </xf>
    <xf numFmtId="167" fontId="8" fillId="0" borderId="0" xfId="0" applyNumberFormat="1" applyFont="1"/>
    <xf numFmtId="167" fontId="8" fillId="0" borderId="0" xfId="0" applyNumberFormat="1" applyFont="1" applyAlignment="1">
      <alignment horizontal="center"/>
    </xf>
    <xf numFmtId="0" fontId="4" fillId="0" borderId="3" xfId="0" applyFont="1" applyBorder="1"/>
    <xf numFmtId="0" fontId="4" fillId="2" borderId="0" xfId="4" applyFont="1" applyAlignment="1">
      <alignment horizontal="centerContinuous"/>
    </xf>
    <xf numFmtId="168" fontId="8" fillId="0" borderId="0" xfId="0" applyNumberFormat="1" applyFont="1" applyAlignment="1">
      <alignment horizontal="center"/>
    </xf>
    <xf numFmtId="0" fontId="8" fillId="0" borderId="0" xfId="0" applyFont="1" applyAlignment="1">
      <alignment horizontal="center"/>
    </xf>
    <xf numFmtId="0" fontId="6" fillId="4" borderId="1" xfId="2" applyAlignment="1">
      <alignment horizontal="center"/>
    </xf>
    <xf numFmtId="0" fontId="0" fillId="6" borderId="6" xfId="0" applyFill="1" applyBorder="1"/>
    <xf numFmtId="0" fontId="0" fillId="6" borderId="4" xfId="0" applyFill="1" applyBorder="1"/>
    <xf numFmtId="0" fontId="0" fillId="6" borderId="7" xfId="0" applyFill="1" applyBorder="1"/>
    <xf numFmtId="0" fontId="0" fillId="6" borderId="8" xfId="0" applyFill="1" applyBorder="1"/>
    <xf numFmtId="0" fontId="0" fillId="6" borderId="2" xfId="0" applyFill="1" applyBorder="1"/>
    <xf numFmtId="0" fontId="0" fillId="6" borderId="9" xfId="0" applyFill="1" applyBorder="1"/>
    <xf numFmtId="167" fontId="8" fillId="6" borderId="6" xfId="0" applyNumberFormat="1" applyFont="1" applyFill="1" applyBorder="1"/>
    <xf numFmtId="167" fontId="8" fillId="6" borderId="4" xfId="0" applyNumberFormat="1" applyFont="1" applyFill="1" applyBorder="1"/>
    <xf numFmtId="167" fontId="8" fillId="6" borderId="10" xfId="0" applyNumberFormat="1" applyFont="1" applyFill="1" applyBorder="1"/>
    <xf numFmtId="167" fontId="8" fillId="6" borderId="0" xfId="0" applyNumberFormat="1" applyFont="1" applyFill="1"/>
    <xf numFmtId="0" fontId="0" fillId="6" borderId="0" xfId="0" applyFill="1"/>
    <xf numFmtId="0" fontId="0" fillId="6" borderId="11" xfId="0" applyFill="1" applyBorder="1"/>
    <xf numFmtId="167" fontId="8" fillId="6" borderId="8" xfId="0" applyNumberFormat="1" applyFont="1" applyFill="1" applyBorder="1"/>
    <xf numFmtId="167" fontId="8" fillId="6" borderId="2" xfId="0" applyNumberFormat="1" applyFont="1" applyFill="1" applyBorder="1"/>
    <xf numFmtId="0" fontId="9" fillId="0" borderId="0" xfId="0" applyFont="1"/>
    <xf numFmtId="10" fontId="10" fillId="0" borderId="0" xfId="1" applyNumberFormat="1" applyFont="1" applyFill="1" applyAlignment="1">
      <alignment horizontal="center"/>
    </xf>
    <xf numFmtId="0" fontId="11" fillId="0" borderId="0" xfId="0" applyFont="1"/>
    <xf numFmtId="0" fontId="4" fillId="0" borderId="2" xfId="0" applyFont="1" applyBorder="1" applyAlignment="1">
      <alignment horizontal="center"/>
    </xf>
    <xf numFmtId="0" fontId="12" fillId="0" borderId="0" xfId="0" applyFont="1"/>
    <xf numFmtId="0" fontId="13" fillId="2" borderId="0" xfId="4" applyFont="1" applyAlignment="1">
      <alignment horizontal="centerContinuous"/>
    </xf>
    <xf numFmtId="0" fontId="13" fillId="0" borderId="0" xfId="0" applyFont="1" applyAlignment="1">
      <alignment horizontal="centerContinuous"/>
    </xf>
    <xf numFmtId="169" fontId="14" fillId="0" borderId="0" xfId="1" applyNumberFormat="1" applyFont="1" applyAlignment="1">
      <alignment horizontal="center"/>
    </xf>
    <xf numFmtId="170" fontId="14" fillId="0" borderId="0" xfId="1" applyNumberFormat="1" applyFont="1" applyAlignment="1">
      <alignment horizontal="center"/>
    </xf>
    <xf numFmtId="169" fontId="8" fillId="0" borderId="0" xfId="1" applyNumberFormat="1" applyFont="1" applyAlignment="1">
      <alignment horizontal="center"/>
    </xf>
    <xf numFmtId="15" fontId="6" fillId="4" borderId="1" xfId="2" applyNumberFormat="1"/>
    <xf numFmtId="15" fontId="12" fillId="0" borderId="0" xfId="0" applyNumberFormat="1" applyFont="1" applyAlignment="1">
      <alignment horizontal="center"/>
    </xf>
    <xf numFmtId="0" fontId="13" fillId="0" borderId="0" xfId="0" applyFont="1"/>
    <xf numFmtId="171" fontId="12" fillId="0" borderId="12" xfId="0" applyNumberFormat="1" applyFont="1" applyBorder="1" applyAlignment="1">
      <alignment horizontal="center"/>
    </xf>
    <xf numFmtId="0" fontId="13" fillId="0" borderId="0" xfId="0" applyFont="1" applyAlignment="1">
      <alignment horizontal="center"/>
    </xf>
    <xf numFmtId="0" fontId="13" fillId="0" borderId="0" xfId="0" applyFont="1" applyAlignment="1">
      <alignment horizontal="left" indent="1"/>
    </xf>
    <xf numFmtId="0" fontId="12" fillId="0" borderId="0" xfId="0" applyFont="1" applyAlignment="1">
      <alignment horizontal="left" indent="1"/>
    </xf>
    <xf numFmtId="0" fontId="12" fillId="0" borderId="2" xfId="0" applyFont="1" applyBorder="1" applyAlignment="1">
      <alignment horizontal="center"/>
    </xf>
    <xf numFmtId="0" fontId="5" fillId="3" borderId="0" xfId="5"/>
    <xf numFmtId="14" fontId="0" fillId="0" borderId="0" xfId="0" applyNumberFormat="1"/>
    <xf numFmtId="0" fontId="19" fillId="3" borderId="0" xfId="6" applyFont="1"/>
    <xf numFmtId="175" fontId="12" fillId="0" borderId="0" xfId="0" applyNumberFormat="1" applyFont="1"/>
    <xf numFmtId="0" fontId="12" fillId="0" borderId="13" xfId="0" applyFont="1" applyBorder="1"/>
    <xf numFmtId="173" fontId="12" fillId="0" borderId="13" xfId="0" applyNumberFormat="1" applyFont="1" applyBorder="1" applyAlignment="1">
      <alignment horizontal="center"/>
    </xf>
    <xf numFmtId="174" fontId="12" fillId="0" borderId="13" xfId="0" applyNumberFormat="1" applyFont="1" applyBorder="1" applyAlignment="1">
      <alignment horizontal="center"/>
    </xf>
    <xf numFmtId="175" fontId="21" fillId="0" borderId="0" xfId="0" applyNumberFormat="1" applyFont="1"/>
    <xf numFmtId="175" fontId="22" fillId="0" borderId="0" xfId="0" applyNumberFormat="1" applyFont="1"/>
    <xf numFmtId="175" fontId="13" fillId="0" borderId="0" xfId="0" applyNumberFormat="1" applyFont="1"/>
    <xf numFmtId="0" fontId="13" fillId="0" borderId="0" xfId="0" applyFont="1" applyAlignment="1">
      <alignment horizontal="left"/>
    </xf>
    <xf numFmtId="176" fontId="21" fillId="0" borderId="0" xfId="0" applyNumberFormat="1" applyFont="1"/>
    <xf numFmtId="176" fontId="13" fillId="0" borderId="0" xfId="0" applyNumberFormat="1" applyFont="1"/>
    <xf numFmtId="0" fontId="12" fillId="0" borderId="0" xfId="0" applyFont="1" applyAlignment="1">
      <alignment horizontal="left" indent="2"/>
    </xf>
    <xf numFmtId="176" fontId="22" fillId="0" borderId="0" xfId="0" applyNumberFormat="1" applyFont="1"/>
    <xf numFmtId="176" fontId="12" fillId="0" borderId="0" xfId="0" applyNumberFormat="1" applyFont="1"/>
    <xf numFmtId="177" fontId="22" fillId="0" borderId="0" xfId="0" applyNumberFormat="1" applyFont="1"/>
    <xf numFmtId="0" fontId="20" fillId="0" borderId="0" xfId="0" applyFont="1" applyAlignment="1">
      <alignment horizontal="left" indent="1"/>
    </xf>
    <xf numFmtId="10" fontId="20" fillId="0" borderId="0" xfId="1" applyNumberFormat="1" applyFont="1"/>
    <xf numFmtId="178" fontId="23" fillId="0" borderId="0" xfId="0" applyNumberFormat="1" applyFont="1"/>
    <xf numFmtId="178" fontId="12" fillId="0" borderId="0" xfId="0" applyNumberFormat="1" applyFont="1"/>
    <xf numFmtId="178" fontId="12" fillId="0" borderId="0" xfId="0" applyNumberFormat="1" applyFont="1" applyAlignment="1">
      <alignment horizontal="left"/>
    </xf>
    <xf numFmtId="10" fontId="22" fillId="0" borderId="0" xfId="0" applyNumberFormat="1" applyFont="1"/>
    <xf numFmtId="3" fontId="12" fillId="0" borderId="0" xfId="0" applyNumberFormat="1" applyFont="1"/>
    <xf numFmtId="3" fontId="21" fillId="0" borderId="0" xfId="0" applyNumberFormat="1" applyFont="1"/>
    <xf numFmtId="0" fontId="20" fillId="0" borderId="13" xfId="0" applyFont="1" applyBorder="1" applyAlignment="1">
      <alignment horizontal="left" indent="1"/>
    </xf>
    <xf numFmtId="0" fontId="13" fillId="0" borderId="13" xfId="0" applyFont="1" applyBorder="1"/>
    <xf numFmtId="10" fontId="20" fillId="0" borderId="13" xfId="1" applyNumberFormat="1" applyFont="1" applyBorder="1"/>
    <xf numFmtId="3" fontId="22" fillId="0" borderId="0" xfId="0" applyNumberFormat="1" applyFont="1"/>
    <xf numFmtId="10" fontId="12" fillId="0" borderId="0" xfId="0" applyNumberFormat="1" applyFont="1"/>
    <xf numFmtId="10" fontId="22" fillId="0" borderId="0" xfId="1" applyNumberFormat="1" applyFont="1"/>
    <xf numFmtId="9" fontId="22" fillId="0" borderId="0" xfId="0" applyNumberFormat="1" applyFont="1" applyAlignment="1">
      <alignment horizontal="center"/>
    </xf>
    <xf numFmtId="179" fontId="12" fillId="0" borderId="0" xfId="0" applyNumberFormat="1" applyFont="1"/>
    <xf numFmtId="0" fontId="24" fillId="7" borderId="0" xfId="0" applyFont="1" applyFill="1"/>
    <xf numFmtId="175" fontId="24" fillId="7" borderId="0" xfId="0" applyNumberFormat="1" applyFont="1" applyFill="1"/>
    <xf numFmtId="10" fontId="12" fillId="0" borderId="0" xfId="1" applyNumberFormat="1" applyFont="1"/>
    <xf numFmtId="1" fontId="12" fillId="0" borderId="0" xfId="0" applyNumberFormat="1" applyFont="1"/>
    <xf numFmtId="172" fontId="25" fillId="0" borderId="0" xfId="0" applyNumberFormat="1" applyFont="1" applyAlignment="1">
      <alignment horizontal="center"/>
    </xf>
    <xf numFmtId="172" fontId="25" fillId="0" borderId="4" xfId="0" applyNumberFormat="1" applyFont="1" applyBorder="1" applyAlignment="1">
      <alignment horizontal="center"/>
    </xf>
    <xf numFmtId="0" fontId="1" fillId="2" borderId="0" xfId="4"/>
    <xf numFmtId="175" fontId="1" fillId="2" borderId="0" xfId="4" applyNumberFormat="1"/>
    <xf numFmtId="0" fontId="1" fillId="2" borderId="4" xfId="4" applyBorder="1"/>
    <xf numFmtId="175" fontId="1" fillId="2" borderId="4" xfId="4" applyNumberFormat="1" applyBorder="1"/>
    <xf numFmtId="0" fontId="26" fillId="3" borderId="0" xfId="6" applyFont="1"/>
    <xf numFmtId="0" fontId="27" fillId="0" borderId="0" xfId="8" applyFont="1" applyAlignment="1">
      <alignment horizontal="center"/>
    </xf>
    <xf numFmtId="0" fontId="27" fillId="0" borderId="0" xfId="8" applyFont="1"/>
    <xf numFmtId="0" fontId="28" fillId="8" borderId="1" xfId="9" applyFont="1" applyAlignment="1">
      <alignment horizontal="center"/>
    </xf>
    <xf numFmtId="15" fontId="28" fillId="8" borderId="1" xfId="9" applyNumberFormat="1" applyFont="1" applyAlignment="1">
      <alignment horizontal="center"/>
    </xf>
    <xf numFmtId="0" fontId="29" fillId="0" borderId="2" xfId="8" applyFont="1" applyBorder="1"/>
    <xf numFmtId="0" fontId="27" fillId="0" borderId="2" xfId="8" applyFont="1" applyBorder="1"/>
    <xf numFmtId="0" fontId="29" fillId="0" borderId="2" xfId="8" applyFont="1" applyBorder="1" applyAlignment="1">
      <alignment horizontal="center"/>
    </xf>
    <xf numFmtId="0" fontId="30" fillId="0" borderId="0" xfId="8" applyFont="1"/>
    <xf numFmtId="9" fontId="30" fillId="0" borderId="0" xfId="8" applyNumberFormat="1" applyFont="1" applyAlignment="1">
      <alignment horizontal="center"/>
    </xf>
    <xf numFmtId="0" fontId="27" fillId="0" borderId="4" xfId="8" applyFont="1" applyBorder="1" applyAlignment="1">
      <alignment horizontal="left" indent="1"/>
    </xf>
    <xf numFmtId="9" fontId="27" fillId="0" borderId="4" xfId="8" applyNumberFormat="1" applyFont="1" applyBorder="1" applyAlignment="1">
      <alignment horizontal="left" indent="1"/>
    </xf>
    <xf numFmtId="0" fontId="27" fillId="7" borderId="6" xfId="8" applyFont="1" applyFill="1" applyBorder="1"/>
    <xf numFmtId="0" fontId="27" fillId="7" borderId="4" xfId="8" applyFont="1" applyFill="1" applyBorder="1"/>
    <xf numFmtId="0" fontId="27" fillId="7" borderId="7" xfId="8" applyFont="1" applyFill="1" applyBorder="1"/>
    <xf numFmtId="0" fontId="27" fillId="7" borderId="10" xfId="8" applyFont="1" applyFill="1" applyBorder="1"/>
    <xf numFmtId="0" fontId="29" fillId="7" borderId="0" xfId="8" applyFont="1" applyFill="1"/>
    <xf numFmtId="0" fontId="27" fillId="7" borderId="0" xfId="8" applyFont="1" applyFill="1"/>
    <xf numFmtId="0" fontId="27" fillId="7" borderId="11" xfId="8" applyFont="1" applyFill="1" applyBorder="1"/>
    <xf numFmtId="0" fontId="30" fillId="7" borderId="0" xfId="8" applyFont="1" applyFill="1"/>
    <xf numFmtId="0" fontId="27" fillId="7" borderId="8" xfId="8" applyFont="1" applyFill="1" applyBorder="1"/>
    <xf numFmtId="0" fontId="27" fillId="7" borderId="2" xfId="8" applyFont="1" applyFill="1" applyBorder="1"/>
    <xf numFmtId="0" fontId="27" fillId="7" borderId="9" xfId="8" applyFont="1" applyFill="1" applyBorder="1"/>
    <xf numFmtId="0" fontId="29" fillId="0" borderId="0" xfId="8" applyFont="1"/>
    <xf numFmtId="0" fontId="28" fillId="0" borderId="0" xfId="8" applyFont="1" applyAlignment="1">
      <alignment horizontal="center"/>
    </xf>
    <xf numFmtId="0" fontId="31" fillId="0" borderId="0" xfId="8" applyFont="1" applyAlignment="1">
      <alignment horizontal="center"/>
    </xf>
    <xf numFmtId="0" fontId="28" fillId="0" borderId="0" xfId="8" applyFont="1"/>
    <xf numFmtId="0" fontId="32" fillId="0" borderId="0" xfId="8" applyFont="1" applyAlignment="1">
      <alignment horizontal="center"/>
    </xf>
    <xf numFmtId="0" fontId="2" fillId="3" borderId="0" xfId="6"/>
    <xf numFmtId="0" fontId="0" fillId="0" borderId="14" xfId="0" applyBorder="1"/>
    <xf numFmtId="0" fontId="0" fillId="0" borderId="15" xfId="0" applyBorder="1"/>
    <xf numFmtId="0" fontId="0" fillId="0" borderId="16" xfId="0" applyBorder="1"/>
    <xf numFmtId="171" fontId="0" fillId="0" borderId="0" xfId="0" applyNumberFormat="1"/>
    <xf numFmtId="10" fontId="0" fillId="0" borderId="0" xfId="0" applyNumberFormat="1"/>
    <xf numFmtId="0" fontId="0" fillId="0" borderId="17" xfId="0" applyBorder="1"/>
    <xf numFmtId="0" fontId="0" fillId="0" borderId="18" xfId="0" applyBorder="1"/>
    <xf numFmtId="0" fontId="0" fillId="0" borderId="0" xfId="0" applyAlignment="1">
      <alignment horizontal="right"/>
    </xf>
    <xf numFmtId="180" fontId="1" fillId="2" borderId="16" xfId="4" applyNumberFormat="1" applyBorder="1" applyAlignment="1">
      <alignment horizontal="left"/>
    </xf>
    <xf numFmtId="180" fontId="1" fillId="2" borderId="0" xfId="4" applyNumberFormat="1" applyBorder="1" applyAlignment="1">
      <alignment horizontal="left"/>
    </xf>
    <xf numFmtId="180" fontId="1" fillId="2" borderId="15" xfId="4" applyNumberFormat="1" applyBorder="1" applyAlignment="1">
      <alignment horizontal="left"/>
    </xf>
    <xf numFmtId="175" fontId="33" fillId="0" borderId="0" xfId="0" applyNumberFormat="1" applyFont="1"/>
    <xf numFmtId="10" fontId="33" fillId="0" borderId="0" xfId="1" applyNumberFormat="1" applyFont="1"/>
    <xf numFmtId="182" fontId="12" fillId="0" borderId="0" xfId="0" applyNumberFormat="1" applyFont="1"/>
    <xf numFmtId="0" fontId="13" fillId="0" borderId="2" xfId="0" applyFont="1" applyBorder="1"/>
    <xf numFmtId="0" fontId="12" fillId="0" borderId="2" xfId="0" applyFont="1" applyBorder="1"/>
    <xf numFmtId="175" fontId="23" fillId="0" borderId="0" xfId="0" applyNumberFormat="1" applyFont="1"/>
    <xf numFmtId="180" fontId="4" fillId="2" borderId="0" xfId="4" applyNumberFormat="1" applyFont="1" applyAlignment="1">
      <alignment horizontal="left"/>
    </xf>
    <xf numFmtId="180" fontId="4" fillId="2" borderId="0" xfId="4" applyNumberFormat="1" applyFont="1" applyAlignment="1">
      <alignment horizontal="center"/>
    </xf>
    <xf numFmtId="172" fontId="4" fillId="2" borderId="0" xfId="4" applyNumberFormat="1" applyFont="1" applyAlignment="1">
      <alignment horizontal="center"/>
    </xf>
    <xf numFmtId="0" fontId="12" fillId="6" borderId="6" xfId="0" applyFont="1" applyFill="1" applyBorder="1"/>
    <xf numFmtId="0" fontId="12" fillId="6" borderId="4" xfId="0" applyFont="1" applyFill="1" applyBorder="1"/>
    <xf numFmtId="0" fontId="12" fillId="6" borderId="7" xfId="0" applyFont="1" applyFill="1" applyBorder="1"/>
    <xf numFmtId="0" fontId="12" fillId="6" borderId="10" xfId="0" applyFont="1" applyFill="1" applyBorder="1"/>
    <xf numFmtId="0" fontId="12" fillId="6" borderId="0" xfId="0" applyFont="1" applyFill="1"/>
    <xf numFmtId="0" fontId="12" fillId="6" borderId="11" xfId="0" applyFont="1" applyFill="1" applyBorder="1"/>
    <xf numFmtId="0" fontId="12" fillId="6" borderId="8" xfId="0" applyFont="1" applyFill="1" applyBorder="1"/>
    <xf numFmtId="0" fontId="12" fillId="6" borderId="2" xfId="0" applyFont="1" applyFill="1" applyBorder="1"/>
    <xf numFmtId="0" fontId="12" fillId="6" borderId="9" xfId="0" applyFont="1" applyFill="1" applyBorder="1"/>
    <xf numFmtId="175" fontId="34" fillId="0" borderId="0" xfId="0" applyNumberFormat="1" applyFont="1"/>
    <xf numFmtId="0" fontId="20" fillId="0" borderId="0" xfId="0" applyFont="1"/>
    <xf numFmtId="0" fontId="4" fillId="7" borderId="0" xfId="4" applyFont="1" applyFill="1"/>
    <xf numFmtId="175" fontId="4" fillId="7" borderId="0" xfId="4" applyNumberFormat="1" applyFont="1" applyFill="1"/>
    <xf numFmtId="175" fontId="35" fillId="7" borderId="0" xfId="4" applyNumberFormat="1" applyFont="1" applyFill="1"/>
    <xf numFmtId="0" fontId="4" fillId="2" borderId="0" xfId="4" applyFont="1"/>
    <xf numFmtId="175" fontId="35" fillId="2" borderId="0" xfId="4" applyNumberFormat="1" applyFont="1"/>
    <xf numFmtId="175" fontId="4" fillId="2" borderId="0" xfId="4" applyNumberFormat="1" applyFont="1"/>
    <xf numFmtId="172" fontId="36" fillId="0" borderId="0" xfId="0" applyNumberFormat="1" applyFont="1" applyAlignment="1">
      <alignment horizontal="center"/>
    </xf>
    <xf numFmtId="172" fontId="36" fillId="0" borderId="4" xfId="0" applyNumberFormat="1" applyFont="1" applyBorder="1" applyAlignment="1">
      <alignment horizontal="center"/>
    </xf>
    <xf numFmtId="173" fontId="13" fillId="0" borderId="13" xfId="0" applyNumberFormat="1" applyFont="1" applyBorder="1" applyAlignment="1">
      <alignment horizontal="center"/>
    </xf>
    <xf numFmtId="174" fontId="13" fillId="0" borderId="13" xfId="0" applyNumberFormat="1" applyFont="1" applyBorder="1" applyAlignment="1">
      <alignment horizontal="center"/>
    </xf>
    <xf numFmtId="0" fontId="1" fillId="7" borderId="0" xfId="4" applyFill="1"/>
    <xf numFmtId="175" fontId="1" fillId="7" borderId="0" xfId="4" applyNumberFormat="1" applyFill="1"/>
    <xf numFmtId="0" fontId="1" fillId="0" borderId="0" xfId="4" applyFill="1"/>
    <xf numFmtId="175" fontId="1" fillId="0" borderId="0" xfId="4" applyNumberFormat="1" applyFill="1"/>
    <xf numFmtId="0" fontId="37" fillId="0" borderId="0" xfId="8" applyFont="1"/>
    <xf numFmtId="171" fontId="12" fillId="0" borderId="0" xfId="0" applyNumberFormat="1" applyFont="1" applyAlignment="1">
      <alignment horizontal="centerContinuous"/>
    </xf>
    <xf numFmtId="0" fontId="12" fillId="0" borderId="0" xfId="0" applyFont="1" applyAlignment="1">
      <alignment horizontal="centerContinuous"/>
    </xf>
    <xf numFmtId="0" fontId="12" fillId="0" borderId="0" xfId="0" applyFont="1" applyAlignment="1">
      <alignment horizontal="left" indent="3"/>
    </xf>
    <xf numFmtId="0" fontId="12" fillId="0" borderId="0" xfId="0" applyFont="1" applyAlignment="1">
      <alignment horizontal="left" indent="4"/>
    </xf>
    <xf numFmtId="0" fontId="13" fillId="0" borderId="0" xfId="0" applyFont="1" applyAlignment="1">
      <alignment horizontal="left" indent="2"/>
    </xf>
    <xf numFmtId="0" fontId="13" fillId="0" borderId="0" xfId="0" applyFont="1" applyAlignment="1">
      <alignment horizontal="left" indent="3"/>
    </xf>
    <xf numFmtId="0" fontId="4" fillId="2" borderId="0" xfId="4" applyFont="1" applyAlignment="1">
      <alignment horizontal="left" indent="2"/>
    </xf>
    <xf numFmtId="0" fontId="13" fillId="0" borderId="19" xfId="0" applyFont="1" applyBorder="1" applyAlignment="1">
      <alignment horizontal="left"/>
    </xf>
    <xf numFmtId="0" fontId="13" fillId="0" borderId="19" xfId="0" applyFont="1" applyBorder="1"/>
    <xf numFmtId="175" fontId="24" fillId="0" borderId="19" xfId="0" applyNumberFormat="1" applyFont="1" applyBorder="1"/>
    <xf numFmtId="0" fontId="4" fillId="2" borderId="0" xfId="4" applyFont="1" applyAlignment="1">
      <alignment horizontal="left" indent="1"/>
    </xf>
    <xf numFmtId="0" fontId="13" fillId="0" borderId="3" xfId="0" applyFont="1" applyBorder="1"/>
    <xf numFmtId="175" fontId="13" fillId="0" borderId="3" xfId="0" applyNumberFormat="1" applyFont="1" applyBorder="1"/>
    <xf numFmtId="0" fontId="34" fillId="0" borderId="0" xfId="0" applyFont="1"/>
    <xf numFmtId="0" fontId="13" fillId="0" borderId="3" xfId="0" applyFont="1" applyBorder="1" applyAlignment="1">
      <alignment horizontal="left"/>
    </xf>
    <xf numFmtId="0" fontId="4" fillId="2" borderId="0" xfId="4" applyFont="1" applyAlignment="1">
      <alignment horizontal="left"/>
    </xf>
    <xf numFmtId="175" fontId="12" fillId="0" borderId="0" xfId="0" applyNumberFormat="1" applyFont="1" applyAlignment="1">
      <alignment horizontal="left" indent="1"/>
    </xf>
    <xf numFmtId="0" fontId="39" fillId="9" borderId="0" xfId="0" applyFont="1" applyFill="1"/>
    <xf numFmtId="0" fontId="12" fillId="9" borderId="0" xfId="0" applyFont="1" applyFill="1"/>
    <xf numFmtId="0" fontId="0" fillId="9" borderId="0" xfId="0" applyFill="1"/>
    <xf numFmtId="175" fontId="13" fillId="0" borderId="0" xfId="0" applyNumberFormat="1" applyFont="1" applyAlignment="1">
      <alignment horizontal="left" indent="1"/>
    </xf>
    <xf numFmtId="180" fontId="0" fillId="2" borderId="0" xfId="4" applyNumberFormat="1" applyFont="1" applyAlignment="1">
      <alignment horizontal="left"/>
    </xf>
    <xf numFmtId="0" fontId="1" fillId="0" borderId="0" xfId="4" applyNumberFormat="1" applyFill="1" applyBorder="1" applyAlignment="1">
      <alignment horizontal="left"/>
    </xf>
    <xf numFmtId="9" fontId="0" fillId="0" borderId="0" xfId="1" applyFont="1" applyBorder="1"/>
    <xf numFmtId="9" fontId="0" fillId="0" borderId="0" xfId="1" applyFont="1"/>
    <xf numFmtId="3" fontId="0" fillId="0" borderId="0" xfId="0" applyNumberFormat="1"/>
    <xf numFmtId="8" fontId="0" fillId="0" borderId="0" xfId="0" applyNumberFormat="1"/>
    <xf numFmtId="6" fontId="0" fillId="0" borderId="0" xfId="0" applyNumberFormat="1"/>
    <xf numFmtId="0" fontId="2" fillId="3" borderId="0" xfId="6" applyAlignment="1">
      <alignment horizontal="left"/>
    </xf>
    <xf numFmtId="0" fontId="0" fillId="3" borderId="0" xfId="0" applyFill="1"/>
    <xf numFmtId="43" fontId="12" fillId="0" borderId="0" xfId="13" applyFont="1"/>
    <xf numFmtId="43" fontId="12" fillId="0" borderId="0" xfId="0" applyNumberFormat="1" applyFont="1"/>
    <xf numFmtId="10" fontId="40" fillId="0" borderId="0" xfId="0" applyNumberFormat="1" applyFont="1"/>
    <xf numFmtId="10" fontId="40" fillId="0" borderId="0" xfId="1" applyNumberFormat="1" applyFont="1"/>
    <xf numFmtId="175" fontId="22" fillId="0" borderId="0" xfId="0" applyNumberFormat="1" applyFont="1" applyAlignment="1">
      <alignment horizontal="left" indent="1"/>
    </xf>
    <xf numFmtId="178" fontId="12" fillId="0" borderId="0" xfId="13" applyNumberFormat="1" applyFont="1"/>
    <xf numFmtId="175" fontId="12" fillId="0" borderId="0" xfId="1" applyNumberFormat="1" applyFont="1"/>
    <xf numFmtId="0" fontId="40" fillId="0" borderId="0" xfId="0" applyFont="1"/>
    <xf numFmtId="0" fontId="40" fillId="0" borderId="0" xfId="0" applyFont="1" applyAlignment="1">
      <alignment horizontal="right"/>
    </xf>
    <xf numFmtId="175" fontId="21" fillId="0" borderId="3" xfId="0" applyNumberFormat="1" applyFont="1" applyBorder="1" applyAlignment="1">
      <alignment horizontal="left"/>
    </xf>
    <xf numFmtId="175" fontId="0" fillId="0" borderId="0" xfId="0" applyNumberFormat="1" applyAlignment="1">
      <alignment horizontal="left"/>
    </xf>
    <xf numFmtId="175" fontId="22" fillId="0" borderId="0" xfId="0" applyNumberFormat="1" applyFont="1" applyAlignment="1">
      <alignment horizontal="left" indent="2"/>
    </xf>
    <xf numFmtId="0" fontId="4" fillId="0" borderId="0" xfId="0" applyFont="1"/>
    <xf numFmtId="0" fontId="2" fillId="3" borderId="0" xfId="6" applyAlignment="1">
      <alignment horizontal="center" vertical="center"/>
    </xf>
    <xf numFmtId="0" fontId="2" fillId="3" borderId="0" xfId="6" applyAlignment="1">
      <alignment horizontal="centerContinuous" vertical="center"/>
    </xf>
    <xf numFmtId="0" fontId="2" fillId="3" borderId="0" xfId="6" applyAlignment="1">
      <alignment horizontal="centerContinuous" vertical="center" wrapText="1"/>
    </xf>
    <xf numFmtId="0" fontId="2" fillId="3" borderId="0" xfId="6" applyAlignment="1">
      <alignment horizontal="left" vertical="top"/>
    </xf>
    <xf numFmtId="0" fontId="2" fillId="3" borderId="0" xfId="6" applyAlignment="1">
      <alignment vertical="center" wrapText="1"/>
    </xf>
    <xf numFmtId="6" fontId="0" fillId="3" borderId="0" xfId="0" applyNumberFormat="1" applyFill="1" applyAlignment="1">
      <alignment horizontal="centerContinuous" vertical="center"/>
    </xf>
    <xf numFmtId="0" fontId="8" fillId="0" borderId="0" xfId="0" applyFont="1"/>
    <xf numFmtId="175" fontId="34" fillId="0" borderId="0" xfId="0" applyNumberFormat="1" applyFont="1" applyAlignment="1">
      <alignment horizontal="left" indent="1"/>
    </xf>
    <xf numFmtId="43" fontId="0" fillId="0" borderId="0" xfId="13" applyFont="1"/>
    <xf numFmtId="10" fontId="0" fillId="0" borderId="0" xfId="1" applyNumberFormat="1" applyFont="1"/>
    <xf numFmtId="0" fontId="0" fillId="0" borderId="6" xfId="0" applyBorder="1"/>
    <xf numFmtId="0" fontId="0" fillId="0" borderId="4" xfId="0" applyBorder="1" applyAlignment="1">
      <alignment horizontal="center"/>
    </xf>
    <xf numFmtId="43" fontId="0" fillId="0" borderId="4" xfId="0" applyNumberFormat="1" applyBorder="1"/>
    <xf numFmtId="3" fontId="0" fillId="0" borderId="4" xfId="0" applyNumberFormat="1" applyBorder="1"/>
    <xf numFmtId="9" fontId="0" fillId="0" borderId="4" xfId="1" applyFont="1" applyBorder="1"/>
    <xf numFmtId="10" fontId="0" fillId="0" borderId="4" xfId="1" applyNumberFormat="1" applyFont="1" applyBorder="1"/>
    <xf numFmtId="10" fontId="0" fillId="0" borderId="7" xfId="1" applyNumberFormat="1" applyFont="1" applyBorder="1"/>
    <xf numFmtId="0" fontId="0" fillId="0" borderId="10" xfId="0" applyBorder="1"/>
    <xf numFmtId="10" fontId="0" fillId="0" borderId="0" xfId="1" applyNumberFormat="1" applyFont="1" applyBorder="1"/>
    <xf numFmtId="10" fontId="0" fillId="0" borderId="11" xfId="1" applyNumberFormat="1" applyFont="1" applyBorder="1"/>
    <xf numFmtId="0" fontId="0" fillId="0" borderId="8" xfId="0" applyBorder="1"/>
    <xf numFmtId="0" fontId="0" fillId="0" borderId="2" xfId="0" applyBorder="1" applyAlignment="1">
      <alignment horizontal="center"/>
    </xf>
    <xf numFmtId="43" fontId="0" fillId="0" borderId="2" xfId="0" applyNumberFormat="1" applyBorder="1"/>
    <xf numFmtId="3" fontId="0" fillId="0" borderId="2" xfId="0" applyNumberFormat="1" applyBorder="1"/>
    <xf numFmtId="9" fontId="0" fillId="0" borderId="2" xfId="1" applyFont="1" applyBorder="1"/>
    <xf numFmtId="10" fontId="0" fillId="0" borderId="2" xfId="1" applyNumberFormat="1" applyFont="1" applyBorder="1"/>
    <xf numFmtId="10" fontId="0" fillId="0" borderId="9" xfId="1" applyNumberFormat="1" applyFont="1" applyBorder="1"/>
    <xf numFmtId="0" fontId="4" fillId="7" borderId="20" xfId="0" applyFont="1" applyFill="1" applyBorder="1"/>
    <xf numFmtId="0" fontId="4" fillId="7" borderId="3" xfId="0" applyFont="1" applyFill="1" applyBorder="1" applyAlignment="1">
      <alignment horizontal="center"/>
    </xf>
    <xf numFmtId="43" fontId="4" fillId="7" borderId="3" xfId="0" applyNumberFormat="1" applyFont="1" applyFill="1" applyBorder="1"/>
    <xf numFmtId="3" fontId="4" fillId="7" borderId="3" xfId="0" applyNumberFormat="1" applyFont="1" applyFill="1" applyBorder="1"/>
    <xf numFmtId="9" fontId="4" fillId="7" borderId="3" xfId="1" applyFont="1" applyFill="1" applyBorder="1"/>
    <xf numFmtId="10" fontId="4" fillId="7" borderId="3" xfId="1" applyNumberFormat="1" applyFont="1" applyFill="1" applyBorder="1"/>
    <xf numFmtId="10" fontId="4" fillId="7" borderId="21" xfId="1" applyNumberFormat="1" applyFont="1" applyFill="1" applyBorder="1"/>
    <xf numFmtId="8" fontId="0" fillId="0" borderId="0" xfId="13" applyNumberFormat="1" applyFont="1"/>
    <xf numFmtId="183" fontId="0" fillId="0" borderId="0" xfId="0" applyNumberFormat="1"/>
    <xf numFmtId="184" fontId="0" fillId="0" borderId="0" xfId="0" applyNumberFormat="1"/>
    <xf numFmtId="183" fontId="0" fillId="0" borderId="4" xfId="0" applyNumberFormat="1" applyBorder="1"/>
    <xf numFmtId="183" fontId="4" fillId="7" borderId="3" xfId="0" applyNumberFormat="1" applyFont="1" applyFill="1" applyBorder="1"/>
    <xf numFmtId="183" fontId="0" fillId="0" borderId="2" xfId="0" applyNumberFormat="1" applyBorder="1"/>
    <xf numFmtId="184" fontId="0" fillId="0" borderId="4" xfId="0" applyNumberFormat="1" applyBorder="1"/>
    <xf numFmtId="184" fontId="4" fillId="7" borderId="3" xfId="0" applyNumberFormat="1" applyFont="1" applyFill="1" applyBorder="1"/>
    <xf numFmtId="184" fontId="0" fillId="0" borderId="2" xfId="0" applyNumberFormat="1" applyBorder="1"/>
    <xf numFmtId="0" fontId="4" fillId="2" borderId="0" xfId="4" applyFont="1" applyAlignment="1">
      <alignment horizontal="center"/>
    </xf>
    <xf numFmtId="185" fontId="0" fillId="0" borderId="0" xfId="0" applyNumberFormat="1"/>
    <xf numFmtId="185" fontId="0" fillId="0" borderId="4" xfId="0" applyNumberFormat="1" applyBorder="1"/>
    <xf numFmtId="185" fontId="4" fillId="7" borderId="3" xfId="0" applyNumberFormat="1" applyFont="1" applyFill="1" applyBorder="1"/>
    <xf numFmtId="185" fontId="0" fillId="0" borderId="2" xfId="0" applyNumberFormat="1" applyBorder="1"/>
    <xf numFmtId="185" fontId="0" fillId="0" borderId="7" xfId="0" applyNumberFormat="1" applyBorder="1"/>
    <xf numFmtId="43" fontId="0" fillId="0" borderId="0" xfId="0" applyNumberFormat="1"/>
    <xf numFmtId="185" fontId="0" fillId="0" borderId="11" xfId="0" applyNumberFormat="1" applyBorder="1"/>
    <xf numFmtId="185" fontId="4" fillId="7" borderId="21" xfId="0" applyNumberFormat="1" applyFont="1" applyFill="1" applyBorder="1"/>
    <xf numFmtId="185" fontId="0" fillId="0" borderId="9" xfId="0" applyNumberFormat="1" applyBorder="1"/>
    <xf numFmtId="14" fontId="8" fillId="0" borderId="0" xfId="0" applyNumberFormat="1" applyFont="1" applyAlignment="1">
      <alignment horizontal="center"/>
    </xf>
    <xf numFmtId="0" fontId="6" fillId="0" borderId="0" xfId="0" applyFont="1" applyAlignment="1">
      <alignment horizontal="center"/>
    </xf>
    <xf numFmtId="167" fontId="6" fillId="0" borderId="0" xfId="0" applyNumberFormat="1" applyFont="1"/>
    <xf numFmtId="10" fontId="44" fillId="0" borderId="0" xfId="1" applyNumberFormat="1" applyFont="1" applyFill="1" applyAlignment="1">
      <alignment horizontal="center"/>
    </xf>
    <xf numFmtId="187" fontId="2" fillId="3" borderId="0" xfId="6" applyNumberFormat="1" applyAlignment="1">
      <alignment horizontal="centerContinuous" vertical="center"/>
    </xf>
    <xf numFmtId="0" fontId="4" fillId="0" borderId="0" xfId="4" applyFont="1" applyFill="1"/>
    <xf numFmtId="0" fontId="2" fillId="0" borderId="0" xfId="6" applyFill="1" applyAlignment="1">
      <alignment horizontal="centerContinuous"/>
    </xf>
    <xf numFmtId="0" fontId="2" fillId="3" borderId="0" xfId="6" applyAlignment="1">
      <alignment horizontal="center"/>
    </xf>
    <xf numFmtId="0" fontId="0" fillId="7" borderId="0" xfId="4" applyFont="1" applyFill="1"/>
    <xf numFmtId="175" fontId="0" fillId="7" borderId="0" xfId="4" applyNumberFormat="1" applyFont="1" applyFill="1"/>
    <xf numFmtId="175" fontId="0" fillId="2" borderId="4" xfId="4" applyNumberFormat="1" applyFont="1" applyBorder="1"/>
    <xf numFmtId="0" fontId="2" fillId="0" borderId="0" xfId="6" applyFill="1" applyAlignment="1">
      <alignment horizontal="centerContinuous" vertical="center"/>
    </xf>
    <xf numFmtId="171" fontId="0" fillId="0" borderId="15" xfId="0" applyNumberFormat="1" applyBorder="1"/>
    <xf numFmtId="0" fontId="0" fillId="0" borderId="2" xfId="0" applyBorder="1"/>
    <xf numFmtId="10" fontId="0" fillId="0" borderId="12" xfId="0" applyNumberFormat="1" applyBorder="1" applyAlignment="1">
      <alignment horizontal="center"/>
    </xf>
    <xf numFmtId="10" fontId="46" fillId="0" borderId="0" xfId="1" applyNumberFormat="1" applyFont="1"/>
    <xf numFmtId="10" fontId="6" fillId="0" borderId="0" xfId="0" applyNumberFormat="1" applyFont="1"/>
    <xf numFmtId="174" fontId="4" fillId="0" borderId="3" xfId="0" applyNumberFormat="1" applyFont="1" applyBorder="1"/>
    <xf numFmtId="0" fontId="47" fillId="0" borderId="0" xfId="0" applyFont="1"/>
    <xf numFmtId="173" fontId="4" fillId="0" borderId="2" xfId="0" applyNumberFormat="1" applyFont="1" applyBorder="1"/>
    <xf numFmtId="175" fontId="13" fillId="7" borderId="4" xfId="0" applyNumberFormat="1" applyFont="1" applyFill="1" applyBorder="1"/>
    <xf numFmtId="0" fontId="4" fillId="7" borderId="4" xfId="0" applyFont="1" applyFill="1" applyBorder="1"/>
    <xf numFmtId="0" fontId="2" fillId="3" borderId="22" xfId="6" applyBorder="1" applyAlignment="1">
      <alignment horizontal="centerContinuous"/>
    </xf>
    <xf numFmtId="0" fontId="2" fillId="3" borderId="23" xfId="6" applyBorder="1" applyAlignment="1">
      <alignment horizontal="centerContinuous"/>
    </xf>
    <xf numFmtId="0" fontId="2" fillId="3" borderId="24" xfId="6" applyBorder="1" applyAlignment="1">
      <alignment horizontal="centerContinuous"/>
    </xf>
    <xf numFmtId="0" fontId="4" fillId="2" borderId="16" xfId="4" applyFont="1" applyBorder="1"/>
    <xf numFmtId="0" fontId="4" fillId="2" borderId="0" xfId="4" applyFont="1" applyBorder="1"/>
    <xf numFmtId="0" fontId="4" fillId="2" borderId="15" xfId="4" applyFont="1" applyBorder="1"/>
    <xf numFmtId="175" fontId="12" fillId="7" borderId="15" xfId="0" applyNumberFormat="1" applyFont="1" applyFill="1" applyBorder="1"/>
    <xf numFmtId="0" fontId="4" fillId="7" borderId="25" xfId="0" applyFont="1" applyFill="1" applyBorder="1"/>
    <xf numFmtId="175" fontId="13" fillId="7" borderId="26" xfId="0" applyNumberFormat="1" applyFont="1" applyFill="1" applyBorder="1"/>
    <xf numFmtId="175" fontId="12" fillId="0" borderId="15" xfId="0" applyNumberFormat="1" applyFont="1" applyBorder="1"/>
    <xf numFmtId="0" fontId="4" fillId="0" borderId="16" xfId="0" applyFont="1" applyBorder="1"/>
    <xf numFmtId="0" fontId="4" fillId="2" borderId="0" xfId="4" applyFont="1" applyBorder="1" applyAlignment="1">
      <alignment horizontal="center"/>
    </xf>
    <xf numFmtId="10" fontId="4" fillId="7" borderId="28" xfId="1" applyNumberFormat="1" applyFont="1" applyFill="1" applyBorder="1"/>
    <xf numFmtId="0" fontId="4" fillId="7" borderId="27" xfId="0" applyFont="1" applyFill="1" applyBorder="1"/>
    <xf numFmtId="0" fontId="4" fillId="7" borderId="28" xfId="0" applyFont="1" applyFill="1" applyBorder="1"/>
    <xf numFmtId="0" fontId="0" fillId="7" borderId="28" xfId="0" applyFill="1" applyBorder="1"/>
    <xf numFmtId="0" fontId="0" fillId="7" borderId="29" xfId="0" applyFill="1" applyBorder="1"/>
    <xf numFmtId="10" fontId="46" fillId="0" borderId="2" xfId="1" applyNumberFormat="1" applyFont="1" applyBorder="1"/>
    <xf numFmtId="10" fontId="4" fillId="0" borderId="0" xfId="0" applyNumberFormat="1" applyFont="1"/>
    <xf numFmtId="10" fontId="4" fillId="0" borderId="12" xfId="0" applyNumberFormat="1" applyFont="1" applyBorder="1" applyAlignment="1">
      <alignment horizontal="center"/>
    </xf>
    <xf numFmtId="0" fontId="4" fillId="2" borderId="2" xfId="4" applyFont="1" applyBorder="1"/>
    <xf numFmtId="0" fontId="4" fillId="2" borderId="30" xfId="4" applyFont="1" applyBorder="1"/>
    <xf numFmtId="0" fontId="4" fillId="2" borderId="31" xfId="4" applyFont="1" applyBorder="1"/>
    <xf numFmtId="10" fontId="46" fillId="0" borderId="0" xfId="1" applyNumberFormat="1" applyFont="1" applyBorder="1"/>
    <xf numFmtId="10" fontId="46" fillId="0" borderId="15" xfId="1" applyNumberFormat="1" applyFont="1" applyBorder="1"/>
    <xf numFmtId="0" fontId="0" fillId="0" borderId="30" xfId="0" applyBorder="1"/>
    <xf numFmtId="10" fontId="46" fillId="0" borderId="31" xfId="1" applyNumberFormat="1" applyFont="1" applyBorder="1"/>
    <xf numFmtId="10" fontId="4" fillId="0" borderId="15" xfId="0" applyNumberFormat="1" applyFont="1" applyBorder="1"/>
    <xf numFmtId="10" fontId="46" fillId="0" borderId="0" xfId="0" applyNumberFormat="1" applyFont="1"/>
    <xf numFmtId="171" fontId="46" fillId="0" borderId="0" xfId="0" applyNumberFormat="1" applyFont="1"/>
    <xf numFmtId="0" fontId="6" fillId="0" borderId="0" xfId="0" applyFont="1"/>
    <xf numFmtId="175" fontId="0" fillId="0" borderId="0" xfId="0" applyNumberFormat="1"/>
    <xf numFmtId="0" fontId="4" fillId="2" borderId="15" xfId="4" applyFont="1" applyBorder="1" applyAlignment="1">
      <alignment horizontal="center"/>
    </xf>
    <xf numFmtId="0" fontId="4" fillId="0" borderId="15" xfId="0" applyFont="1" applyBorder="1"/>
    <xf numFmtId="9" fontId="6" fillId="0" borderId="15" xfId="0" applyNumberFormat="1" applyFont="1" applyBorder="1" applyAlignment="1">
      <alignment horizontal="center"/>
    </xf>
    <xf numFmtId="9" fontId="0" fillId="0" borderId="15" xfId="0" applyNumberFormat="1" applyBorder="1" applyAlignment="1">
      <alignment horizontal="center"/>
    </xf>
    <xf numFmtId="0" fontId="4" fillId="7" borderId="17" xfId="0" applyFont="1" applyFill="1" applyBorder="1"/>
    <xf numFmtId="0" fontId="4" fillId="7" borderId="14" xfId="0" applyFont="1" applyFill="1" applyBorder="1"/>
    <xf numFmtId="10" fontId="4" fillId="7" borderId="14" xfId="1" applyNumberFormat="1" applyFont="1" applyFill="1" applyBorder="1"/>
    <xf numFmtId="0" fontId="4" fillId="7" borderId="18" xfId="0" applyFont="1" applyFill="1" applyBorder="1"/>
    <xf numFmtId="0" fontId="4" fillId="2" borderId="16" xfId="4" applyFont="1" applyBorder="1" applyAlignment="1">
      <alignment horizontal="center"/>
    </xf>
    <xf numFmtId="10" fontId="0" fillId="0" borderId="16" xfId="0" applyNumberFormat="1" applyBorder="1"/>
    <xf numFmtId="10" fontId="0" fillId="0" borderId="17" xfId="0" applyNumberFormat="1" applyBorder="1"/>
    <xf numFmtId="10" fontId="6" fillId="0" borderId="15" xfId="0" applyNumberFormat="1" applyFont="1" applyBorder="1"/>
    <xf numFmtId="10" fontId="6" fillId="0" borderId="14" xfId="0" applyNumberFormat="1" applyFont="1" applyBorder="1"/>
    <xf numFmtId="10" fontId="6" fillId="0" borderId="18" xfId="0" applyNumberFormat="1" applyFont="1" applyBorder="1"/>
    <xf numFmtId="2" fontId="6" fillId="0" borderId="16" xfId="0" applyNumberFormat="1" applyFont="1" applyBorder="1"/>
    <xf numFmtId="2" fontId="6" fillId="0" borderId="0" xfId="0" applyNumberFormat="1" applyFont="1"/>
    <xf numFmtId="2" fontId="6" fillId="0" borderId="17" xfId="0" applyNumberFormat="1" applyFont="1" applyBorder="1"/>
    <xf numFmtId="2" fontId="6" fillId="0" borderId="14" xfId="0" applyNumberFormat="1" applyFont="1" applyBorder="1"/>
    <xf numFmtId="0" fontId="6" fillId="0" borderId="14" xfId="0" applyFont="1" applyBorder="1"/>
    <xf numFmtId="2" fontId="35" fillId="0" borderId="32" xfId="0" applyNumberFormat="1" applyFont="1" applyBorder="1"/>
    <xf numFmtId="2" fontId="35" fillId="0" borderId="33" xfId="0" applyNumberFormat="1" applyFont="1" applyBorder="1"/>
    <xf numFmtId="0" fontId="35" fillId="0" borderId="33" xfId="0" applyFont="1" applyBorder="1"/>
    <xf numFmtId="10" fontId="35" fillId="0" borderId="33" xfId="0" applyNumberFormat="1" applyFont="1" applyBorder="1"/>
    <xf numFmtId="10" fontId="35" fillId="0" borderId="34" xfId="0" applyNumberFormat="1" applyFont="1" applyBorder="1"/>
    <xf numFmtId="0" fontId="4" fillId="0" borderId="32" xfId="0" applyFont="1" applyBorder="1"/>
    <xf numFmtId="10" fontId="14" fillId="0" borderId="0" xfId="0" applyNumberFormat="1" applyFont="1"/>
    <xf numFmtId="0" fontId="0" fillId="0" borderId="0" xfId="0" applyAlignment="1">
      <alignment horizontal="left" indent="1"/>
    </xf>
    <xf numFmtId="0" fontId="0" fillId="0" borderId="2" xfId="0" applyBorder="1" applyAlignment="1">
      <alignment horizontal="left" indent="1"/>
    </xf>
    <xf numFmtId="10" fontId="0" fillId="0" borderId="2" xfId="0" applyNumberFormat="1" applyBorder="1"/>
    <xf numFmtId="9" fontId="46" fillId="0" borderId="0" xfId="0" applyNumberFormat="1" applyFont="1"/>
    <xf numFmtId="9" fontId="12" fillId="0" borderId="0" xfId="1" applyFont="1" applyAlignment="1">
      <alignment horizontal="left" indent="1"/>
    </xf>
    <xf numFmtId="10" fontId="0" fillId="0" borderId="0" xfId="1" applyNumberFormat="1" applyFont="1" applyFill="1"/>
    <xf numFmtId="171" fontId="46" fillId="0" borderId="2" xfId="0" applyNumberFormat="1" applyFont="1" applyBorder="1" applyAlignment="1">
      <alignment horizontal="center"/>
    </xf>
    <xf numFmtId="10" fontId="12" fillId="0" borderId="0" xfId="1" applyNumberFormat="1" applyFont="1" applyAlignment="1">
      <alignment horizontal="center"/>
    </xf>
    <xf numFmtId="0" fontId="2" fillId="3" borderId="22" xfId="6" applyBorder="1"/>
    <xf numFmtId="0" fontId="2" fillId="3" borderId="23" xfId="6" applyBorder="1"/>
    <xf numFmtId="0" fontId="2" fillId="3" borderId="16" xfId="6" applyBorder="1"/>
    <xf numFmtId="0" fontId="2" fillId="3" borderId="17" xfId="6" applyBorder="1"/>
    <xf numFmtId="0" fontId="2" fillId="3" borderId="14" xfId="6" applyBorder="1"/>
    <xf numFmtId="43" fontId="12" fillId="0" borderId="13" xfId="13" applyFont="1" applyBorder="1"/>
    <xf numFmtId="43" fontId="12" fillId="0" borderId="13" xfId="13" applyFont="1" applyBorder="1" applyAlignment="1">
      <alignment horizontal="center"/>
    </xf>
    <xf numFmtId="175" fontId="4" fillId="0" borderId="0" xfId="0" applyNumberFormat="1" applyFont="1"/>
    <xf numFmtId="178" fontId="31" fillId="0" borderId="0" xfId="13" applyNumberFormat="1" applyFont="1" applyAlignment="1">
      <alignment horizontal="right"/>
    </xf>
    <xf numFmtId="43" fontId="12" fillId="0" borderId="0" xfId="13" applyFont="1" applyBorder="1"/>
    <xf numFmtId="9" fontId="31" fillId="0" borderId="0" xfId="1" applyFont="1" applyAlignment="1">
      <alignment horizontal="right"/>
    </xf>
    <xf numFmtId="178" fontId="0" fillId="0" borderId="0" xfId="0" applyNumberFormat="1"/>
    <xf numFmtId="178" fontId="12" fillId="0" borderId="0" xfId="13" applyNumberFormat="1" applyFont="1" applyBorder="1" applyAlignment="1">
      <alignment horizontal="center"/>
    </xf>
    <xf numFmtId="178" fontId="12" fillId="0" borderId="13" xfId="13" applyNumberFormat="1" applyFont="1" applyBorder="1" applyAlignment="1">
      <alignment horizontal="center"/>
    </xf>
    <xf numFmtId="175" fontId="0" fillId="0" borderId="2" xfId="0" applyNumberFormat="1" applyBorder="1"/>
    <xf numFmtId="9" fontId="4" fillId="0" borderId="0" xfId="0" applyNumberFormat="1" applyFont="1"/>
    <xf numFmtId="0" fontId="0" fillId="2" borderId="4" xfId="4" applyFont="1" applyBorder="1"/>
    <xf numFmtId="175" fontId="49" fillId="0" borderId="0" xfId="0" applyNumberFormat="1" applyFont="1"/>
    <xf numFmtId="175" fontId="45" fillId="2" borderId="4" xfId="4" applyNumberFormat="1" applyFont="1" applyBorder="1"/>
    <xf numFmtId="175" fontId="50" fillId="2" borderId="0" xfId="4" applyNumberFormat="1" applyFont="1"/>
    <xf numFmtId="175" fontId="49" fillId="0" borderId="0" xfId="0" applyNumberFormat="1" applyFont="1" applyAlignment="1">
      <alignment horizontal="left" indent="1"/>
    </xf>
    <xf numFmtId="9" fontId="49" fillId="0" borderId="0" xfId="1" applyFont="1" applyAlignment="1">
      <alignment horizontal="left" indent="1"/>
    </xf>
    <xf numFmtId="175" fontId="51" fillId="0" borderId="3" xfId="0" applyNumberFormat="1" applyFont="1" applyBorder="1" applyAlignment="1">
      <alignment horizontal="left"/>
    </xf>
    <xf numFmtId="177" fontId="49" fillId="0" borderId="0" xfId="0" applyNumberFormat="1" applyFont="1"/>
    <xf numFmtId="0" fontId="50" fillId="2" borderId="0" xfId="4" applyFont="1"/>
    <xf numFmtId="175" fontId="51" fillId="0" borderId="0" xfId="0" applyNumberFormat="1" applyFont="1" applyAlignment="1">
      <alignment horizontal="left" indent="1"/>
    </xf>
    <xf numFmtId="10" fontId="49" fillId="0" borderId="0" xfId="1" applyNumberFormat="1" applyFont="1" applyAlignment="1">
      <alignment horizontal="center"/>
    </xf>
    <xf numFmtId="0" fontId="45" fillId="0" borderId="0" xfId="0" applyFont="1"/>
    <xf numFmtId="0" fontId="4" fillId="2" borderId="13" xfId="4" applyFont="1" applyBorder="1"/>
    <xf numFmtId="173" fontId="4" fillId="2" borderId="13" xfId="4" applyNumberFormat="1" applyFont="1" applyBorder="1" applyAlignment="1">
      <alignment horizontal="center"/>
    </xf>
    <xf numFmtId="0" fontId="20" fillId="0" borderId="0" xfId="0" applyFont="1" applyAlignment="1">
      <alignment horizontal="left" indent="4"/>
    </xf>
    <xf numFmtId="173" fontId="13" fillId="0" borderId="2" xfId="0" applyNumberFormat="1" applyFont="1" applyBorder="1" applyAlignment="1">
      <alignment horizontal="center"/>
    </xf>
    <xf numFmtId="174" fontId="13" fillId="0" borderId="3" xfId="0" applyNumberFormat="1" applyFont="1" applyBorder="1" applyAlignment="1">
      <alignment horizontal="center"/>
    </xf>
    <xf numFmtId="10" fontId="31" fillId="0" borderId="0" xfId="1" applyNumberFormat="1" applyFont="1" applyAlignment="1">
      <alignment horizontal="right"/>
    </xf>
    <xf numFmtId="183" fontId="4" fillId="0" borderId="0" xfId="0" applyNumberFormat="1" applyFont="1"/>
    <xf numFmtId="178" fontId="4" fillId="0" borderId="0" xfId="0" applyNumberFormat="1" applyFont="1"/>
    <xf numFmtId="2" fontId="1" fillId="0" borderId="0" xfId="1" applyNumberFormat="1" applyFill="1"/>
    <xf numFmtId="2" fontId="0" fillId="0" borderId="0" xfId="1" applyNumberFormat="1" applyFont="1"/>
    <xf numFmtId="171" fontId="1" fillId="0" borderId="0" xfId="1" applyNumberFormat="1" applyFill="1"/>
    <xf numFmtId="169" fontId="22" fillId="0" borderId="0" xfId="1" applyNumberFormat="1" applyFont="1"/>
    <xf numFmtId="169" fontId="45" fillId="0" borderId="0" xfId="1" applyNumberFormat="1" applyFont="1"/>
    <xf numFmtId="188" fontId="11" fillId="0" borderId="0" xfId="1" applyNumberFormat="1" applyFont="1"/>
    <xf numFmtId="188" fontId="0" fillId="0" borderId="0" xfId="1" applyNumberFormat="1" applyFont="1"/>
    <xf numFmtId="188" fontId="4" fillId="2" borderId="0" xfId="4" applyNumberFormat="1" applyFont="1"/>
    <xf numFmtId="188" fontId="0" fillId="0" borderId="0" xfId="0" applyNumberFormat="1"/>
    <xf numFmtId="188" fontId="11" fillId="0" borderId="0" xfId="0" applyNumberFormat="1" applyFont="1"/>
    <xf numFmtId="175" fontId="24" fillId="0" borderId="0" xfId="0" applyNumberFormat="1" applyFont="1" applyAlignment="1">
      <alignment horizontal="left" indent="1"/>
    </xf>
    <xf numFmtId="171" fontId="46" fillId="0" borderId="35" xfId="0" applyNumberFormat="1" applyFont="1" applyBorder="1" applyAlignment="1">
      <alignment horizontal="center"/>
    </xf>
    <xf numFmtId="171" fontId="8" fillId="0" borderId="0" xfId="1" applyNumberFormat="1" applyFont="1" applyBorder="1"/>
    <xf numFmtId="171" fontId="8" fillId="0" borderId="15" xfId="1" applyNumberFormat="1" applyFont="1" applyBorder="1"/>
    <xf numFmtId="171" fontId="8" fillId="0" borderId="2" xfId="1" applyNumberFormat="1" applyFont="1" applyBorder="1"/>
    <xf numFmtId="171" fontId="8" fillId="0" borderId="31" xfId="1" applyNumberFormat="1" applyFont="1" applyBorder="1"/>
    <xf numFmtId="171" fontId="4" fillId="0" borderId="0" xfId="0" applyNumberFormat="1" applyFont="1"/>
    <xf numFmtId="171" fontId="4" fillId="0" borderId="15" xfId="0" applyNumberFormat="1" applyFont="1" applyBorder="1"/>
    <xf numFmtId="171" fontId="4" fillId="0" borderId="12" xfId="0" applyNumberFormat="1" applyFont="1" applyBorder="1" applyAlignment="1">
      <alignment horizontal="center"/>
    </xf>
    <xf numFmtId="10" fontId="4" fillId="0" borderId="0" xfId="1" applyNumberFormat="1" applyFont="1"/>
    <xf numFmtId="175" fontId="34" fillId="0" borderId="2" xfId="0" applyNumberFormat="1" applyFont="1" applyBorder="1" applyAlignment="1">
      <alignment horizontal="left" indent="1"/>
    </xf>
    <xf numFmtId="188" fontId="44" fillId="0" borderId="2" xfId="1" applyNumberFormat="1" applyFont="1" applyBorder="1"/>
    <xf numFmtId="175" fontId="22" fillId="0" borderId="2" xfId="0" applyNumberFormat="1" applyFont="1" applyBorder="1"/>
    <xf numFmtId="175" fontId="24" fillId="0" borderId="4" xfId="0" applyNumberFormat="1" applyFont="1" applyBorder="1"/>
    <xf numFmtId="171" fontId="46" fillId="0" borderId="0" xfId="0" applyNumberFormat="1" applyFont="1" applyAlignment="1">
      <alignment horizontal="center"/>
    </xf>
    <xf numFmtId="9" fontId="0" fillId="0" borderId="31" xfId="0" applyNumberFormat="1" applyBorder="1" applyAlignment="1">
      <alignment horizontal="center"/>
    </xf>
    <xf numFmtId="171" fontId="4" fillId="7" borderId="14" xfId="0" applyNumberFormat="1" applyFont="1" applyFill="1" applyBorder="1" applyAlignment="1">
      <alignment horizontal="center"/>
    </xf>
    <xf numFmtId="9" fontId="4" fillId="7" borderId="18" xfId="0" applyNumberFormat="1" applyFont="1" applyFill="1" applyBorder="1" applyAlignment="1">
      <alignment horizontal="center"/>
    </xf>
    <xf numFmtId="4" fontId="52" fillId="7" borderId="2" xfId="0" applyNumberFormat="1" applyFont="1" applyFill="1" applyBorder="1" applyAlignment="1">
      <alignment horizontal="center"/>
    </xf>
    <xf numFmtId="0" fontId="4" fillId="2" borderId="16" xfId="4" applyFont="1" applyBorder="1" applyAlignment="1">
      <alignment horizontal="right"/>
    </xf>
    <xf numFmtId="4" fontId="46" fillId="7" borderId="0" xfId="0" applyNumberFormat="1" applyFont="1" applyFill="1" applyAlignment="1">
      <alignment horizontal="center"/>
    </xf>
    <xf numFmtId="0" fontId="0" fillId="0" borderId="15" xfId="0" applyBorder="1" applyAlignment="1">
      <alignment horizontal="center"/>
    </xf>
    <xf numFmtId="4" fontId="52" fillId="7" borderId="0" xfId="0" applyNumberFormat="1" applyFont="1" applyFill="1" applyAlignment="1">
      <alignment horizontal="center"/>
    </xf>
    <xf numFmtId="0" fontId="0" fillId="0" borderId="31" xfId="0" applyBorder="1"/>
    <xf numFmtId="0" fontId="4" fillId="0" borderId="17" xfId="0" applyFont="1" applyBorder="1" applyAlignment="1">
      <alignment horizontal="right"/>
    </xf>
    <xf numFmtId="4" fontId="4" fillId="7" borderId="14" xfId="0" applyNumberFormat="1" applyFont="1" applyFill="1" applyBorder="1" applyAlignment="1">
      <alignment horizontal="center"/>
    </xf>
    <xf numFmtId="0" fontId="4" fillId="0" borderId="18" xfId="0" applyFont="1" applyBorder="1"/>
    <xf numFmtId="0" fontId="2" fillId="3" borderId="38" xfId="6" applyBorder="1" applyAlignment="1">
      <alignment horizontal="centerContinuous"/>
    </xf>
    <xf numFmtId="0" fontId="2" fillId="3" borderId="39" xfId="6" applyBorder="1" applyAlignment="1">
      <alignment horizontal="centerContinuous"/>
    </xf>
    <xf numFmtId="0" fontId="2" fillId="3" borderId="40" xfId="6" applyBorder="1" applyAlignment="1">
      <alignment horizontal="centerContinuous"/>
    </xf>
    <xf numFmtId="0" fontId="4" fillId="2" borderId="41" xfId="4" applyFont="1" applyBorder="1"/>
    <xf numFmtId="0" fontId="4" fillId="2" borderId="42" xfId="4" applyFont="1" applyBorder="1"/>
    <xf numFmtId="0" fontId="0" fillId="0" borderId="41" xfId="0" applyBorder="1"/>
    <xf numFmtId="188" fontId="44" fillId="0" borderId="0" xfId="1" applyNumberFormat="1" applyFont="1" applyBorder="1"/>
    <xf numFmtId="188" fontId="11" fillId="0" borderId="42" xfId="1" applyNumberFormat="1" applyFont="1" applyBorder="1"/>
    <xf numFmtId="0" fontId="0" fillId="0" borderId="43" xfId="0" applyBorder="1"/>
    <xf numFmtId="188" fontId="11" fillId="0" borderId="44" xfId="1" applyNumberFormat="1" applyFont="1" applyBorder="1"/>
    <xf numFmtId="0" fontId="4" fillId="0" borderId="41" xfId="0" applyFont="1" applyBorder="1"/>
    <xf numFmtId="0" fontId="0" fillId="0" borderId="42" xfId="0" applyBorder="1"/>
    <xf numFmtId="0" fontId="4" fillId="0" borderId="45" xfId="0" applyFont="1" applyBorder="1"/>
    <xf numFmtId="0" fontId="0" fillId="0" borderId="46" xfId="0" applyBorder="1"/>
    <xf numFmtId="10" fontId="55" fillId="7" borderId="47" xfId="1" applyNumberFormat="1" applyFont="1" applyFill="1" applyBorder="1"/>
    <xf numFmtId="0" fontId="2" fillId="3" borderId="27" xfId="6" applyBorder="1"/>
    <xf numFmtId="0" fontId="2" fillId="3" borderId="28" xfId="6" applyBorder="1"/>
    <xf numFmtId="10" fontId="4" fillId="7" borderId="28" xfId="0" applyNumberFormat="1" applyFont="1" applyFill="1" applyBorder="1"/>
    <xf numFmtId="10" fontId="4" fillId="7" borderId="29" xfId="0" applyNumberFormat="1" applyFont="1" applyFill="1" applyBorder="1"/>
    <xf numFmtId="9" fontId="16" fillId="8" borderId="1" xfId="9" applyNumberFormat="1" applyAlignment="1">
      <alignment horizontal="center"/>
    </xf>
    <xf numFmtId="9" fontId="0" fillId="0" borderId="0" xfId="0" applyNumberFormat="1" applyAlignment="1">
      <alignment horizontal="center"/>
    </xf>
    <xf numFmtId="0" fontId="4" fillId="7" borderId="48" xfId="0" applyFont="1" applyFill="1" applyBorder="1"/>
    <xf numFmtId="0" fontId="0" fillId="7" borderId="49" xfId="0" applyFill="1" applyBorder="1"/>
    <xf numFmtId="10" fontId="4" fillId="7" borderId="49" xfId="0" applyNumberFormat="1" applyFont="1" applyFill="1" applyBorder="1" applyAlignment="1">
      <alignment horizontal="center"/>
    </xf>
    <xf numFmtId="10" fontId="4" fillId="7" borderId="50" xfId="0" applyNumberFormat="1" applyFont="1" applyFill="1" applyBorder="1" applyAlignment="1">
      <alignment horizontal="center"/>
    </xf>
    <xf numFmtId="0" fontId="13" fillId="7" borderId="4" xfId="0" applyFont="1" applyFill="1" applyBorder="1"/>
    <xf numFmtId="176" fontId="43" fillId="7" borderId="4" xfId="0" applyNumberFormat="1" applyFont="1" applyFill="1" applyBorder="1" applyAlignment="1">
      <alignment horizontal="center"/>
    </xf>
    <xf numFmtId="175" fontId="43" fillId="7" borderId="4" xfId="0" applyNumberFormat="1" applyFont="1" applyFill="1" applyBorder="1" applyAlignment="1">
      <alignment horizontal="left" indent="1"/>
    </xf>
    <xf numFmtId="175" fontId="13" fillId="7" borderId="4" xfId="0" applyNumberFormat="1" applyFont="1" applyFill="1" applyBorder="1" applyAlignment="1">
      <alignment horizontal="left" indent="1"/>
    </xf>
    <xf numFmtId="171" fontId="13" fillId="7" borderId="4" xfId="0" applyNumberFormat="1" applyFont="1" applyFill="1" applyBorder="1" applyAlignment="1">
      <alignment horizontal="center"/>
    </xf>
    <xf numFmtId="0" fontId="12" fillId="0" borderId="16" xfId="0" applyFont="1" applyBorder="1"/>
    <xf numFmtId="176" fontId="39" fillId="0" borderId="0" xfId="0" applyNumberFormat="1" applyFont="1" applyAlignment="1">
      <alignment horizontal="center"/>
    </xf>
    <xf numFmtId="175" fontId="39" fillId="0" borderId="0" xfId="0" applyNumberFormat="1" applyFont="1" applyAlignment="1">
      <alignment horizontal="left" indent="1"/>
    </xf>
    <xf numFmtId="171" fontId="12" fillId="0" borderId="0" xfId="0" applyNumberFormat="1" applyFont="1" applyAlignment="1">
      <alignment horizontal="center"/>
    </xf>
    <xf numFmtId="9" fontId="39" fillId="0" borderId="0" xfId="0" applyNumberFormat="1" applyFont="1" applyAlignment="1">
      <alignment horizontal="center"/>
    </xf>
    <xf numFmtId="186" fontId="39" fillId="0" borderId="15" xfId="0" applyNumberFormat="1" applyFont="1" applyBorder="1" applyAlignment="1">
      <alignment horizontal="center"/>
    </xf>
    <xf numFmtId="176" fontId="39" fillId="0" borderId="15" xfId="0" applyNumberFormat="1" applyFont="1" applyBorder="1" applyAlignment="1">
      <alignment horizontal="center"/>
    </xf>
    <xf numFmtId="0" fontId="13" fillId="7" borderId="25" xfId="0" applyFont="1" applyFill="1" applyBorder="1"/>
    <xf numFmtId="176" fontId="43" fillId="7" borderId="26" xfId="0" applyNumberFormat="1" applyFont="1" applyFill="1" applyBorder="1" applyAlignment="1">
      <alignment horizontal="center"/>
    </xf>
    <xf numFmtId="0" fontId="13" fillId="7" borderId="17" xfId="0" applyFont="1" applyFill="1" applyBorder="1"/>
    <xf numFmtId="176" fontId="43" fillId="7" borderId="14" xfId="0" applyNumberFormat="1" applyFont="1" applyFill="1" applyBorder="1" applyAlignment="1">
      <alignment horizontal="center"/>
    </xf>
    <xf numFmtId="175" fontId="43" fillId="7" borderId="14" xfId="0" applyNumberFormat="1" applyFont="1" applyFill="1" applyBorder="1" applyAlignment="1">
      <alignment horizontal="left" indent="1"/>
    </xf>
    <xf numFmtId="175" fontId="13" fillId="7" borderId="14" xfId="0" applyNumberFormat="1" applyFont="1" applyFill="1" applyBorder="1" applyAlignment="1">
      <alignment horizontal="left" indent="1"/>
    </xf>
    <xf numFmtId="176" fontId="43" fillId="7" borderId="14" xfId="0" applyNumberFormat="1" applyFont="1" applyFill="1" applyBorder="1" applyAlignment="1">
      <alignment horizontal="left" indent="1"/>
    </xf>
    <xf numFmtId="0" fontId="13" fillId="7" borderId="14" xfId="0" applyFont="1" applyFill="1" applyBorder="1"/>
    <xf numFmtId="171" fontId="13" fillId="7" borderId="14" xfId="0" applyNumberFormat="1" applyFont="1" applyFill="1" applyBorder="1" applyAlignment="1">
      <alignment horizontal="center"/>
    </xf>
    <xf numFmtId="176" fontId="43" fillId="7" borderId="18" xfId="0" applyNumberFormat="1" applyFont="1" applyFill="1" applyBorder="1" applyAlignment="1">
      <alignment horizontal="center"/>
    </xf>
    <xf numFmtId="171" fontId="12" fillId="0" borderId="0" xfId="0" applyNumberFormat="1" applyFont="1"/>
    <xf numFmtId="43" fontId="12" fillId="0" borderId="15" xfId="0" applyNumberFormat="1" applyFont="1" applyBorder="1"/>
    <xf numFmtId="0" fontId="12" fillId="0" borderId="17" xfId="0" applyFont="1" applyBorder="1"/>
    <xf numFmtId="171" fontId="12" fillId="0" borderId="14" xfId="0" applyNumberFormat="1" applyFont="1" applyBorder="1"/>
    <xf numFmtId="175" fontId="12" fillId="0" borderId="14" xfId="0" applyNumberFormat="1" applyFont="1" applyBorder="1"/>
    <xf numFmtId="9" fontId="39" fillId="0" borderId="14" xfId="0" applyNumberFormat="1" applyFont="1" applyBorder="1" applyAlignment="1">
      <alignment horizontal="center"/>
    </xf>
    <xf numFmtId="43" fontId="12" fillId="0" borderId="18" xfId="0" applyNumberFormat="1" applyFont="1" applyBorder="1"/>
    <xf numFmtId="0" fontId="58" fillId="0" borderId="0" xfId="14"/>
    <xf numFmtId="169" fontId="4" fillId="7" borderId="37" xfId="0" applyNumberFormat="1" applyFont="1" applyFill="1" applyBorder="1"/>
    <xf numFmtId="169" fontId="4" fillId="7" borderId="36" xfId="0" applyNumberFormat="1" applyFont="1" applyFill="1" applyBorder="1"/>
    <xf numFmtId="169" fontId="6" fillId="7" borderId="14" xfId="0" applyNumberFormat="1" applyFont="1" applyFill="1" applyBorder="1"/>
    <xf numFmtId="169" fontId="6" fillId="7" borderId="18" xfId="0" applyNumberFormat="1" applyFont="1" applyFill="1" applyBorder="1"/>
    <xf numFmtId="169" fontId="6" fillId="7" borderId="23" xfId="0" applyNumberFormat="1" applyFont="1" applyFill="1" applyBorder="1"/>
    <xf numFmtId="169" fontId="6" fillId="7" borderId="24" xfId="0" applyNumberFormat="1" applyFont="1" applyFill="1" applyBorder="1"/>
    <xf numFmtId="176" fontId="48" fillId="0" borderId="0" xfId="0" applyNumberFormat="1" applyFont="1"/>
    <xf numFmtId="185" fontId="0" fillId="0" borderId="0" xfId="0" applyNumberFormat="1" applyAlignment="1">
      <alignment horizontal="right"/>
    </xf>
    <xf numFmtId="10" fontId="0" fillId="0" borderId="35" xfId="0" applyNumberFormat="1" applyBorder="1" applyAlignment="1">
      <alignment horizontal="center"/>
    </xf>
    <xf numFmtId="14" fontId="0" fillId="0" borderId="35" xfId="0" applyNumberFormat="1" applyBorder="1"/>
    <xf numFmtId="178" fontId="0" fillId="0" borderId="35" xfId="0" applyNumberFormat="1" applyBorder="1"/>
    <xf numFmtId="181" fontId="62" fillId="0" borderId="59" xfId="1" applyNumberFormat="1" applyFont="1" applyBorder="1"/>
    <xf numFmtId="181" fontId="62" fillId="0" borderId="60" xfId="1" applyNumberFormat="1" applyFont="1" applyBorder="1"/>
    <xf numFmtId="10" fontId="62" fillId="0" borderId="62" xfId="1" applyNumberFormat="1" applyFont="1" applyBorder="1"/>
    <xf numFmtId="10" fontId="62" fillId="0" borderId="60" xfId="1" applyNumberFormat="1" applyFont="1" applyBorder="1"/>
    <xf numFmtId="183" fontId="61" fillId="0" borderId="63" xfId="0" applyNumberFormat="1" applyFont="1" applyBorder="1"/>
    <xf numFmtId="183" fontId="61" fillId="0" borderId="64" xfId="0" applyNumberFormat="1" applyFont="1" applyBorder="1"/>
    <xf numFmtId="183" fontId="61" fillId="0" borderId="61" xfId="0" applyNumberFormat="1" applyFont="1" applyBorder="1"/>
    <xf numFmtId="183" fontId="61" fillId="0" borderId="65" xfId="0" applyNumberFormat="1" applyFont="1" applyBorder="1"/>
    <xf numFmtId="183" fontId="61" fillId="0" borderId="0" xfId="0" applyNumberFormat="1" applyFont="1"/>
    <xf numFmtId="183" fontId="61" fillId="0" borderId="62" xfId="0" applyNumberFormat="1" applyFont="1" applyBorder="1"/>
    <xf numFmtId="183" fontId="61" fillId="0" borderId="51" xfId="0" applyNumberFormat="1" applyFont="1" applyBorder="1"/>
    <xf numFmtId="183" fontId="61" fillId="0" borderId="58" xfId="0" applyNumberFormat="1" applyFont="1" applyBorder="1"/>
    <xf numFmtId="183" fontId="61" fillId="0" borderId="59" xfId="0" applyNumberFormat="1" applyFont="1" applyBorder="1"/>
    <xf numFmtId="183" fontId="61" fillId="0" borderId="60" xfId="0" applyNumberFormat="1" applyFont="1" applyBorder="1"/>
    <xf numFmtId="0" fontId="0" fillId="0" borderId="35" xfId="0" applyBorder="1" applyAlignment="1">
      <alignment horizontal="center"/>
    </xf>
    <xf numFmtId="0" fontId="2" fillId="3" borderId="22" xfId="6" applyBorder="1" applyAlignment="1">
      <alignment horizontal="left"/>
    </xf>
    <xf numFmtId="0" fontId="2" fillId="3" borderId="23" xfId="6" applyBorder="1" applyAlignment="1">
      <alignment horizontal="left"/>
    </xf>
    <xf numFmtId="0" fontId="2" fillId="3" borderId="23" xfId="6" applyBorder="1" applyAlignment="1">
      <alignment horizontal="center"/>
    </xf>
    <xf numFmtId="0" fontId="2" fillId="3" borderId="16" xfId="6" applyBorder="1" applyAlignment="1">
      <alignment horizontal="left"/>
    </xf>
    <xf numFmtId="0" fontId="2" fillId="3" borderId="15" xfId="6" applyBorder="1" applyAlignment="1">
      <alignment horizontal="center"/>
    </xf>
    <xf numFmtId="0" fontId="2" fillId="3" borderId="16" xfId="6" applyBorder="1" applyAlignment="1">
      <alignment horizontal="centerContinuous" vertical="center"/>
    </xf>
    <xf numFmtId="0" fontId="2" fillId="3" borderId="15" xfId="6" applyBorder="1" applyAlignment="1">
      <alignment horizontal="centerContinuous" vertical="center"/>
    </xf>
    <xf numFmtId="183" fontId="0" fillId="0" borderId="15" xfId="0" applyNumberFormat="1" applyBorder="1"/>
    <xf numFmtId="183" fontId="0" fillId="0" borderId="14" xfId="0" applyNumberFormat="1" applyBorder="1"/>
    <xf numFmtId="183" fontId="0" fillId="0" borderId="18" xfId="0" applyNumberFormat="1" applyBorder="1"/>
    <xf numFmtId="181" fontId="62" fillId="0" borderId="52" xfId="1" applyNumberFormat="1" applyFont="1" applyBorder="1"/>
    <xf numFmtId="181" fontId="62" fillId="0" borderId="53" xfId="1" applyNumberFormat="1" applyFont="1" applyBorder="1"/>
    <xf numFmtId="181" fontId="62" fillId="0" borderId="54" xfId="1" applyNumberFormat="1" applyFont="1" applyBorder="1"/>
    <xf numFmtId="10" fontId="62" fillId="0" borderId="55" xfId="1" applyNumberFormat="1" applyFont="1" applyBorder="1"/>
    <xf numFmtId="10" fontId="62" fillId="0" borderId="56" xfId="1" applyNumberFormat="1" applyFont="1" applyBorder="1"/>
    <xf numFmtId="10" fontId="62" fillId="0" borderId="57" xfId="1" applyNumberFormat="1" applyFont="1" applyBorder="1"/>
    <xf numFmtId="9" fontId="61" fillId="0" borderId="63" xfId="1" applyFont="1" applyBorder="1"/>
    <xf numFmtId="9" fontId="61" fillId="0" borderId="64" xfId="1" applyFont="1" applyBorder="1"/>
    <xf numFmtId="9" fontId="61" fillId="0" borderId="61" xfId="1" applyFont="1" applyBorder="1"/>
    <xf numFmtId="9" fontId="61" fillId="0" borderId="65" xfId="1" applyFont="1" applyBorder="1"/>
    <xf numFmtId="9" fontId="61" fillId="0" borderId="0" xfId="1" applyFont="1"/>
    <xf numFmtId="9" fontId="61" fillId="0" borderId="62" xfId="1" applyFont="1" applyBorder="1"/>
    <xf numFmtId="9" fontId="61" fillId="0" borderId="51" xfId="1" applyFont="1" applyBorder="1"/>
    <xf numFmtId="9" fontId="61" fillId="0" borderId="58" xfId="1" applyFont="1" applyBorder="1"/>
    <xf numFmtId="9" fontId="61" fillId="0" borderId="59" xfId="1" applyFont="1" applyBorder="1"/>
    <xf numFmtId="9" fontId="61" fillId="0" borderId="60" xfId="1" applyFont="1" applyBorder="1"/>
    <xf numFmtId="0" fontId="2" fillId="3" borderId="52" xfId="0" applyFont="1" applyFill="1" applyBorder="1" applyAlignment="1">
      <alignment horizontal="centerContinuous"/>
    </xf>
    <xf numFmtId="0" fontId="2" fillId="3" borderId="53" xfId="0" applyFont="1" applyFill="1" applyBorder="1" applyAlignment="1">
      <alignment horizontal="centerContinuous"/>
    </xf>
    <xf numFmtId="181" fontId="2" fillId="3" borderId="53" xfId="1" applyNumberFormat="1" applyFont="1" applyFill="1" applyBorder="1" applyAlignment="1">
      <alignment horizontal="centerContinuous"/>
    </xf>
    <xf numFmtId="0" fontId="2" fillId="3" borderId="54" xfId="0" applyFont="1" applyFill="1" applyBorder="1" applyAlignment="1">
      <alignment horizontal="centerContinuous"/>
    </xf>
    <xf numFmtId="0" fontId="4" fillId="0" borderId="0" xfId="0" applyFont="1" applyAlignment="1">
      <alignment horizontal="left" indent="1"/>
    </xf>
    <xf numFmtId="14" fontId="6" fillId="4" borderId="35" xfId="0" applyNumberFormat="1" applyFont="1" applyFill="1" applyBorder="1"/>
    <xf numFmtId="175" fontId="40" fillId="0" borderId="0" xfId="0" applyNumberFormat="1" applyFont="1"/>
    <xf numFmtId="0" fontId="63" fillId="0" borderId="0" xfId="8" applyFont="1" applyAlignment="1">
      <alignment horizontal="center"/>
    </xf>
    <xf numFmtId="15" fontId="27" fillId="7" borderId="0" xfId="8" applyNumberFormat="1" applyFont="1" applyFill="1"/>
    <xf numFmtId="10" fontId="6" fillId="4" borderId="35" xfId="0" applyNumberFormat="1" applyFont="1" applyFill="1" applyBorder="1" applyAlignment="1">
      <alignment horizontal="center"/>
    </xf>
    <xf numFmtId="0" fontId="64" fillId="0" borderId="0" xfId="8" applyFont="1" applyAlignment="1">
      <alignment horizontal="center"/>
    </xf>
    <xf numFmtId="15" fontId="6" fillId="0" borderId="0" xfId="0" applyNumberFormat="1" applyFont="1" applyAlignment="1">
      <alignment horizontal="center"/>
    </xf>
    <xf numFmtId="0" fontId="4" fillId="2" borderId="0" xfId="4" applyFont="1" applyBorder="1" applyAlignment="1">
      <alignment horizontal="right"/>
    </xf>
    <xf numFmtId="0" fontId="4" fillId="2" borderId="15" xfId="4" applyFont="1" applyBorder="1" applyAlignment="1">
      <alignment horizontal="right"/>
    </xf>
    <xf numFmtId="0" fontId="2" fillId="3" borderId="66" xfId="6" applyBorder="1" applyAlignment="1">
      <alignment horizontal="centerContinuous"/>
    </xf>
    <xf numFmtId="0" fontId="2" fillId="3" borderId="67" xfId="6" applyBorder="1" applyAlignment="1">
      <alignment horizontal="centerContinuous"/>
    </xf>
    <xf numFmtId="175" fontId="34" fillId="0" borderId="68" xfId="0" applyNumberFormat="1" applyFont="1" applyBorder="1" applyAlignment="1">
      <alignment horizontal="left" indent="1"/>
    </xf>
    <xf numFmtId="175" fontId="34" fillId="0" borderId="69" xfId="0" applyNumberFormat="1" applyFont="1" applyBorder="1" applyAlignment="1">
      <alignment horizontal="left" indent="1"/>
    </xf>
    <xf numFmtId="175" fontId="34" fillId="0" borderId="70" xfId="0" applyNumberFormat="1" applyFont="1" applyBorder="1" applyAlignment="1">
      <alignment horizontal="left" indent="1"/>
    </xf>
    <xf numFmtId="175" fontId="34" fillId="0" borderId="71" xfId="0" applyNumberFormat="1" applyFont="1" applyBorder="1" applyAlignment="1">
      <alignment horizontal="left" indent="1"/>
    </xf>
    <xf numFmtId="10" fontId="65" fillId="0" borderId="0" xfId="1" applyNumberFormat="1" applyFont="1"/>
    <xf numFmtId="10" fontId="66" fillId="0" borderId="0" xfId="0" applyNumberFormat="1" applyFont="1"/>
    <xf numFmtId="10" fontId="65" fillId="0" borderId="0" xfId="0" applyNumberFormat="1" applyFont="1"/>
    <xf numFmtId="10" fontId="66" fillId="0" borderId="0" xfId="1" applyNumberFormat="1" applyFont="1"/>
    <xf numFmtId="9" fontId="20" fillId="0" borderId="0" xfId="1" applyFont="1"/>
    <xf numFmtId="9" fontId="66" fillId="0" borderId="0" xfId="1" applyFont="1"/>
    <xf numFmtId="181" fontId="66" fillId="0" borderId="0" xfId="0" applyNumberFormat="1" applyFont="1"/>
    <xf numFmtId="0" fontId="30" fillId="7" borderId="0" xfId="8" applyFont="1" applyFill="1" applyAlignment="1">
      <alignment horizontal="left" indent="4"/>
    </xf>
    <xf numFmtId="178" fontId="40" fillId="0" borderId="0" xfId="0" applyNumberFormat="1" applyFont="1"/>
    <xf numFmtId="9" fontId="12" fillId="0" borderId="0" xfId="0" applyNumberFormat="1" applyFont="1"/>
    <xf numFmtId="0" fontId="0" fillId="7" borderId="20" xfId="0" applyFill="1" applyBorder="1"/>
    <xf numFmtId="0" fontId="0" fillId="7" borderId="3" xfId="0" applyFill="1" applyBorder="1"/>
    <xf numFmtId="43" fontId="0" fillId="7" borderId="3" xfId="13" applyFont="1" applyFill="1" applyBorder="1"/>
    <xf numFmtId="183" fontId="6" fillId="7" borderId="3" xfId="0" applyNumberFormat="1" applyFont="1" applyFill="1" applyBorder="1"/>
    <xf numFmtId="3" fontId="6" fillId="7" borderId="3" xfId="0" applyNumberFormat="1" applyFont="1" applyFill="1" applyBorder="1"/>
    <xf numFmtId="184" fontId="0" fillId="7" borderId="3" xfId="0" applyNumberFormat="1" applyFill="1" applyBorder="1"/>
    <xf numFmtId="184" fontId="6" fillId="7" borderId="3" xfId="0" applyNumberFormat="1" applyFont="1" applyFill="1" applyBorder="1"/>
    <xf numFmtId="9" fontId="0" fillId="7" borderId="3" xfId="1" applyFont="1" applyFill="1" applyBorder="1"/>
    <xf numFmtId="184" fontId="46" fillId="7" borderId="3" xfId="0" applyNumberFormat="1" applyFont="1" applyFill="1" applyBorder="1"/>
    <xf numFmtId="10" fontId="0" fillId="7" borderId="3" xfId="1" applyNumberFormat="1" applyFont="1" applyFill="1" applyBorder="1"/>
    <xf numFmtId="10" fontId="0" fillId="7" borderId="21" xfId="1" applyNumberFormat="1" applyFont="1" applyFill="1" applyBorder="1"/>
    <xf numFmtId="185" fontId="0" fillId="7" borderId="3" xfId="0" applyNumberFormat="1" applyFill="1" applyBorder="1"/>
    <xf numFmtId="185" fontId="0" fillId="7" borderId="21" xfId="0" applyNumberFormat="1" applyFill="1" applyBorder="1"/>
    <xf numFmtId="0" fontId="2" fillId="3" borderId="0" xfId="6" applyAlignment="1">
      <alignment horizontal="center" vertical="center" wrapText="1"/>
    </xf>
    <xf numFmtId="0" fontId="67" fillId="0" borderId="0" xfId="0" applyFont="1" applyAlignment="1">
      <alignment horizontal="left" indent="2"/>
    </xf>
    <xf numFmtId="184" fontId="0" fillId="0" borderId="15" xfId="0" applyNumberFormat="1" applyBorder="1"/>
    <xf numFmtId="184" fontId="0" fillId="0" borderId="0" xfId="0" applyNumberFormat="1" applyAlignment="1">
      <alignment horizontal="center"/>
    </xf>
    <xf numFmtId="184" fontId="0" fillId="0" borderId="14" xfId="0" applyNumberFormat="1" applyBorder="1"/>
    <xf numFmtId="184" fontId="0" fillId="0" borderId="18" xfId="0" applyNumberFormat="1" applyBorder="1"/>
    <xf numFmtId="0" fontId="2" fillId="3" borderId="0" xfId="6" applyAlignment="1">
      <alignment horizontal="right" vertical="center"/>
    </xf>
    <xf numFmtId="183" fontId="6" fillId="0" borderId="0" xfId="0" applyNumberFormat="1" applyFont="1"/>
    <xf numFmtId="183" fontId="14" fillId="0" borderId="0" xfId="0" applyNumberFormat="1" applyFont="1"/>
    <xf numFmtId="183" fontId="46" fillId="0" borderId="0" xfId="0" applyNumberFormat="1" applyFont="1"/>
    <xf numFmtId="0" fontId="2" fillId="3" borderId="22" xfId="6" applyBorder="1" applyAlignment="1">
      <alignment horizontal="centerContinuous" vertical="center"/>
    </xf>
    <xf numFmtId="0" fontId="2" fillId="3" borderId="23" xfId="6" applyBorder="1" applyAlignment="1">
      <alignment horizontal="centerContinuous" vertical="center"/>
    </xf>
    <xf numFmtId="0" fontId="2" fillId="3" borderId="24" xfId="6" applyBorder="1" applyAlignment="1">
      <alignment horizontal="centerContinuous" vertical="center"/>
    </xf>
    <xf numFmtId="37" fontId="0" fillId="0" borderId="17" xfId="0" applyNumberFormat="1" applyBorder="1"/>
    <xf numFmtId="0" fontId="2" fillId="3" borderId="16" xfId="6" applyBorder="1" applyAlignment="1">
      <alignment horizontal="left" vertical="center"/>
    </xf>
    <xf numFmtId="0" fontId="2" fillId="3" borderId="15" xfId="6" applyBorder="1" applyAlignment="1">
      <alignment horizontal="right" vertical="center"/>
    </xf>
    <xf numFmtId="0" fontId="27" fillId="7" borderId="0" xfId="8" applyFont="1" applyFill="1" applyAlignment="1">
      <alignment horizontal="center"/>
    </xf>
    <xf numFmtId="0" fontId="62" fillId="7" borderId="63" xfId="0" applyFont="1" applyFill="1" applyBorder="1" applyAlignment="1">
      <alignment horizontal="center" vertical="center"/>
    </xf>
    <xf numFmtId="0" fontId="62" fillId="7" borderId="61" xfId="0" applyFont="1" applyFill="1" applyBorder="1" applyAlignment="1">
      <alignment horizontal="center" vertical="center"/>
    </xf>
    <xf numFmtId="0" fontId="62" fillId="7" borderId="58" xfId="0" applyFont="1" applyFill="1" applyBorder="1" applyAlignment="1">
      <alignment horizontal="center" vertical="center"/>
    </xf>
    <xf numFmtId="0" fontId="62" fillId="7" borderId="60" xfId="0" applyFont="1" applyFill="1" applyBorder="1" applyAlignment="1">
      <alignment horizontal="center" vertical="center"/>
    </xf>
    <xf numFmtId="0" fontId="2" fillId="3" borderId="55" xfId="0" applyFont="1" applyFill="1" applyBorder="1" applyAlignment="1">
      <alignment horizontal="center" vertical="center" wrapText="1"/>
    </xf>
    <xf numFmtId="0" fontId="2" fillId="3" borderId="56" xfId="0" applyFont="1" applyFill="1" applyBorder="1" applyAlignment="1">
      <alignment horizontal="center" vertical="center" wrapText="1"/>
    </xf>
    <xf numFmtId="0" fontId="2" fillId="3" borderId="57" xfId="0" applyFont="1" applyFill="1" applyBorder="1" applyAlignment="1">
      <alignment horizontal="center" vertical="center" wrapText="1"/>
    </xf>
  </cellXfs>
  <cellStyles count="15">
    <cellStyle name="20% - Accent1" xfId="4" builtinId="30"/>
    <cellStyle name="Comma" xfId="13" builtinId="3"/>
    <cellStyle name="Comma 2" xfId="10" xr:uid="{4550E5EE-B3D9-4E22-8ACE-5826E69796E8}"/>
    <cellStyle name="Explanatory Text" xfId="3" builtinId="53"/>
    <cellStyle name="Head 2 Banner" xfId="6" xr:uid="{488E00B6-EA3B-474C-AA5C-4DE2B92791EA}"/>
    <cellStyle name="Head Banner" xfId="5" xr:uid="{F3CE9B2D-5F11-4F02-B9ED-B4646D7B4634}"/>
    <cellStyle name="Hyperlink" xfId="14" builtinId="8"/>
    <cellStyle name="Input" xfId="2" builtinId="20" customBuiltin="1"/>
    <cellStyle name="Input Field" xfId="9" xr:uid="{E62BF3A2-7871-4009-B43C-375BCA0E7AE9}"/>
    <cellStyle name="NA Data" xfId="7" xr:uid="{8DDF9D25-D2AD-4E33-BC5F-76F5599618BE}"/>
    <cellStyle name="Normal" xfId="0" builtinId="0"/>
    <cellStyle name="Normal 2" xfId="8" xr:uid="{F089E945-A59A-42DF-BF2F-03F0DD13AB48}"/>
    <cellStyle name="Normal 2 2" xfId="11" xr:uid="{8AE4D0F0-5529-49C6-A837-4CEC29848484}"/>
    <cellStyle name="Normal 3" xfId="12" xr:uid="{C8F275E9-00F9-4C2D-B748-A3FD8B24B163}"/>
    <cellStyle name="Percent" xfId="1" builtinId="5"/>
  </cellStyles>
  <dxfs count="1">
    <dxf>
      <font>
        <color rgb="FF9C0006"/>
      </font>
      <fill>
        <patternFill>
          <bgColor rgb="FFFFC7CE"/>
        </patternFill>
      </fill>
    </dxf>
  </dxfs>
  <tableStyles count="0" defaultTableStyle="TableStyleMedium2" defaultPivotStyle="PivotStyleLight16"/>
  <colors>
    <mruColors>
      <color rgb="FF0000FF"/>
      <color rgb="FFFF3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Levered Beta Renault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0"/>
            <c:dispEq val="1"/>
            <c:trendlineLbl>
              <c:layout>
                <c:manualLayout>
                  <c:x val="-0.17554215089836828"/>
                  <c:y val="-0.273709104016979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trendlineLbl>
          </c:trendline>
          <c:xVal>
            <c:numRef>
              <c:f>Beta!$I$35:$I$339</c:f>
              <c:numCache>
                <c:formatCode>_(#,##0.00%_);\(#,##0.00%\);_("–"_)_%;_(@_)_%</c:formatCode>
                <c:ptCount val="305"/>
                <c:pt idx="0">
                  <c:v>-7.2235378107454555E-3</c:v>
                </c:pt>
                <c:pt idx="1">
                  <c:v>1.6313887065785439E-2</c:v>
                </c:pt>
                <c:pt idx="2">
                  <c:v>3.1963608569326269E-3</c:v>
                </c:pt>
                <c:pt idx="3">
                  <c:v>-1.1532734643364548E-2</c:v>
                </c:pt>
                <c:pt idx="4">
                  <c:v>2.8214492867570135E-2</c:v>
                </c:pt>
                <c:pt idx="5">
                  <c:v>2.0177560447010869E-4</c:v>
                </c:pt>
                <c:pt idx="6">
                  <c:v>-1.8173063239026695E-3</c:v>
                </c:pt>
                <c:pt idx="7">
                  <c:v>9.737819525978561E-3</c:v>
                </c:pt>
                <c:pt idx="8">
                  <c:v>-2.1959903013864992E-3</c:v>
                </c:pt>
                <c:pt idx="9">
                  <c:v>-2.0397292467844438E-2</c:v>
                </c:pt>
                <c:pt idx="10">
                  <c:v>1.3464643163067906E-2</c:v>
                </c:pt>
                <c:pt idx="11">
                  <c:v>1.1318487274719742E-2</c:v>
                </c:pt>
                <c:pt idx="12">
                  <c:v>2.0563437988887177E-2</c:v>
                </c:pt>
                <c:pt idx="13">
                  <c:v>-2.6252629330761588E-2</c:v>
                </c:pt>
                <c:pt idx="14">
                  <c:v>4.8754941630679057E-3</c:v>
                </c:pt>
                <c:pt idx="15">
                  <c:v>-1.1324238181112927E-3</c:v>
                </c:pt>
                <c:pt idx="16">
                  <c:v>1.0959442683216671E-2</c:v>
                </c:pt>
                <c:pt idx="17">
                  <c:v>-5.0913439662025857E-3</c:v>
                </c:pt>
                <c:pt idx="18">
                  <c:v>1.2743766233728603E-2</c:v>
                </c:pt>
                <c:pt idx="19">
                  <c:v>-1.5911559465610368E-2</c:v>
                </c:pt>
                <c:pt idx="20">
                  <c:v>-1.619257712110134E-2</c:v>
                </c:pt>
                <c:pt idx="21">
                  <c:v>8.5719385541758834E-3</c:v>
                </c:pt>
                <c:pt idx="22">
                  <c:v>6.0162085894623733E-3</c:v>
                </c:pt>
                <c:pt idx="23">
                  <c:v>-8.0079134792067005E-3</c:v>
                </c:pt>
                <c:pt idx="24">
                  <c:v>2.0514728856932628E-2</c:v>
                </c:pt>
                <c:pt idx="25">
                  <c:v>2.3687858338742474E-3</c:v>
                </c:pt>
                <c:pt idx="26">
                  <c:v>3.0226166230589501E-2</c:v>
                </c:pt>
                <c:pt idx="27">
                  <c:v>2.7234901302282743E-2</c:v>
                </c:pt>
                <c:pt idx="28">
                  <c:v>3.9834726302282741E-2</c:v>
                </c:pt>
                <c:pt idx="29">
                  <c:v>-1.9679645465610369E-2</c:v>
                </c:pt>
                <c:pt idx="30">
                  <c:v>-8.4913920411365154E-2</c:v>
                </c:pt>
                <c:pt idx="31">
                  <c:v>-1.4292235129163602E-2</c:v>
                </c:pt>
                <c:pt idx="32">
                  <c:v>5.0920830031225515E-3</c:v>
                </c:pt>
                <c:pt idx="33">
                  <c:v>-1.2745552869444758E-2</c:v>
                </c:pt>
                <c:pt idx="34">
                  <c:v>-7.4274804867599693E-3</c:v>
                </c:pt>
                <c:pt idx="35">
                  <c:v>5.5730532671653078E-3</c:v>
                </c:pt>
                <c:pt idx="36">
                  <c:v>2.1381618577441201E-3</c:v>
                </c:pt>
                <c:pt idx="37">
                  <c:v>1.7337673020527723E-2</c:v>
                </c:pt>
                <c:pt idx="38">
                  <c:v>5.5120908132078247E-3</c:v>
                </c:pt>
                <c:pt idx="39">
                  <c:v>1.7378679668211282E-2</c:v>
                </c:pt>
                <c:pt idx="40">
                  <c:v>1.1828902802804651E-2</c:v>
                </c:pt>
                <c:pt idx="41">
                  <c:v>2.3217581271592208E-2</c:v>
                </c:pt>
                <c:pt idx="42">
                  <c:v>6.0284403866097706E-3</c:v>
                </c:pt>
                <c:pt idx="43">
                  <c:v>1.5336970945072103E-3</c:v>
                </c:pt>
                <c:pt idx="44">
                  <c:v>9.4849586424432131E-3</c:v>
                </c:pt>
                <c:pt idx="45">
                  <c:v>-2.8046185257880239E-2</c:v>
                </c:pt>
                <c:pt idx="46">
                  <c:v>-8.1497952313475345E-3</c:v>
                </c:pt>
                <c:pt idx="47">
                  <c:v>1.9628808212700664E-2</c:v>
                </c:pt>
                <c:pt idx="48">
                  <c:v>3.0994485457913378E-3</c:v>
                </c:pt>
                <c:pt idx="49">
                  <c:v>1.020158010783901E-2</c:v>
                </c:pt>
                <c:pt idx="50">
                  <c:v>-7.3764442677667109E-3</c:v>
                </c:pt>
                <c:pt idx="51">
                  <c:v>-8.806061267766712E-3</c:v>
                </c:pt>
                <c:pt idx="52">
                  <c:v>-1.5700199401774147E-2</c:v>
                </c:pt>
                <c:pt idx="53">
                  <c:v>-1.2206379350309871E-2</c:v>
                </c:pt>
                <c:pt idx="54">
                  <c:v>5.3503805547163415E-3</c:v>
                </c:pt>
                <c:pt idx="55">
                  <c:v>6.1592461329858213E-3</c:v>
                </c:pt>
                <c:pt idx="56">
                  <c:v>-1.8449005303994927E-2</c:v>
                </c:pt>
                <c:pt idx="57">
                  <c:v>2.6467439416582219E-2</c:v>
                </c:pt>
                <c:pt idx="58">
                  <c:v>-3.6974795548643229E-3</c:v>
                </c:pt>
                <c:pt idx="59">
                  <c:v>1.8126889456979749E-2</c:v>
                </c:pt>
                <c:pt idx="60">
                  <c:v>-3.5630865071460321E-2</c:v>
                </c:pt>
                <c:pt idx="61">
                  <c:v>1.2922288334572587E-2</c:v>
                </c:pt>
                <c:pt idx="62">
                  <c:v>1.2637267190041712E-2</c:v>
                </c:pt>
                <c:pt idx="63">
                  <c:v>2.4131678958063989E-2</c:v>
                </c:pt>
                <c:pt idx="64">
                  <c:v>2.26935313179099E-3</c:v>
                </c:pt>
                <c:pt idx="65">
                  <c:v>-2.9621177848141424E-2</c:v>
                </c:pt>
                <c:pt idx="66">
                  <c:v>5.0331906757910818E-3</c:v>
                </c:pt>
                <c:pt idx="67">
                  <c:v>-2.7277130103741817E-2</c:v>
                </c:pt>
                <c:pt idx="68">
                  <c:v>1.4005554573264184E-2</c:v>
                </c:pt>
                <c:pt idx="69">
                  <c:v>9.6423871519509749E-3</c:v>
                </c:pt>
                <c:pt idx="70">
                  <c:v>-7.6324281735808052E-3</c:v>
                </c:pt>
                <c:pt idx="71">
                  <c:v>7.4882736261543542E-3</c:v>
                </c:pt>
                <c:pt idx="72">
                  <c:v>-2.4322833436427958E-2</c:v>
                </c:pt>
                <c:pt idx="73">
                  <c:v>9.8857319409025955E-3</c:v>
                </c:pt>
                <c:pt idx="74">
                  <c:v>-5.1134661671043864E-3</c:v>
                </c:pt>
                <c:pt idx="75">
                  <c:v>-5.023708655308763E-3</c:v>
                </c:pt>
                <c:pt idx="76">
                  <c:v>3.7096811091758518E-3</c:v>
                </c:pt>
                <c:pt idx="77">
                  <c:v>2.964846087889866E-2</c:v>
                </c:pt>
                <c:pt idx="78">
                  <c:v>-5.3002520444824994E-3</c:v>
                </c:pt>
                <c:pt idx="79">
                  <c:v>1.6919570776276281E-2</c:v>
                </c:pt>
                <c:pt idx="80">
                  <c:v>-1.227484146561037E-2</c:v>
                </c:pt>
                <c:pt idx="81">
                  <c:v>-3.0091842191153112E-3</c:v>
                </c:pt>
                <c:pt idx="82">
                  <c:v>-1.238936821626228E-2</c:v>
                </c:pt>
                <c:pt idx="83">
                  <c:v>5.5081196122138678E-3</c:v>
                </c:pt>
                <c:pt idx="84">
                  <c:v>9.1468485799502293E-3</c:v>
                </c:pt>
                <c:pt idx="85">
                  <c:v>2.5970294904538037E-3</c:v>
                </c:pt>
                <c:pt idx="86">
                  <c:v>1.0986126207261616E-2</c:v>
                </c:pt>
                <c:pt idx="87">
                  <c:v>2.0631974162263228E-4</c:v>
                </c:pt>
                <c:pt idx="88">
                  <c:v>1.1059961598225854E-2</c:v>
                </c:pt>
                <c:pt idx="89">
                  <c:v>1.3486884926154354E-2</c:v>
                </c:pt>
                <c:pt idx="90">
                  <c:v>1.4073511091822364E-3</c:v>
                </c:pt>
                <c:pt idx="91">
                  <c:v>-2.3788150705153049E-4</c:v>
                </c:pt>
                <c:pt idx="92">
                  <c:v>3.0675203072468623E-2</c:v>
                </c:pt>
                <c:pt idx="93">
                  <c:v>-1.6219031612622919E-2</c:v>
                </c:pt>
                <c:pt idx="94">
                  <c:v>3.7898254832498756E-4</c:v>
                </c:pt>
                <c:pt idx="95">
                  <c:v>-5.8541451304759207E-3</c:v>
                </c:pt>
                <c:pt idx="96">
                  <c:v>2.5287289027014341E-3</c:v>
                </c:pt>
                <c:pt idx="97">
                  <c:v>1.7040641073315563E-3</c:v>
                </c:pt>
                <c:pt idx="98">
                  <c:v>8.8266570592364663E-3</c:v>
                </c:pt>
                <c:pt idx="99">
                  <c:v>1.2569395062514947E-2</c:v>
                </c:pt>
                <c:pt idx="100">
                  <c:v>1.3069954009182237E-2</c:v>
                </c:pt>
                <c:pt idx="101">
                  <c:v>8.6236934111846922E-3</c:v>
                </c:pt>
                <c:pt idx="102">
                  <c:v>2.7728848300409427E-2</c:v>
                </c:pt>
                <c:pt idx="103">
                  <c:v>-2.6085330915476524E-3</c:v>
                </c:pt>
                <c:pt idx="104">
                  <c:v>3.3623106096437261E-2</c:v>
                </c:pt>
                <c:pt idx="105">
                  <c:v>-1.0105966167693218E-2</c:v>
                </c:pt>
                <c:pt idx="106">
                  <c:v>-3.4943845924988268E-2</c:v>
                </c:pt>
                <c:pt idx="107">
                  <c:v>9.0323396971005755E-3</c:v>
                </c:pt>
                <c:pt idx="108">
                  <c:v>-1.2301957690920764E-2</c:v>
                </c:pt>
                <c:pt idx="109">
                  <c:v>-7.2412091195246794E-3</c:v>
                </c:pt>
                <c:pt idx="110">
                  <c:v>-1.9289181855529892E-2</c:v>
                </c:pt>
                <c:pt idx="111">
                  <c:v>1.5483419950616747E-2</c:v>
                </c:pt>
                <c:pt idx="112">
                  <c:v>-8.0678048322762597E-3</c:v>
                </c:pt>
                <c:pt idx="113">
                  <c:v>1.44537052305895E-2</c:v>
                </c:pt>
                <c:pt idx="114">
                  <c:v>6.0927783560400864E-3</c:v>
                </c:pt>
                <c:pt idx="115">
                  <c:v>-2.3863907539892749E-2</c:v>
                </c:pt>
                <c:pt idx="116">
                  <c:v>-7.3547401434046833E-4</c:v>
                </c:pt>
                <c:pt idx="117">
                  <c:v>-2.4914888407790881E-2</c:v>
                </c:pt>
                <c:pt idx="118">
                  <c:v>1.1087620367951904E-2</c:v>
                </c:pt>
                <c:pt idx="119">
                  <c:v>9.4507550866009538E-3</c:v>
                </c:pt>
                <c:pt idx="120">
                  <c:v>2.8965632641238685E-2</c:v>
                </c:pt>
                <c:pt idx="121">
                  <c:v>-3.1412189973525621E-2</c:v>
                </c:pt>
                <c:pt idx="122">
                  <c:v>1.8940467767165306E-2</c:v>
                </c:pt>
                <c:pt idx="123">
                  <c:v>-2.9706994670733428E-2</c:v>
                </c:pt>
                <c:pt idx="124">
                  <c:v>1.4288151367951904E-2</c:v>
                </c:pt>
                <c:pt idx="125">
                  <c:v>-5.0851939270281851E-3</c:v>
                </c:pt>
                <c:pt idx="126">
                  <c:v>1.1650127252288739E-3</c:v>
                </c:pt>
                <c:pt idx="127">
                  <c:v>-1.634770380293803E-2</c:v>
                </c:pt>
                <c:pt idx="128">
                  <c:v>6.749466291183154E-3</c:v>
                </c:pt>
                <c:pt idx="129">
                  <c:v>-4.3411494150949741E-5</c:v>
                </c:pt>
                <c:pt idx="130">
                  <c:v>-3.2841829697704446E-3</c:v>
                </c:pt>
                <c:pt idx="131">
                  <c:v>-5.4777979126229203E-3</c:v>
                </c:pt>
                <c:pt idx="132">
                  <c:v>4.0044101706017557E-3</c:v>
                </c:pt>
                <c:pt idx="133">
                  <c:v>1.6906479266879972E-2</c:v>
                </c:pt>
                <c:pt idx="134">
                  <c:v>1.9873549285396798E-3</c:v>
                </c:pt>
                <c:pt idx="135">
                  <c:v>3.98433754513366E-2</c:v>
                </c:pt>
                <c:pt idx="136">
                  <c:v>8.3094981818863448E-3</c:v>
                </c:pt>
                <c:pt idx="137">
                  <c:v>-3.88507789301532E-2</c:v>
                </c:pt>
                <c:pt idx="138">
                  <c:v>-2.3082771513399044E-2</c:v>
                </c:pt>
                <c:pt idx="139">
                  <c:v>1.3816872248075006E-2</c:v>
                </c:pt>
                <c:pt idx="140">
                  <c:v>-1.4697162880309183E-2</c:v>
                </c:pt>
                <c:pt idx="141">
                  <c:v>1.3532275122209815E-2</c:v>
                </c:pt>
                <c:pt idx="142">
                  <c:v>-6.6988082286313618E-3</c:v>
                </c:pt>
                <c:pt idx="143">
                  <c:v>1.1882346589115151E-2</c:v>
                </c:pt>
                <c:pt idx="144">
                  <c:v>6.3171250538128455E-3</c:v>
                </c:pt>
                <c:pt idx="145">
                  <c:v>-1.3365137459855579E-3</c:v>
                </c:pt>
                <c:pt idx="146">
                  <c:v>1.7872732387186757E-2</c:v>
                </c:pt>
                <c:pt idx="147">
                  <c:v>4.5544188589115152E-2</c:v>
                </c:pt>
                <c:pt idx="148">
                  <c:v>-6.4701790298829628E-3</c:v>
                </c:pt>
                <c:pt idx="149">
                  <c:v>5.9278180879310093E-3</c:v>
                </c:pt>
                <c:pt idx="150">
                  <c:v>-3.3186830292744371E-2</c:v>
                </c:pt>
                <c:pt idx="151">
                  <c:v>-9.7515127023846196E-3</c:v>
                </c:pt>
                <c:pt idx="152">
                  <c:v>5.4545004689510726E-3</c:v>
                </c:pt>
                <c:pt idx="153">
                  <c:v>1.6701100164240573E-2</c:v>
                </c:pt>
                <c:pt idx="154">
                  <c:v>2.0928606111619754E-3</c:v>
                </c:pt>
                <c:pt idx="155">
                  <c:v>3.6235672468906001E-2</c:v>
                </c:pt>
                <c:pt idx="156">
                  <c:v>1.4706978214594777E-2</c:v>
                </c:pt>
                <c:pt idx="157">
                  <c:v>3.611563783016021E-2</c:v>
                </c:pt>
                <c:pt idx="158">
                  <c:v>1.2262464294465059E-2</c:v>
                </c:pt>
                <c:pt idx="159">
                  <c:v>-1.3573089056736869E-3</c:v>
                </c:pt>
                <c:pt idx="160">
                  <c:v>9.4313661956708303E-3</c:v>
                </c:pt>
                <c:pt idx="161">
                  <c:v>-6.9369231304759202E-3</c:v>
                </c:pt>
                <c:pt idx="162">
                  <c:v>-4.4079937827173718E-2</c:v>
                </c:pt>
                <c:pt idx="163">
                  <c:v>-2.9188110907843175E-2</c:v>
                </c:pt>
                <c:pt idx="164">
                  <c:v>1.0257045384556011E-2</c:v>
                </c:pt>
                <c:pt idx="165">
                  <c:v>-2.4036633896238228E-2</c:v>
                </c:pt>
                <c:pt idx="166">
                  <c:v>-2.6040171655874012E-2</c:v>
                </c:pt>
                <c:pt idx="167">
                  <c:v>-8.1955540793651731E-3</c:v>
                </c:pt>
                <c:pt idx="168">
                  <c:v>1.1632301304179755E-2</c:v>
                </c:pt>
                <c:pt idx="169">
                  <c:v>-6.0425237498182164E-3</c:v>
                </c:pt>
                <c:pt idx="170">
                  <c:v>2.9388078732251962E-2</c:v>
                </c:pt>
                <c:pt idx="171">
                  <c:v>2.8631971600013514E-2</c:v>
                </c:pt>
                <c:pt idx="172">
                  <c:v>-8.22187876545649E-3</c:v>
                </c:pt>
                <c:pt idx="173">
                  <c:v>2.4291042162758028E-2</c:v>
                </c:pt>
                <c:pt idx="174">
                  <c:v>-1.4268532158239674E-2</c:v>
                </c:pt>
                <c:pt idx="175">
                  <c:v>2.3729950030964585E-2</c:v>
                </c:pt>
                <c:pt idx="176">
                  <c:v>-4.6366144690550469E-2</c:v>
                </c:pt>
                <c:pt idx="177">
                  <c:v>-3.9770539606310801E-2</c:v>
                </c:pt>
                <c:pt idx="178">
                  <c:v>-8.8908278499692898E-3</c:v>
                </c:pt>
                <c:pt idx="179">
                  <c:v>2.9579610560475537E-2</c:v>
                </c:pt>
                <c:pt idx="180">
                  <c:v>-5.6729000979121955E-3</c:v>
                </c:pt>
                <c:pt idx="181">
                  <c:v>8.1209388086956342E-3</c:v>
                </c:pt>
                <c:pt idx="182">
                  <c:v>-4.5684223291580991E-2</c:v>
                </c:pt>
                <c:pt idx="183">
                  <c:v>-6.6141728103494253E-3</c:v>
                </c:pt>
                <c:pt idx="184">
                  <c:v>-1.4336700311117844E-2</c:v>
                </c:pt>
                <c:pt idx="185">
                  <c:v>-2.6548661542619479E-3</c:v>
                </c:pt>
                <c:pt idx="186">
                  <c:v>5.6045565818772201E-3</c:v>
                </c:pt>
                <c:pt idx="187">
                  <c:v>1.0447209672583876E-2</c:v>
                </c:pt>
                <c:pt idx="188">
                  <c:v>-2.4179022712795548E-3</c:v>
                </c:pt>
                <c:pt idx="189">
                  <c:v>5.4272329338938413E-2</c:v>
                </c:pt>
                <c:pt idx="190">
                  <c:v>2.2210957548916978E-2</c:v>
                </c:pt>
                <c:pt idx="191">
                  <c:v>-6.9987129794064643E-2</c:v>
                </c:pt>
                <c:pt idx="192">
                  <c:v>-1.5841108787518567E-2</c:v>
                </c:pt>
                <c:pt idx="193">
                  <c:v>-1.8693783866306258E-2</c:v>
                </c:pt>
                <c:pt idx="194">
                  <c:v>1.6003802349660045E-2</c:v>
                </c:pt>
                <c:pt idx="195">
                  <c:v>-7.3458241985596227E-3</c:v>
                </c:pt>
                <c:pt idx="196">
                  <c:v>-1.8730602945590182E-2</c:v>
                </c:pt>
                <c:pt idx="197">
                  <c:v>-1.394952408874111E-2</c:v>
                </c:pt>
                <c:pt idx="198">
                  <c:v>-1.0456922396424031E-2</c:v>
                </c:pt>
                <c:pt idx="199">
                  <c:v>-3.1671362337084468E-3</c:v>
                </c:pt>
                <c:pt idx="200">
                  <c:v>1.0998278624453081E-2</c:v>
                </c:pt>
                <c:pt idx="201">
                  <c:v>1.8216777742340731E-2</c:v>
                </c:pt>
                <c:pt idx="202">
                  <c:v>-3.4172203301889785E-3</c:v>
                </c:pt>
                <c:pt idx="203">
                  <c:v>2.7705768427309107E-2</c:v>
                </c:pt>
                <c:pt idx="204">
                  <c:v>-2.689163708713881E-3</c:v>
                </c:pt>
                <c:pt idx="205">
                  <c:v>-4.5257423795602832E-2</c:v>
                </c:pt>
                <c:pt idx="206">
                  <c:v>-1.3112087731756703E-3</c:v>
                </c:pt>
                <c:pt idx="207">
                  <c:v>6.8966565612549801E-3</c:v>
                </c:pt>
                <c:pt idx="208">
                  <c:v>1.6729740063097853E-2</c:v>
                </c:pt>
                <c:pt idx="209">
                  <c:v>7.7090476711894037E-3</c:v>
                </c:pt>
                <c:pt idx="210">
                  <c:v>5.3233567249731948E-3</c:v>
                </c:pt>
                <c:pt idx="211">
                  <c:v>2.6493009592390152E-2</c:v>
                </c:pt>
                <c:pt idx="212">
                  <c:v>9.7237467893150492E-3</c:v>
                </c:pt>
                <c:pt idx="213">
                  <c:v>-2.2381746031696913E-2</c:v>
                </c:pt>
                <c:pt idx="214">
                  <c:v>3.1833175133958048E-3</c:v>
                </c:pt>
                <c:pt idx="215">
                  <c:v>-9.597063988679105E-3</c:v>
                </c:pt>
                <c:pt idx="216">
                  <c:v>-1.178007796784278E-2</c:v>
                </c:pt>
                <c:pt idx="217">
                  <c:v>-7.986691605477666E-4</c:v>
                </c:pt>
                <c:pt idx="218">
                  <c:v>7.6305842826487778E-3</c:v>
                </c:pt>
                <c:pt idx="219">
                  <c:v>-1.4678778864137612E-2</c:v>
                </c:pt>
                <c:pt idx="220">
                  <c:v>1.2558828996930537E-2</c:v>
                </c:pt>
                <c:pt idx="221">
                  <c:v>1.7911823993589135E-2</c:v>
                </c:pt>
                <c:pt idx="222">
                  <c:v>5.8560431719370965E-4</c:v>
                </c:pt>
                <c:pt idx="223">
                  <c:v>1.4968046746154809E-2</c:v>
                </c:pt>
                <c:pt idx="224">
                  <c:v>-6.3342062726908935E-3</c:v>
                </c:pt>
                <c:pt idx="225">
                  <c:v>1.9389067095026424E-3</c:v>
                </c:pt>
                <c:pt idx="226">
                  <c:v>-1.7469758316969147E-3</c:v>
                </c:pt>
                <c:pt idx="227">
                  <c:v>1.237436478931505E-2</c:v>
                </c:pt>
                <c:pt idx="228">
                  <c:v>-1.189321661615742E-2</c:v>
                </c:pt>
                <c:pt idx="229">
                  <c:v>1.0967583767129314E-2</c:v>
                </c:pt>
                <c:pt idx="230">
                  <c:v>8.03723380819024E-3</c:v>
                </c:pt>
                <c:pt idx="231">
                  <c:v>1.0251157556657261E-2</c:v>
                </c:pt>
                <c:pt idx="232">
                  <c:v>4.3409148989377233E-3</c:v>
                </c:pt>
                <c:pt idx="233">
                  <c:v>-5.3704328748856601E-3</c:v>
                </c:pt>
                <c:pt idx="234">
                  <c:v>1.728366871741931E-2</c:v>
                </c:pt>
                <c:pt idx="235">
                  <c:v>-3.7185365417128978E-3</c:v>
                </c:pt>
                <c:pt idx="236">
                  <c:v>-7.7482428744296674E-3</c:v>
                </c:pt>
                <c:pt idx="237">
                  <c:v>1.2083007236261134E-2</c:v>
                </c:pt>
                <c:pt idx="238">
                  <c:v>1.1648513733362962E-2</c:v>
                </c:pt>
                <c:pt idx="239">
                  <c:v>1.2454030600139158E-2</c:v>
                </c:pt>
                <c:pt idx="240">
                  <c:v>8.5241588273091071E-3</c:v>
                </c:pt>
                <c:pt idx="241">
                  <c:v>6.9409519323804746E-4</c:v>
                </c:pt>
                <c:pt idx="242">
                  <c:v>3.5292989476187538E-2</c:v>
                </c:pt>
                <c:pt idx="243">
                  <c:v>9.1702196358408351E-3</c:v>
                </c:pt>
                <c:pt idx="244">
                  <c:v>-2.3787639733789789E-2</c:v>
                </c:pt>
                <c:pt idx="245">
                  <c:v>2.1860985893000727E-3</c:v>
                </c:pt>
                <c:pt idx="246">
                  <c:v>1.097214658665855E-2</c:v>
                </c:pt>
                <c:pt idx="247">
                  <c:v>3.467150282288748E-2</c:v>
                </c:pt>
                <c:pt idx="248">
                  <c:v>-3.0962731848024991E-2</c:v>
                </c:pt>
                <c:pt idx="249">
                  <c:v>1.790527791575097E-3</c:v>
                </c:pt>
                <c:pt idx="250">
                  <c:v>-7.968659806980331E-3</c:v>
                </c:pt>
                <c:pt idx="251">
                  <c:v>3.0525175674442552E-2</c:v>
                </c:pt>
                <c:pt idx="252">
                  <c:v>7.813240506919986E-3</c:v>
                </c:pt>
                <c:pt idx="253">
                  <c:v>3.0811529279230491E-4</c:v>
                </c:pt>
                <c:pt idx="254">
                  <c:v>1.4927010306282067E-2</c:v>
                </c:pt>
                <c:pt idx="255">
                  <c:v>-9.8263368834816001E-3</c:v>
                </c:pt>
                <c:pt idx="256">
                  <c:v>2.1654861451538389E-3</c:v>
                </c:pt>
                <c:pt idx="257">
                  <c:v>9.4042343863962267E-3</c:v>
                </c:pt>
                <c:pt idx="258">
                  <c:v>1.1613511155237011E-2</c:v>
                </c:pt>
                <c:pt idx="259">
                  <c:v>5.1362100603551168E-2</c:v>
                </c:pt>
                <c:pt idx="260">
                  <c:v>7.0336223019981811E-2</c:v>
                </c:pt>
                <c:pt idx="261">
                  <c:v>-5.5439665676821376E-2</c:v>
                </c:pt>
                <c:pt idx="262">
                  <c:v>-1.3441268886080864E-2</c:v>
                </c:pt>
                <c:pt idx="263">
                  <c:v>-7.6281017965242363E-3</c:v>
                </c:pt>
                <c:pt idx="264">
                  <c:v>2.122465413442504E-2</c:v>
                </c:pt>
                <c:pt idx="265">
                  <c:v>2.0300247800159966E-2</c:v>
                </c:pt>
                <c:pt idx="266">
                  <c:v>-3.5881894019631072E-2</c:v>
                </c:pt>
                <c:pt idx="267">
                  <c:v>2.3229564301268566E-3</c:v>
                </c:pt>
                <c:pt idx="268">
                  <c:v>1.6752249598581646E-2</c:v>
                </c:pt>
                <c:pt idx="269">
                  <c:v>-1.8536189192644593E-2</c:v>
                </c:pt>
                <c:pt idx="270">
                  <c:v>1.0242040649650244E-2</c:v>
                </c:pt>
                <c:pt idx="271">
                  <c:v>-7.9997536543986118E-3</c:v>
                </c:pt>
                <c:pt idx="272">
                  <c:v>1.2513601844561184E-2</c:v>
                </c:pt>
                <c:pt idx="273">
                  <c:v>2.036334437042198E-2</c:v>
                </c:pt>
                <c:pt idx="274">
                  <c:v>-2.9737461144046497E-2</c:v>
                </c:pt>
                <c:pt idx="275">
                  <c:v>-1.4457111367116552E-2</c:v>
                </c:pt>
                <c:pt idx="276">
                  <c:v>1.611732116619416E-2</c:v>
                </c:pt>
                <c:pt idx="277">
                  <c:v>3.923747879785458E-3</c:v>
                </c:pt>
                <c:pt idx="278">
                  <c:v>1.9925951548894916E-2</c:v>
                </c:pt>
                <c:pt idx="279">
                  <c:v>-1.9445798813254214E-2</c:v>
                </c:pt>
                <c:pt idx="280">
                  <c:v>3.2285647822887481E-2</c:v>
                </c:pt>
                <c:pt idx="281">
                  <c:v>-5.6561010058878217E-2</c:v>
                </c:pt>
                <c:pt idx="282">
                  <c:v>7.1293976063097855E-2</c:v>
                </c:pt>
                <c:pt idx="283">
                  <c:v>3.004223599792636E-2</c:v>
                </c:pt>
                <c:pt idx="284">
                  <c:v>3.6440326406707149E-2</c:v>
                </c:pt>
                <c:pt idx="285">
                  <c:v>-3.7456920855534051E-2</c:v>
                </c:pt>
                <c:pt idx="286">
                  <c:v>1.0951081496397168E-2</c:v>
                </c:pt>
                <c:pt idx="287">
                  <c:v>2.377996395556168E-2</c:v>
                </c:pt>
                <c:pt idx="288">
                  <c:v>-1.1546775482886028E-2</c:v>
                </c:pt>
                <c:pt idx="289">
                  <c:v>5.1264339460934116E-3</c:v>
                </c:pt>
                <c:pt idx="290">
                  <c:v>7.3645496454338502E-2</c:v>
                </c:pt>
                <c:pt idx="291">
                  <c:v>-5.8315344020736393E-3</c:v>
                </c:pt>
                <c:pt idx="292">
                  <c:v>6.1038666391711703E-2</c:v>
                </c:pt>
                <c:pt idx="293">
                  <c:v>-2.0396597307977354E-2</c:v>
                </c:pt>
                <c:pt idx="294">
                  <c:v>-0.18429454669371795</c:v>
                </c:pt>
                <c:pt idx="295">
                  <c:v>-2.3422717868197607E-2</c:v>
                </c:pt>
                <c:pt idx="296">
                  <c:v>-0.12233778915443443</c:v>
                </c:pt>
                <c:pt idx="297">
                  <c:v>-5.604989279459259E-3</c:v>
                </c:pt>
                <c:pt idx="298">
                  <c:v>1.4594228789193277E-2</c:v>
                </c:pt>
                <c:pt idx="299">
                  <c:v>3.3310409855000167E-2</c:v>
                </c:pt>
                <c:pt idx="300">
                  <c:v>-3.0437441191522984E-2</c:v>
                </c:pt>
                <c:pt idx="301">
                  <c:v>-2.1029765712830225E-3</c:v>
                </c:pt>
                <c:pt idx="302">
                  <c:v>1.2971076156256128E-2</c:v>
                </c:pt>
                <c:pt idx="303">
                  <c:v>1.9807899757550915E-3</c:v>
                </c:pt>
                <c:pt idx="304">
                  <c:v>-3.3059164775395907E-3</c:v>
                </c:pt>
              </c:numCache>
            </c:numRef>
          </c:xVal>
          <c:yVal>
            <c:numRef>
              <c:f>Beta!$H$35:$H$339</c:f>
              <c:numCache>
                <c:formatCode>_(#,##0.00%_);\(#,##0.00%\);_("–"_)_%;_(@_)_%</c:formatCode>
                <c:ptCount val="305"/>
                <c:pt idx="0">
                  <c:v>-1.9995680810745455E-2</c:v>
                </c:pt>
                <c:pt idx="1">
                  <c:v>-1.0803574542145636E-3</c:v>
                </c:pt>
                <c:pt idx="2">
                  <c:v>1.2571832569326271E-3</c:v>
                </c:pt>
                <c:pt idx="3">
                  <c:v>-4.1031672643364547E-2</c:v>
                </c:pt>
                <c:pt idx="4">
                  <c:v>2.9127159867570133E-2</c:v>
                </c:pt>
                <c:pt idx="5">
                  <c:v>-1.8049106855529892E-2</c:v>
                </c:pt>
                <c:pt idx="6">
                  <c:v>2.8575578976097332E-2</c:v>
                </c:pt>
                <c:pt idx="7">
                  <c:v>4.0686458525978561E-2</c:v>
                </c:pt>
                <c:pt idx="8">
                  <c:v>-1.8065071001386501E-2</c:v>
                </c:pt>
                <c:pt idx="9">
                  <c:v>6.7694303215556331E-4</c:v>
                </c:pt>
                <c:pt idx="10">
                  <c:v>1.3073517163067906E-2</c:v>
                </c:pt>
                <c:pt idx="11">
                  <c:v>2.0442051274719743E-2</c:v>
                </c:pt>
                <c:pt idx="12">
                  <c:v>6.9474719888871781E-3</c:v>
                </c:pt>
                <c:pt idx="13">
                  <c:v>-6.5292713330761587E-2</c:v>
                </c:pt>
                <c:pt idx="14">
                  <c:v>2.3277832163067905E-2</c:v>
                </c:pt>
                <c:pt idx="15">
                  <c:v>-0.18449180461811132</c:v>
                </c:pt>
                <c:pt idx="16">
                  <c:v>1.5763576683216672E-2</c:v>
                </c:pt>
                <c:pt idx="17">
                  <c:v>1.0732139833797415E-2</c:v>
                </c:pt>
                <c:pt idx="18">
                  <c:v>3.78425662337286E-2</c:v>
                </c:pt>
                <c:pt idx="19">
                  <c:v>-0.10340622446561037</c:v>
                </c:pt>
                <c:pt idx="20">
                  <c:v>4.5196017889865972E-4</c:v>
                </c:pt>
                <c:pt idx="21">
                  <c:v>-5.2932427445824118E-2</c:v>
                </c:pt>
                <c:pt idx="22">
                  <c:v>-4.6314468410537629E-2</c:v>
                </c:pt>
                <c:pt idx="23">
                  <c:v>-3.1063467479206699E-2</c:v>
                </c:pt>
                <c:pt idx="24">
                  <c:v>2.8884174856932624E-2</c:v>
                </c:pt>
                <c:pt idx="25">
                  <c:v>5.4262656338742478E-3</c:v>
                </c:pt>
                <c:pt idx="26">
                  <c:v>1.21315082305895E-2</c:v>
                </c:pt>
                <c:pt idx="27">
                  <c:v>6.5605031302282735E-2</c:v>
                </c:pt>
                <c:pt idx="28">
                  <c:v>2.6437509302282742E-2</c:v>
                </c:pt>
                <c:pt idx="29">
                  <c:v>-3.4602979465610369E-2</c:v>
                </c:pt>
                <c:pt idx="30">
                  <c:v>-6.8904110411365155E-2</c:v>
                </c:pt>
                <c:pt idx="31">
                  <c:v>6.9026998708363978E-3</c:v>
                </c:pt>
                <c:pt idx="32">
                  <c:v>-2.4939955696877448E-2</c:v>
                </c:pt>
                <c:pt idx="33">
                  <c:v>1.4575785130555241E-2</c:v>
                </c:pt>
                <c:pt idx="34">
                  <c:v>-4.527887348675997E-2</c:v>
                </c:pt>
                <c:pt idx="35">
                  <c:v>2.1691817767165306E-2</c:v>
                </c:pt>
                <c:pt idx="36">
                  <c:v>-7.1706687642255879E-2</c:v>
                </c:pt>
                <c:pt idx="37">
                  <c:v>6.7480915020527721E-2</c:v>
                </c:pt>
                <c:pt idx="38">
                  <c:v>-1.0325101886792176E-2</c:v>
                </c:pt>
                <c:pt idx="39">
                  <c:v>1.011609166821128E-2</c:v>
                </c:pt>
                <c:pt idx="40">
                  <c:v>6.89232720280465E-3</c:v>
                </c:pt>
                <c:pt idx="41">
                  <c:v>6.4602279271592206E-2</c:v>
                </c:pt>
                <c:pt idx="42">
                  <c:v>-6.778332613390229E-3</c:v>
                </c:pt>
                <c:pt idx="43">
                  <c:v>-1.689307910549279E-2</c:v>
                </c:pt>
                <c:pt idx="44">
                  <c:v>1.8925654244321302E-4</c:v>
                </c:pt>
                <c:pt idx="45">
                  <c:v>4.5355027742119768E-2</c:v>
                </c:pt>
                <c:pt idx="46">
                  <c:v>2.4293608768652466E-2</c:v>
                </c:pt>
                <c:pt idx="47">
                  <c:v>7.7566432212700667E-2</c:v>
                </c:pt>
                <c:pt idx="48">
                  <c:v>5.056388245791338E-3</c:v>
                </c:pt>
                <c:pt idx="49">
                  <c:v>-2.1558873892160987E-2</c:v>
                </c:pt>
                <c:pt idx="50">
                  <c:v>1.1593985732233289E-2</c:v>
                </c:pt>
                <c:pt idx="51">
                  <c:v>-9.942066267766711E-3</c:v>
                </c:pt>
                <c:pt idx="52">
                  <c:v>-4.7321414401774148E-2</c:v>
                </c:pt>
                <c:pt idx="53">
                  <c:v>6.4288492649690124E-2</c:v>
                </c:pt>
                <c:pt idx="54">
                  <c:v>2.856197955471634E-2</c:v>
                </c:pt>
                <c:pt idx="55">
                  <c:v>6.3670099132985825E-2</c:v>
                </c:pt>
                <c:pt idx="56">
                  <c:v>-0.10504722130399492</c:v>
                </c:pt>
                <c:pt idx="57">
                  <c:v>7.2897670416582225E-2</c:v>
                </c:pt>
                <c:pt idx="58">
                  <c:v>-1.7539942954864322E-2</c:v>
                </c:pt>
                <c:pt idx="59">
                  <c:v>-3.0157104543020251E-2</c:v>
                </c:pt>
                <c:pt idx="60">
                  <c:v>-6.1183555071460317E-2</c:v>
                </c:pt>
                <c:pt idx="61">
                  <c:v>-5.5295216654274136E-3</c:v>
                </c:pt>
                <c:pt idx="62">
                  <c:v>4.2581926190041711E-2</c:v>
                </c:pt>
                <c:pt idx="63">
                  <c:v>2.0538710958063987E-2</c:v>
                </c:pt>
                <c:pt idx="64">
                  <c:v>-3.2418344168209011E-2</c:v>
                </c:pt>
                <c:pt idx="65">
                  <c:v>-4.4464519848141419E-2</c:v>
                </c:pt>
                <c:pt idx="66">
                  <c:v>-9.3980434724208917E-2</c:v>
                </c:pt>
                <c:pt idx="67">
                  <c:v>-3.7335472103741815E-2</c:v>
                </c:pt>
                <c:pt idx="68">
                  <c:v>1.1229639732641854E-3</c:v>
                </c:pt>
                <c:pt idx="69">
                  <c:v>4.6754504151950975E-2</c:v>
                </c:pt>
                <c:pt idx="70">
                  <c:v>-1.7320567173580804E-2</c:v>
                </c:pt>
                <c:pt idx="71">
                  <c:v>1.0345600926154353E-2</c:v>
                </c:pt>
                <c:pt idx="72">
                  <c:v>-6.0580158436427958E-2</c:v>
                </c:pt>
                <c:pt idx="73">
                  <c:v>-4.4543203059097404E-2</c:v>
                </c:pt>
                <c:pt idx="74">
                  <c:v>6.4705686532895615E-2</c:v>
                </c:pt>
                <c:pt idx="75">
                  <c:v>1.5003177446912368E-3</c:v>
                </c:pt>
                <c:pt idx="76">
                  <c:v>3.8861043709175848E-2</c:v>
                </c:pt>
                <c:pt idx="77">
                  <c:v>5.7716748788986597E-3</c:v>
                </c:pt>
                <c:pt idx="78">
                  <c:v>-1.1805741044482501E-2</c:v>
                </c:pt>
                <c:pt idx="79">
                  <c:v>1.6694861776276281E-2</c:v>
                </c:pt>
                <c:pt idx="80">
                  <c:v>-4.9302977465610374E-2</c:v>
                </c:pt>
                <c:pt idx="81">
                  <c:v>1.0028378380884688E-2</c:v>
                </c:pt>
                <c:pt idx="82">
                  <c:v>6.0772710783737721E-2</c:v>
                </c:pt>
                <c:pt idx="83">
                  <c:v>2.9495651612213868E-2</c:v>
                </c:pt>
                <c:pt idx="84">
                  <c:v>6.1124365579950227E-2</c:v>
                </c:pt>
                <c:pt idx="85">
                  <c:v>8.1437881190453809E-2</c:v>
                </c:pt>
                <c:pt idx="86">
                  <c:v>2.2057331207261621E-2</c:v>
                </c:pt>
                <c:pt idx="87">
                  <c:v>2.8395144641622631E-2</c:v>
                </c:pt>
                <c:pt idx="88">
                  <c:v>-1.8215276401774144E-2</c:v>
                </c:pt>
                <c:pt idx="89">
                  <c:v>2.2113345926154354E-2</c:v>
                </c:pt>
                <c:pt idx="90">
                  <c:v>5.4195370009182238E-2</c:v>
                </c:pt>
                <c:pt idx="91">
                  <c:v>3.290468499294847E-2</c:v>
                </c:pt>
                <c:pt idx="92">
                  <c:v>2.9197045724686215E-3</c:v>
                </c:pt>
                <c:pt idx="93">
                  <c:v>-8.12585361262292E-3</c:v>
                </c:pt>
                <c:pt idx="94">
                  <c:v>-5.1697236051675012E-2</c:v>
                </c:pt>
                <c:pt idx="95">
                  <c:v>-1.490189173047592E-2</c:v>
                </c:pt>
                <c:pt idx="96">
                  <c:v>-2.1079597697298565E-2</c:v>
                </c:pt>
                <c:pt idx="97">
                  <c:v>-4.0856927792668446E-2</c:v>
                </c:pt>
                <c:pt idx="98">
                  <c:v>3.3712669059236464E-2</c:v>
                </c:pt>
                <c:pt idx="99">
                  <c:v>4.7439425062514945E-2</c:v>
                </c:pt>
                <c:pt idx="100">
                  <c:v>3.2904591009182235E-2</c:v>
                </c:pt>
                <c:pt idx="101">
                  <c:v>-1.4141645588815309E-2</c:v>
                </c:pt>
                <c:pt idx="102">
                  <c:v>4.5237832300409425E-2</c:v>
                </c:pt>
                <c:pt idx="103">
                  <c:v>-2.1531338791547654E-2</c:v>
                </c:pt>
                <c:pt idx="104">
                  <c:v>7.0077666096437258E-2</c:v>
                </c:pt>
                <c:pt idx="105">
                  <c:v>-2.4454771767693218E-2</c:v>
                </c:pt>
                <c:pt idx="106">
                  <c:v>-8.3582312924988258E-2</c:v>
                </c:pt>
                <c:pt idx="107">
                  <c:v>1.4175862697100576E-2</c:v>
                </c:pt>
                <c:pt idx="108">
                  <c:v>-8.1581153690920769E-2</c:v>
                </c:pt>
                <c:pt idx="109">
                  <c:v>1.315555958047532E-2</c:v>
                </c:pt>
                <c:pt idx="110">
                  <c:v>4.8540371444701089E-3</c:v>
                </c:pt>
                <c:pt idx="111">
                  <c:v>5.9518496950616749E-2</c:v>
                </c:pt>
                <c:pt idx="112">
                  <c:v>2.764938516772374E-2</c:v>
                </c:pt>
                <c:pt idx="113">
                  <c:v>-3.9071563769410497E-2</c:v>
                </c:pt>
                <c:pt idx="114">
                  <c:v>-7.3060477439599149E-3</c:v>
                </c:pt>
                <c:pt idx="115">
                  <c:v>-3.1299467539892753E-2</c:v>
                </c:pt>
                <c:pt idx="116">
                  <c:v>-1.6368997554340469E-2</c:v>
                </c:pt>
                <c:pt idx="117">
                  <c:v>-5.241778340779088E-2</c:v>
                </c:pt>
                <c:pt idx="118">
                  <c:v>3.0559147367951907E-2</c:v>
                </c:pt>
                <c:pt idx="119">
                  <c:v>2.4162493486600954E-2</c:v>
                </c:pt>
                <c:pt idx="120">
                  <c:v>1.5274087641238686E-2</c:v>
                </c:pt>
                <c:pt idx="121">
                  <c:v>-2.1364157973525623E-2</c:v>
                </c:pt>
                <c:pt idx="122">
                  <c:v>8.1123723767165312E-2</c:v>
                </c:pt>
                <c:pt idx="123">
                  <c:v>-2.9963830670733427E-2</c:v>
                </c:pt>
                <c:pt idx="124">
                  <c:v>0.11045416736795191</c:v>
                </c:pt>
                <c:pt idx="125">
                  <c:v>-7.5688347702818559E-4</c:v>
                </c:pt>
                <c:pt idx="126">
                  <c:v>-4.5012432747711262E-3</c:v>
                </c:pt>
                <c:pt idx="127">
                  <c:v>-1.0459718802938032E-2</c:v>
                </c:pt>
                <c:pt idx="128">
                  <c:v>-1.7075218881684609E-4</c:v>
                </c:pt>
                <c:pt idx="129">
                  <c:v>2.2588114365849052E-2</c:v>
                </c:pt>
                <c:pt idx="130">
                  <c:v>-2.5114383969770445E-2</c:v>
                </c:pt>
                <c:pt idx="131">
                  <c:v>9.0094683873770797E-3</c:v>
                </c:pt>
                <c:pt idx="132">
                  <c:v>-0.12468320942939826</c:v>
                </c:pt>
                <c:pt idx="133">
                  <c:v>3.6759237266879977E-2</c:v>
                </c:pt>
                <c:pt idx="134">
                  <c:v>-2.501623107146032E-2</c:v>
                </c:pt>
                <c:pt idx="135">
                  <c:v>6.02065854513366E-2</c:v>
                </c:pt>
                <c:pt idx="136">
                  <c:v>2.0035651818863451E-3</c:v>
                </c:pt>
                <c:pt idx="137">
                  <c:v>-0.12750761893015322</c:v>
                </c:pt>
                <c:pt idx="138">
                  <c:v>-6.0987930513399041E-2</c:v>
                </c:pt>
                <c:pt idx="139">
                  <c:v>6.2330879248074997E-2</c:v>
                </c:pt>
                <c:pt idx="140">
                  <c:v>-3.9217142880309183E-2</c:v>
                </c:pt>
                <c:pt idx="141">
                  <c:v>3.1688804122209813E-2</c:v>
                </c:pt>
                <c:pt idx="142">
                  <c:v>4.7872523771368636E-2</c:v>
                </c:pt>
                <c:pt idx="143">
                  <c:v>2.0649831589115149E-2</c:v>
                </c:pt>
                <c:pt idx="144">
                  <c:v>4.6857341353812851E-2</c:v>
                </c:pt>
                <c:pt idx="145">
                  <c:v>-1.8046735845985557E-2</c:v>
                </c:pt>
                <c:pt idx="146">
                  <c:v>2.6991409387186759E-2</c:v>
                </c:pt>
                <c:pt idx="147">
                  <c:v>0.15529482158911515</c:v>
                </c:pt>
                <c:pt idx="148">
                  <c:v>-4.3034310298829632E-3</c:v>
                </c:pt>
                <c:pt idx="149">
                  <c:v>-4.0214044912068994E-2</c:v>
                </c:pt>
                <c:pt idx="150">
                  <c:v>-5.0119498292744369E-2</c:v>
                </c:pt>
                <c:pt idx="151">
                  <c:v>-6.0029766023846198E-3</c:v>
                </c:pt>
                <c:pt idx="152">
                  <c:v>2.4223883468951071E-2</c:v>
                </c:pt>
                <c:pt idx="153">
                  <c:v>2.1563886164240573E-2</c:v>
                </c:pt>
                <c:pt idx="154">
                  <c:v>1.5449068911161976E-2</c:v>
                </c:pt>
                <c:pt idx="155">
                  <c:v>6.5624338468906002E-2</c:v>
                </c:pt>
                <c:pt idx="156">
                  <c:v>-2.5515546785405224E-2</c:v>
                </c:pt>
                <c:pt idx="157">
                  <c:v>-4.496455816983979E-2</c:v>
                </c:pt>
                <c:pt idx="158">
                  <c:v>6.5074921294465057E-2</c:v>
                </c:pt>
                <c:pt idx="159">
                  <c:v>1.6805609943263129E-3</c:v>
                </c:pt>
                <c:pt idx="160">
                  <c:v>9.6471785195670845E-2</c:v>
                </c:pt>
                <c:pt idx="161">
                  <c:v>8.0678309695240789E-3</c:v>
                </c:pt>
                <c:pt idx="162">
                  <c:v>-0.13325491782717372</c:v>
                </c:pt>
                <c:pt idx="163">
                  <c:v>8.8518541092156816E-2</c:v>
                </c:pt>
                <c:pt idx="164">
                  <c:v>-1.5040274544398817E-4</c:v>
                </c:pt>
                <c:pt idx="165">
                  <c:v>7.141644810376177E-2</c:v>
                </c:pt>
                <c:pt idx="166">
                  <c:v>-6.5266821655874011E-2</c:v>
                </c:pt>
                <c:pt idx="167">
                  <c:v>-4.5666313079365174E-2</c:v>
                </c:pt>
                <c:pt idx="168">
                  <c:v>3.1393506304179752E-2</c:v>
                </c:pt>
                <c:pt idx="169">
                  <c:v>3.5305635250181787E-2</c:v>
                </c:pt>
                <c:pt idx="170">
                  <c:v>0.11269069673225197</c:v>
                </c:pt>
                <c:pt idx="171">
                  <c:v>6.4515875600013511E-2</c:v>
                </c:pt>
                <c:pt idx="172">
                  <c:v>-1.483686176545649E-2</c:v>
                </c:pt>
                <c:pt idx="173">
                  <c:v>1.063430716275803E-2</c:v>
                </c:pt>
                <c:pt idx="174">
                  <c:v>-1.4589205158239672E-2</c:v>
                </c:pt>
                <c:pt idx="175">
                  <c:v>2.7809054030964585E-2</c:v>
                </c:pt>
                <c:pt idx="176">
                  <c:v>-8.7666141690550481E-2</c:v>
                </c:pt>
                <c:pt idx="177">
                  <c:v>2.1646026393689195E-2</c:v>
                </c:pt>
                <c:pt idx="178">
                  <c:v>2.2987345150030709E-2</c:v>
                </c:pt>
                <c:pt idx="179">
                  <c:v>4.1597218560475539E-2</c:v>
                </c:pt>
                <c:pt idx="180">
                  <c:v>2.4181933902087803E-2</c:v>
                </c:pt>
                <c:pt idx="181">
                  <c:v>1.8375321808695631E-2</c:v>
                </c:pt>
                <c:pt idx="182">
                  <c:v>-1.7391749291580987E-2</c:v>
                </c:pt>
                <c:pt idx="183">
                  <c:v>1.5553391189650573E-2</c:v>
                </c:pt>
                <c:pt idx="184">
                  <c:v>4.3905561688882155E-2</c:v>
                </c:pt>
                <c:pt idx="185">
                  <c:v>1.6998394245738051E-2</c:v>
                </c:pt>
                <c:pt idx="186">
                  <c:v>-9.2345482418122779E-2</c:v>
                </c:pt>
                <c:pt idx="187">
                  <c:v>4.6852770672583872E-2</c:v>
                </c:pt>
                <c:pt idx="188">
                  <c:v>-1.3410011671279554E-2</c:v>
                </c:pt>
                <c:pt idx="189">
                  <c:v>4.4764794338938423E-2</c:v>
                </c:pt>
                <c:pt idx="190">
                  <c:v>-3.551131445108302E-2</c:v>
                </c:pt>
                <c:pt idx="191">
                  <c:v>-0.24290103979406463</c:v>
                </c:pt>
                <c:pt idx="192">
                  <c:v>-0.15916190778751857</c:v>
                </c:pt>
                <c:pt idx="193">
                  <c:v>1.0673961133693741E-2</c:v>
                </c:pt>
                <c:pt idx="194">
                  <c:v>4.7914577349660051E-2</c:v>
                </c:pt>
                <c:pt idx="195">
                  <c:v>-7.9975413985596232E-3</c:v>
                </c:pt>
                <c:pt idx="196">
                  <c:v>3.7678041054409819E-2</c:v>
                </c:pt>
                <c:pt idx="197">
                  <c:v>-6.8397035887411096E-3</c:v>
                </c:pt>
                <c:pt idx="198">
                  <c:v>-2.0143928396424031E-2</c:v>
                </c:pt>
                <c:pt idx="199">
                  <c:v>0.12081576736629156</c:v>
                </c:pt>
                <c:pt idx="200">
                  <c:v>2.606776362445308E-2</c:v>
                </c:pt>
                <c:pt idx="201">
                  <c:v>2.2369791742340731E-2</c:v>
                </c:pt>
                <c:pt idx="202">
                  <c:v>-2.241739353018898E-2</c:v>
                </c:pt>
                <c:pt idx="203">
                  <c:v>3.7504771427309104E-2</c:v>
                </c:pt>
                <c:pt idx="204">
                  <c:v>-3.0157129708713881E-2</c:v>
                </c:pt>
                <c:pt idx="205">
                  <c:v>-0.10075554379560285</c:v>
                </c:pt>
                <c:pt idx="206">
                  <c:v>-4.1831639073175671E-2</c:v>
                </c:pt>
                <c:pt idx="207">
                  <c:v>5.6288284061254974E-2</c:v>
                </c:pt>
                <c:pt idx="208">
                  <c:v>4.7702696063097849E-2</c:v>
                </c:pt>
                <c:pt idx="209">
                  <c:v>-2.8729226288105965E-3</c:v>
                </c:pt>
                <c:pt idx="210">
                  <c:v>-6.2152081275026798E-2</c:v>
                </c:pt>
                <c:pt idx="211">
                  <c:v>5.6321439592390152E-2</c:v>
                </c:pt>
                <c:pt idx="212">
                  <c:v>1.618834678931505E-2</c:v>
                </c:pt>
                <c:pt idx="213">
                  <c:v>7.0412519683030854E-3</c:v>
                </c:pt>
                <c:pt idx="214">
                  <c:v>6.872744551339581E-2</c:v>
                </c:pt>
                <c:pt idx="215">
                  <c:v>-1.7038524588679105E-2</c:v>
                </c:pt>
                <c:pt idx="216">
                  <c:v>-2.833103496784278E-2</c:v>
                </c:pt>
                <c:pt idx="217">
                  <c:v>-3.4092571720547769E-2</c:v>
                </c:pt>
                <c:pt idx="218">
                  <c:v>8.8190822264877749E-4</c:v>
                </c:pt>
                <c:pt idx="219">
                  <c:v>-7.4611311864137608E-2</c:v>
                </c:pt>
                <c:pt idx="220">
                  <c:v>-1.827995900306946E-2</c:v>
                </c:pt>
                <c:pt idx="221">
                  <c:v>7.0969851993589128E-2</c:v>
                </c:pt>
                <c:pt idx="222">
                  <c:v>2.6036429487193709E-2</c:v>
                </c:pt>
                <c:pt idx="223">
                  <c:v>8.1540443461548089E-3</c:v>
                </c:pt>
                <c:pt idx="224">
                  <c:v>-7.560380657269089E-2</c:v>
                </c:pt>
                <c:pt idx="225">
                  <c:v>-5.6547492590497357E-2</c:v>
                </c:pt>
                <c:pt idx="226">
                  <c:v>7.1350699683030852E-3</c:v>
                </c:pt>
                <c:pt idx="227">
                  <c:v>-5.3629899068495046E-4</c:v>
                </c:pt>
                <c:pt idx="228">
                  <c:v>-4.3861511616157423E-2</c:v>
                </c:pt>
                <c:pt idx="229">
                  <c:v>7.9630941767129315E-2</c:v>
                </c:pt>
                <c:pt idx="230">
                  <c:v>1.6530994081902397E-3</c:v>
                </c:pt>
                <c:pt idx="231">
                  <c:v>4.842316455665726E-2</c:v>
                </c:pt>
                <c:pt idx="232">
                  <c:v>-2.5570126601062278E-2</c:v>
                </c:pt>
                <c:pt idx="233">
                  <c:v>-2.1791929874885662E-2</c:v>
                </c:pt>
                <c:pt idx="234">
                  <c:v>1.8687834717419308E-2</c:v>
                </c:pt>
                <c:pt idx="235">
                  <c:v>-5.8905895417128975E-3</c:v>
                </c:pt>
                <c:pt idx="236">
                  <c:v>-6.6516753474429674E-2</c:v>
                </c:pt>
                <c:pt idx="237">
                  <c:v>8.8480246362611318E-3</c:v>
                </c:pt>
                <c:pt idx="238">
                  <c:v>-5.6449671266637032E-2</c:v>
                </c:pt>
                <c:pt idx="239">
                  <c:v>4.2920228600139158E-2</c:v>
                </c:pt>
                <c:pt idx="240">
                  <c:v>-6.2029560572690892E-2</c:v>
                </c:pt>
                <c:pt idx="241">
                  <c:v>-2.4573446306761951E-2</c:v>
                </c:pt>
                <c:pt idx="242">
                  <c:v>3.2223588476187531E-2</c:v>
                </c:pt>
                <c:pt idx="243">
                  <c:v>3.8442776635840836E-2</c:v>
                </c:pt>
                <c:pt idx="244">
                  <c:v>-2.3874661733789791E-2</c:v>
                </c:pt>
                <c:pt idx="245">
                  <c:v>-3.3111892210699927E-2</c:v>
                </c:pt>
                <c:pt idx="246">
                  <c:v>-2.5190646413341452E-2</c:v>
                </c:pt>
                <c:pt idx="247">
                  <c:v>0.14537711582288748</c:v>
                </c:pt>
                <c:pt idx="248">
                  <c:v>2.392259615197501E-2</c:v>
                </c:pt>
                <c:pt idx="249">
                  <c:v>1.0371689591575098E-2</c:v>
                </c:pt>
                <c:pt idx="250">
                  <c:v>-7.0036047806980334E-2</c:v>
                </c:pt>
                <c:pt idx="251">
                  <c:v>2.470990867444255E-2</c:v>
                </c:pt>
                <c:pt idx="252">
                  <c:v>-2.2839938093080013E-2</c:v>
                </c:pt>
                <c:pt idx="253">
                  <c:v>1.2274105542792305E-2</c:v>
                </c:pt>
                <c:pt idx="254">
                  <c:v>3.0750970306282065E-2</c:v>
                </c:pt>
                <c:pt idx="255">
                  <c:v>-1.7517780283481599E-2</c:v>
                </c:pt>
                <c:pt idx="256">
                  <c:v>4.7005821845153839E-2</c:v>
                </c:pt>
                <c:pt idx="257">
                  <c:v>0.10594754398639623</c:v>
                </c:pt>
                <c:pt idx="258">
                  <c:v>6.3172363155237013E-2</c:v>
                </c:pt>
                <c:pt idx="259">
                  <c:v>0.27795785560355118</c:v>
                </c:pt>
                <c:pt idx="260">
                  <c:v>6.8572164019981813E-2</c:v>
                </c:pt>
                <c:pt idx="261">
                  <c:v>-0.14178658567682137</c:v>
                </c:pt>
                <c:pt idx="262">
                  <c:v>3.8032170113919135E-2</c:v>
                </c:pt>
                <c:pt idx="263">
                  <c:v>4.7750812203475768E-2</c:v>
                </c:pt>
                <c:pt idx="264">
                  <c:v>7.5140155134425041E-2</c:v>
                </c:pt>
                <c:pt idx="265">
                  <c:v>-1.7285368199840029E-2</c:v>
                </c:pt>
                <c:pt idx="266">
                  <c:v>-4.7170301019631072E-2</c:v>
                </c:pt>
                <c:pt idx="267">
                  <c:v>-7.4517087069873145E-2</c:v>
                </c:pt>
                <c:pt idx="268">
                  <c:v>5.0044745858164748E-4</c:v>
                </c:pt>
                <c:pt idx="269">
                  <c:v>1.2723764807355405E-2</c:v>
                </c:pt>
                <c:pt idx="270">
                  <c:v>4.8267776649650249E-2</c:v>
                </c:pt>
                <c:pt idx="271">
                  <c:v>-5.7391142354398607E-2</c:v>
                </c:pt>
                <c:pt idx="272">
                  <c:v>7.3894226844561192E-2</c:v>
                </c:pt>
                <c:pt idx="273">
                  <c:v>0.13498033237042198</c:v>
                </c:pt>
                <c:pt idx="274">
                  <c:v>-0.20532513114404649</c:v>
                </c:pt>
                <c:pt idx="275">
                  <c:v>5.7700748632883443E-2</c:v>
                </c:pt>
                <c:pt idx="276">
                  <c:v>6.4776882166194164E-2</c:v>
                </c:pt>
                <c:pt idx="277">
                  <c:v>5.4751374797854576E-3</c:v>
                </c:pt>
                <c:pt idx="278">
                  <c:v>6.3522456548894921E-2</c:v>
                </c:pt>
                <c:pt idx="279">
                  <c:v>-7.7175718132542152E-3</c:v>
                </c:pt>
                <c:pt idx="280">
                  <c:v>-3.9457780177112524E-2</c:v>
                </c:pt>
                <c:pt idx="281">
                  <c:v>-0.15147789405887824</c:v>
                </c:pt>
                <c:pt idx="282">
                  <c:v>0.28339865606309783</c:v>
                </c:pt>
                <c:pt idx="283">
                  <c:v>0.17479592999792637</c:v>
                </c:pt>
                <c:pt idx="284">
                  <c:v>-1.5810833593292849E-2</c:v>
                </c:pt>
                <c:pt idx="285">
                  <c:v>-2.6352912555340485E-3</c:v>
                </c:pt>
                <c:pt idx="286">
                  <c:v>-3.1930407503602834E-2</c:v>
                </c:pt>
                <c:pt idx="287">
                  <c:v>0.13159773295556168</c:v>
                </c:pt>
                <c:pt idx="288">
                  <c:v>-2.2988363482886031E-2</c:v>
                </c:pt>
                <c:pt idx="289">
                  <c:v>-0.11631630145390659</c:v>
                </c:pt>
                <c:pt idx="290">
                  <c:v>0.17246831645433849</c:v>
                </c:pt>
                <c:pt idx="291">
                  <c:v>-0.11784255000207364</c:v>
                </c:pt>
                <c:pt idx="292">
                  <c:v>0.11006050639171171</c:v>
                </c:pt>
                <c:pt idx="293">
                  <c:v>-3.2873519307977356E-2</c:v>
                </c:pt>
                <c:pt idx="294">
                  <c:v>-0.28621364669371796</c:v>
                </c:pt>
                <c:pt idx="295">
                  <c:v>-0.11667812486819762</c:v>
                </c:pt>
                <c:pt idx="296">
                  <c:v>-0.16368105915443443</c:v>
                </c:pt>
                <c:pt idx="297">
                  <c:v>-8.1508465779459263E-2</c:v>
                </c:pt>
                <c:pt idx="298">
                  <c:v>-1.5754012210806724E-2</c:v>
                </c:pt>
                <c:pt idx="299">
                  <c:v>-5.3154861449998371E-3</c:v>
                </c:pt>
                <c:pt idx="300">
                  <c:v>-2.8176457191522987E-2</c:v>
                </c:pt>
                <c:pt idx="301">
                  <c:v>-7.6094929671283021E-2</c:v>
                </c:pt>
                <c:pt idx="302">
                  <c:v>-6.162366184374387E-2</c:v>
                </c:pt>
                <c:pt idx="303">
                  <c:v>1.5085705475755091E-2</c:v>
                </c:pt>
                <c:pt idx="304">
                  <c:v>-4.134196527753959E-2</c:v>
                </c:pt>
              </c:numCache>
            </c:numRef>
          </c:yVal>
          <c:smooth val="0"/>
          <c:extLst>
            <c:ext xmlns:c16="http://schemas.microsoft.com/office/drawing/2014/chart" uri="{C3380CC4-5D6E-409C-BE32-E72D297353CC}">
              <c16:uniqueId val="{00000000-22A2-0A43-BB75-FFC3D1DA22EC}"/>
            </c:ext>
          </c:extLst>
        </c:ser>
        <c:dLbls>
          <c:showLegendKey val="0"/>
          <c:showVal val="0"/>
          <c:showCatName val="0"/>
          <c:showSerName val="0"/>
          <c:showPercent val="0"/>
          <c:showBubbleSize val="0"/>
        </c:dLbls>
        <c:axId val="71237968"/>
        <c:axId val="151876544"/>
      </c:scatterChart>
      <c:valAx>
        <c:axId val="712379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low"/>
        <c:spPr>
          <a:noFill/>
          <a:ln w="9525" cap="flat" cmpd="sng" algn="ctr">
            <a:solidFill>
              <a:srgbClr val="00B0F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1876544"/>
        <c:crosses val="autoZero"/>
        <c:crossBetween val="midCat"/>
      </c:valAx>
      <c:valAx>
        <c:axId val="151876544"/>
        <c:scaling>
          <c:orientation val="minMax"/>
        </c:scaling>
        <c:delete val="0"/>
        <c:axPos val="l"/>
        <c:numFmt formatCode="0%" sourceLinked="0"/>
        <c:majorTickMark val="none"/>
        <c:minorTickMark val="none"/>
        <c:tickLblPos val="low"/>
        <c:spPr>
          <a:noFill/>
          <a:ln w="9525" cap="flat" cmpd="sng" algn="ctr">
            <a:solidFill>
              <a:srgbClr val="00B0F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237968"/>
        <c:crosses val="autoZero"/>
        <c:crossBetween val="midCat"/>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0216817039101853"/>
          <c:y val="2.4894336796618774E-2"/>
          <c:w val="0.73406983897853251"/>
          <c:h val="0.90505266088069924"/>
        </c:manualLayout>
      </c:layout>
      <c:barChart>
        <c:barDir val="bar"/>
        <c:grouping val="stacked"/>
        <c:varyColors val="0"/>
        <c:ser>
          <c:idx val="0"/>
          <c:order val="0"/>
          <c:tx>
            <c:strRef>
              <c:f>CCA!$L$109</c:f>
              <c:strCache>
                <c:ptCount val="1"/>
                <c:pt idx="0">
                  <c:v>Minimum</c:v>
                </c:pt>
              </c:strCache>
            </c:strRef>
          </c:tx>
          <c:spPr>
            <a:noFill/>
            <a:ln>
              <a:noFill/>
            </a:ln>
            <a:effectLst/>
          </c:spPr>
          <c:invertIfNegative val="0"/>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CCA!$L$111:$L$136</c:f>
              <c:numCache>
                <c:formatCode>_([$€-2]\ * #,##0.00_);_([$€-2]\ * \(#,##0.00\);_([$€-2]\ * "-"??_);_(@_)</c:formatCode>
                <c:ptCount val="26"/>
                <c:pt idx="0">
                  <c:v>9.9641177882576493</c:v>
                </c:pt>
                <c:pt idx="1">
                  <c:v>32.812612394206838</c:v>
                </c:pt>
                <c:pt idx="2">
                  <c:v>26.000422887734299</c:v>
                </c:pt>
                <c:pt idx="3">
                  <c:v>22.739119489962224</c:v>
                </c:pt>
                <c:pt idx="5">
                  <c:v>5.5871732131582856</c:v>
                </c:pt>
                <c:pt idx="6">
                  <c:v>29.976955132763177</c:v>
                </c:pt>
                <c:pt idx="7">
                  <c:v>31.233210525510771</c:v>
                </c:pt>
                <c:pt idx="8">
                  <c:v>22.362180677977953</c:v>
                </c:pt>
                <c:pt idx="10">
                  <c:v>9.9641177882576493</c:v>
                </c:pt>
                <c:pt idx="11">
                  <c:v>48.711798410408164</c:v>
                </c:pt>
                <c:pt idx="13">
                  <c:v>21.910685305855601</c:v>
                </c:pt>
                <c:pt idx="15">
                  <c:v>8.5051362632245286</c:v>
                </c:pt>
                <c:pt idx="16">
                  <c:v>37.167121979126058</c:v>
                </c:pt>
                <c:pt idx="17">
                  <c:v>28.616816706622537</c:v>
                </c:pt>
                <c:pt idx="18">
                  <c:v>22.337328491265257</c:v>
                </c:pt>
                <c:pt idx="20">
                  <c:v>20.860420390898511</c:v>
                </c:pt>
                <c:pt idx="21">
                  <c:v>33.627649819072758</c:v>
                </c:pt>
                <c:pt idx="22">
                  <c:v>51.522007979182234</c:v>
                </c:pt>
                <c:pt idx="24">
                  <c:v>23.751126692190237</c:v>
                </c:pt>
                <c:pt idx="25">
                  <c:v>35.336692729717832</c:v>
                </c:pt>
              </c:numCache>
            </c:numRef>
          </c:val>
          <c:extLst>
            <c:ext xmlns:c16="http://schemas.microsoft.com/office/drawing/2014/chart" uri="{C3380CC4-5D6E-409C-BE32-E72D297353CC}">
              <c16:uniqueId val="{00000000-75D9-4B7E-8779-38F011BBF1AF}"/>
            </c:ext>
          </c:extLst>
        </c:ser>
        <c:ser>
          <c:idx val="1"/>
          <c:order val="1"/>
          <c:tx>
            <c:strRef>
              <c:f>CCA!$M$108</c:f>
              <c:strCache>
                <c:ptCount val="1"/>
                <c:pt idx="0">
                  <c:v>25th</c:v>
                </c:pt>
              </c:strCache>
            </c:strRef>
          </c:tx>
          <c:spPr>
            <a:solidFill>
              <a:schemeClr val="tx2">
                <a:lumMod val="10000"/>
                <a:lumOff val="90000"/>
              </a:schemeClr>
            </a:solidFill>
            <a:ln>
              <a:noFill/>
            </a:ln>
            <a:effectLst/>
          </c:spPr>
          <c:invertIfNegative val="0"/>
          <c:dPt>
            <c:idx val="2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70BC-459B-B62B-607A0CC5D4AC}"/>
              </c:ext>
            </c:extLst>
          </c:dPt>
          <c:dPt>
            <c:idx val="2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70BC-459B-B62B-607A0CC5D4AC}"/>
              </c:ext>
            </c:extLst>
          </c:dPt>
          <c:dPt>
            <c:idx val="2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6-70BC-459B-B62B-607A0CC5D4AC}"/>
              </c:ext>
            </c:extLst>
          </c:dPt>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CCA!$M$111:$M$136</c:f>
              <c:numCache>
                <c:formatCode>_([$€-2]\ * #,##0.00_);_([$€-2]\ * \(#,##0.00\);_([$€-2]\ * "-"??_);_(@_)</c:formatCode>
                <c:ptCount val="26"/>
                <c:pt idx="0">
                  <c:v>0</c:v>
                </c:pt>
                <c:pt idx="1">
                  <c:v>0</c:v>
                </c:pt>
                <c:pt idx="2">
                  <c:v>16.57548410164905</c:v>
                </c:pt>
                <c:pt idx="3">
                  <c:v>12.035514643230133</c:v>
                </c:pt>
                <c:pt idx="5">
                  <c:v>0</c:v>
                </c:pt>
                <c:pt idx="6">
                  <c:v>0</c:v>
                </c:pt>
                <c:pt idx="7">
                  <c:v>13.777295699539224</c:v>
                </c:pt>
                <c:pt idx="8">
                  <c:v>12.425256551668745</c:v>
                </c:pt>
                <c:pt idx="10">
                  <c:v>0</c:v>
                </c:pt>
                <c:pt idx="11">
                  <c:v>0</c:v>
                </c:pt>
                <c:pt idx="13">
                  <c:v>13.097820169543439</c:v>
                </c:pt>
                <c:pt idx="15">
                  <c:v>0</c:v>
                </c:pt>
                <c:pt idx="16">
                  <c:v>0</c:v>
                </c:pt>
                <c:pt idx="17">
                  <c:v>15.176389900594137</c:v>
                </c:pt>
                <c:pt idx="18">
                  <c:v>12.519530454814108</c:v>
                </c:pt>
                <c:pt idx="20">
                  <c:v>4.242574312947049</c:v>
                </c:pt>
                <c:pt idx="21">
                  <c:v>6.4462752304416995</c:v>
                </c:pt>
                <c:pt idx="22">
                  <c:v>9.8987971564907298</c:v>
                </c:pt>
                <c:pt idx="24">
                  <c:v>13.582274233126117</c:v>
                </c:pt>
                <c:pt idx="25">
                  <c:v>6.8625488999598261</c:v>
                </c:pt>
              </c:numCache>
            </c:numRef>
          </c:val>
          <c:extLst>
            <c:ext xmlns:c16="http://schemas.microsoft.com/office/drawing/2014/chart" uri="{C3380CC4-5D6E-409C-BE32-E72D297353CC}">
              <c16:uniqueId val="{00000001-75D9-4B7E-8779-38F011BBF1AF}"/>
            </c:ext>
          </c:extLst>
        </c:ser>
        <c:ser>
          <c:idx val="2"/>
          <c:order val="2"/>
          <c:tx>
            <c:v>25th-50th</c:v>
          </c:tx>
          <c:spPr>
            <a:solidFill>
              <a:schemeClr val="tx2">
                <a:lumMod val="50000"/>
                <a:lumOff val="50000"/>
              </a:schemeClr>
            </a:solidFill>
            <a:ln>
              <a:noFill/>
            </a:ln>
            <a:effectLst/>
          </c:spPr>
          <c:invertIfNegative val="0"/>
          <c:dPt>
            <c:idx val="2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70BC-459B-B62B-607A0CC5D4AC}"/>
              </c:ext>
            </c:extLst>
          </c:dPt>
          <c:dPt>
            <c:idx val="2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70BC-459B-B62B-607A0CC5D4AC}"/>
              </c:ext>
            </c:extLst>
          </c:dPt>
          <c:dPt>
            <c:idx val="2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70BC-459B-B62B-607A0CC5D4AC}"/>
              </c:ext>
            </c:extLst>
          </c:dPt>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CCA!$N$111:$N$136</c:f>
              <c:numCache>
                <c:formatCode>_([$€-2]\ * #,##0.00_);_([$€-2]\ * \(#,##0.00\);_([$€-2]\ * "-"??_);_(@_)</c:formatCode>
                <c:ptCount val="26"/>
                <c:pt idx="0">
                  <c:v>9.9641177882576493</c:v>
                </c:pt>
                <c:pt idx="1">
                  <c:v>32.812612394206838</c:v>
                </c:pt>
                <c:pt idx="2">
                  <c:v>9.4034302270513237</c:v>
                </c:pt>
                <c:pt idx="3">
                  <c:v>30.905582907249361</c:v>
                </c:pt>
                <c:pt idx="5">
                  <c:v>5.5871732131582856</c:v>
                </c:pt>
                <c:pt idx="6">
                  <c:v>29.976955132763177</c:v>
                </c:pt>
                <c:pt idx="7">
                  <c:v>15.315940052421034</c:v>
                </c:pt>
                <c:pt idx="8">
                  <c:v>30.718153285907064</c:v>
                </c:pt>
                <c:pt idx="10">
                  <c:v>9.9641177882576493</c:v>
                </c:pt>
                <c:pt idx="11">
                  <c:v>48.711798410408164</c:v>
                </c:pt>
                <c:pt idx="13">
                  <c:v>28.88401162759321</c:v>
                </c:pt>
                <c:pt idx="15">
                  <c:v>8.5051362632245286</c:v>
                </c:pt>
                <c:pt idx="16">
                  <c:v>37.167121979126058</c:v>
                </c:pt>
                <c:pt idx="17">
                  <c:v>12.359685139736179</c:v>
                </c:pt>
                <c:pt idx="18">
                  <c:v>30.169249273583215</c:v>
                </c:pt>
                <c:pt idx="20">
                  <c:v>4.8308858640851895</c:v>
                </c:pt>
                <c:pt idx="21">
                  <c:v>7.5751524955680551</c:v>
                </c:pt>
                <c:pt idx="22">
                  <c:v>12.067851103409851</c:v>
                </c:pt>
                <c:pt idx="24">
                  <c:v>22.931262984297611</c:v>
                </c:pt>
                <c:pt idx="25">
                  <c:v>8.1579631543543645</c:v>
                </c:pt>
              </c:numCache>
            </c:numRef>
          </c:val>
          <c:extLst>
            <c:ext xmlns:c16="http://schemas.microsoft.com/office/drawing/2014/chart" uri="{C3380CC4-5D6E-409C-BE32-E72D297353CC}">
              <c16:uniqueId val="{00000002-75D9-4B7E-8779-38F011BBF1AF}"/>
            </c:ext>
          </c:extLst>
        </c:ser>
        <c:ser>
          <c:idx val="3"/>
          <c:order val="3"/>
          <c:tx>
            <c:v>50th-75th</c:v>
          </c:tx>
          <c:spPr>
            <a:solidFill>
              <a:schemeClr val="accent1">
                <a:shade val="76000"/>
              </a:schemeClr>
            </a:solidFill>
            <a:ln>
              <a:noFill/>
            </a:ln>
            <a:effectLst/>
          </c:spPr>
          <c:invertIfNegative val="0"/>
          <c:dPt>
            <c:idx val="20"/>
            <c:invertIfNegative val="0"/>
            <c:bubble3D val="0"/>
            <c:spPr>
              <a:solidFill>
                <a:schemeClr val="accent6"/>
              </a:solidFill>
              <a:ln>
                <a:noFill/>
              </a:ln>
              <a:effectLst/>
            </c:spPr>
            <c:extLst>
              <c:ext xmlns:c16="http://schemas.microsoft.com/office/drawing/2014/chart" uri="{C3380CC4-5D6E-409C-BE32-E72D297353CC}">
                <c16:uniqueId val="{00000002-70BC-459B-B62B-607A0CC5D4AC}"/>
              </c:ext>
            </c:extLst>
          </c:dPt>
          <c:dPt>
            <c:idx val="21"/>
            <c:invertIfNegative val="0"/>
            <c:bubble3D val="0"/>
            <c:spPr>
              <a:solidFill>
                <a:schemeClr val="accent4"/>
              </a:solidFill>
              <a:ln>
                <a:noFill/>
              </a:ln>
              <a:effectLst/>
            </c:spPr>
            <c:extLst>
              <c:ext xmlns:c16="http://schemas.microsoft.com/office/drawing/2014/chart" uri="{C3380CC4-5D6E-409C-BE32-E72D297353CC}">
                <c16:uniqueId val="{00000005-70BC-459B-B62B-607A0CC5D4AC}"/>
              </c:ext>
            </c:extLst>
          </c:dPt>
          <c:dPt>
            <c:idx val="22"/>
            <c:invertIfNegative val="0"/>
            <c:bubble3D val="0"/>
            <c:spPr>
              <a:solidFill>
                <a:schemeClr val="accent3"/>
              </a:solidFill>
              <a:ln>
                <a:noFill/>
              </a:ln>
              <a:effectLst/>
            </c:spPr>
            <c:extLst>
              <c:ext xmlns:c16="http://schemas.microsoft.com/office/drawing/2014/chart" uri="{C3380CC4-5D6E-409C-BE32-E72D297353CC}">
                <c16:uniqueId val="{00000008-70BC-459B-B62B-607A0CC5D4AC}"/>
              </c:ext>
            </c:extLst>
          </c:dPt>
          <c:cat>
            <c:strRef>
              <c:f>CCA!$B$111:$B$136</c:f>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f>CCA!$O$111:$O$136</c:f>
              <c:numCache>
                <c:formatCode>_([$€-2]\ * #,##0.00_);_([$€-2]\ * \(#,##0.00\);_([$€-2]\ * "-"??_);_(@_)</c:formatCode>
                <c:ptCount val="26"/>
                <c:pt idx="0">
                  <c:v>17.405168818079055</c:v>
                </c:pt>
                <c:pt idx="1">
                  <c:v>81.249590647551841</c:v>
                </c:pt>
                <c:pt idx="2">
                  <c:v>11.214189955478773</c:v>
                </c:pt>
                <c:pt idx="3">
                  <c:v>11.857979452749589</c:v>
                </c:pt>
                <c:pt idx="5">
                  <c:v>21.166316834075246</c:v>
                </c:pt>
                <c:pt idx="6">
                  <c:v>92.207564952541446</c:v>
                </c:pt>
                <c:pt idx="7">
                  <c:v>9.9926037142039306</c:v>
                </c:pt>
                <c:pt idx="8">
                  <c:v>10.42553100595039</c:v>
                </c:pt>
                <c:pt idx="10">
                  <c:v>13.453789555383786</c:v>
                </c:pt>
                <c:pt idx="11">
                  <c:v>91.795227073647425</c:v>
                </c:pt>
                <c:pt idx="13">
                  <c:v>10.84635000628554</c:v>
                </c:pt>
                <c:pt idx="15">
                  <c:v>17.341758402512696</c:v>
                </c:pt>
                <c:pt idx="16">
                  <c:v>88.417460891246904</c:v>
                </c:pt>
                <c:pt idx="17">
                  <c:v>10.603396834841352</c:v>
                </c:pt>
                <c:pt idx="18">
                  <c:v>11.043286821661839</c:v>
                </c:pt>
                <c:pt idx="20">
                  <c:v>5.7569674485604949</c:v>
                </c:pt>
                <c:pt idx="21">
                  <c:v>9.461967850714764</c:v>
                </c:pt>
                <c:pt idx="22">
                  <c:v>15.965269164851037</c:v>
                </c:pt>
                <c:pt idx="24">
                  <c:v>33.783119274177004</c:v>
                </c:pt>
                <c:pt idx="25">
                  <c:v>10.394734821375431</c:v>
                </c:pt>
              </c:numCache>
            </c:numRef>
          </c:val>
          <c:extLst>
            <c:ext xmlns:c16="http://schemas.microsoft.com/office/drawing/2014/chart" uri="{C3380CC4-5D6E-409C-BE32-E72D297353CC}">
              <c16:uniqueId val="{00000003-75D9-4B7E-8779-38F011BBF1AF}"/>
            </c:ext>
          </c:extLst>
        </c:ser>
        <c:dLbls>
          <c:showLegendKey val="0"/>
          <c:showVal val="0"/>
          <c:showCatName val="0"/>
          <c:showSerName val="0"/>
          <c:showPercent val="0"/>
          <c:showBubbleSize val="0"/>
        </c:dLbls>
        <c:gapWidth val="150"/>
        <c:overlap val="100"/>
        <c:axId val="2088166207"/>
        <c:axId val="2088164287"/>
        <c:extLst>
          <c:ext xmlns:c15="http://schemas.microsoft.com/office/drawing/2012/chart" uri="{02D57815-91ED-43cb-92C2-25804820EDAC}">
            <c15:filteredBarSeries>
              <c15:ser>
                <c:idx val="4"/>
                <c:order val="4"/>
                <c:tx>
                  <c:strRef>
                    <c:extLst>
                      <c:ext uri="{02D57815-91ED-43cb-92C2-25804820EDAC}">
                        <c15:formulaRef>
                          <c15:sqref>CCA!$P$109</c15:sqref>
                        </c15:formulaRef>
                      </c:ext>
                    </c:extLst>
                    <c:strCache>
                      <c:ptCount val="1"/>
                      <c:pt idx="0">
                        <c:v>Maximum</c:v>
                      </c:pt>
                    </c:strCache>
                  </c:strRef>
                </c:tx>
                <c:spPr>
                  <a:solidFill>
                    <a:schemeClr val="accent1">
                      <a:shade val="53000"/>
                    </a:schemeClr>
                  </a:solidFill>
                  <a:ln>
                    <a:noFill/>
                  </a:ln>
                  <a:effectLst/>
                </c:spPr>
                <c:invertIfNegative val="0"/>
                <c:cat>
                  <c:strRef>
                    <c:extLst>
                      <c:ext uri="{02D57815-91ED-43cb-92C2-25804820EDAC}">
                        <c15:formulaRef>
                          <c15:sqref>CCA!$B$111:$B$136</c15:sqref>
                        </c15:formulaRef>
                      </c:ext>
                    </c:extLst>
                    <c:strCache>
                      <c:ptCount val="26"/>
                      <c:pt idx="0">
                        <c:v>2027E Enterprise Value / Revenue</c:v>
                      </c:pt>
                      <c:pt idx="1">
                        <c:v>2027E Enterprise Value / EBITDA</c:v>
                      </c:pt>
                      <c:pt idx="2">
                        <c:v>2027E P/E Ratio</c:v>
                      </c:pt>
                      <c:pt idx="3">
                        <c:v>2027E Price / Sales</c:v>
                      </c:pt>
                      <c:pt idx="5">
                        <c:v>2026E Enterprise Value / Revenue</c:v>
                      </c:pt>
                      <c:pt idx="6">
                        <c:v>2026E Enterprise Value / EBITDA</c:v>
                      </c:pt>
                      <c:pt idx="7">
                        <c:v>2026E P/E Ratio</c:v>
                      </c:pt>
                      <c:pt idx="8">
                        <c:v>2026E Price / Sales</c:v>
                      </c:pt>
                      <c:pt idx="10">
                        <c:v>2025E Enterprise Value / Revenue</c:v>
                      </c:pt>
                      <c:pt idx="11">
                        <c:v>2025E Enterprise Value / EBITDA</c:v>
                      </c:pt>
                      <c:pt idx="12">
                        <c:v>2025E P/E Ratio</c:v>
                      </c:pt>
                      <c:pt idx="13">
                        <c:v>2025E Price / Sales</c:v>
                      </c:pt>
                      <c:pt idx="15">
                        <c:v>CCA EV/Sales</c:v>
                      </c:pt>
                      <c:pt idx="16">
                        <c:v>CCA EV/EBITDA</c:v>
                      </c:pt>
                      <c:pt idx="17">
                        <c:v>CCA P/E Multiple</c:v>
                      </c:pt>
                      <c:pt idx="18">
                        <c:v>CCA Price/Sales</c:v>
                      </c:pt>
                      <c:pt idx="20">
                        <c:v>DCF Worst Case</c:v>
                      </c:pt>
                      <c:pt idx="21">
                        <c:v>DCF Base Case</c:v>
                      </c:pt>
                      <c:pt idx="22">
                        <c:v>DCF Best Case</c:v>
                      </c:pt>
                      <c:pt idx="24">
                        <c:v>CCA Average Value</c:v>
                      </c:pt>
                      <c:pt idx="25">
                        <c:v>DCF Average Value</c:v>
                      </c:pt>
                    </c:strCache>
                  </c:strRef>
                </c:cat>
                <c:val>
                  <c:numRef>
                    <c:extLst>
                      <c:ext uri="{02D57815-91ED-43cb-92C2-25804820EDAC}">
                        <c15:formulaRef>
                          <c15:sqref>CCA!$P$111:$P$136</c15:sqref>
                        </c15:formulaRef>
                      </c:ext>
                    </c:extLst>
                    <c:numCache>
                      <c:formatCode>_([$€-2]\ * #,##0.00_);_([$€-2]\ * \(#,##0.00\);_([$€-2]\ * "-"??_);_(@_)</c:formatCode>
                      <c:ptCount val="26"/>
                      <c:pt idx="0">
                        <c:v>111.21315202828207</c:v>
                      </c:pt>
                      <c:pt idx="1">
                        <c:v>53.919440379537363</c:v>
                      </c:pt>
                      <c:pt idx="2">
                        <c:v>12.837172339375144</c:v>
                      </c:pt>
                      <c:pt idx="3">
                        <c:v>103.06002127080207</c:v>
                      </c:pt>
                      <c:pt idx="5">
                        <c:v>108.69801861337305</c:v>
                      </c:pt>
                      <c:pt idx="6">
                        <c:v>108.43838415949114</c:v>
                      </c:pt>
                      <c:pt idx="7">
                        <c:v>613.03217752563603</c:v>
                      </c:pt>
                      <c:pt idx="8">
                        <c:v>102.92332131647053</c:v>
                      </c:pt>
                      <c:pt idx="10">
                        <c:v>107.32386109747334</c:v>
                      </c:pt>
                      <c:pt idx="11">
                        <c:v>489.60946752486416</c:v>
                      </c:pt>
                      <c:pt idx="13">
                        <c:v>101.49248068314175</c:v>
                      </c:pt>
                      <c:pt idx="15">
                        <c:v>109.07834391304283</c:v>
                      </c:pt>
                      <c:pt idx="16">
                        <c:v>217.32243068796421</c:v>
                      </c:pt>
                      <c:pt idx="17">
                        <c:v>312.93467493250557</c:v>
                      </c:pt>
                      <c:pt idx="18">
                        <c:v>102.49194109013813</c:v>
                      </c:pt>
                      <c:pt idx="20">
                        <c:v>6.7029558686279529</c:v>
                      </c:pt>
                      <c:pt idx="21">
                        <c:v>11.526055459878563</c:v>
                      </c:pt>
                      <c:pt idx="22">
                        <c:v>20.610832286084047</c:v>
                      </c:pt>
                      <c:pt idx="24">
                        <c:v>173.86795426713152</c:v>
                      </c:pt>
                      <c:pt idx="25">
                        <c:v>12.946614538196854</c:v>
                      </c:pt>
                    </c:numCache>
                  </c:numRef>
                </c:val>
                <c:extLst>
                  <c:ext xmlns:c16="http://schemas.microsoft.com/office/drawing/2014/chart" uri="{C3380CC4-5D6E-409C-BE32-E72D297353CC}">
                    <c16:uniqueId val="{00000004-75D9-4B7E-8779-38F011BBF1AF}"/>
                  </c:ext>
                </c:extLst>
              </c15:ser>
            </c15:filteredBarSeries>
          </c:ext>
        </c:extLst>
      </c:barChart>
      <c:catAx>
        <c:axId val="2088166207"/>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64287"/>
        <c:crossesAt val="0"/>
        <c:auto val="1"/>
        <c:lblAlgn val="ctr"/>
        <c:lblOffset val="100"/>
        <c:noMultiLvlLbl val="0"/>
      </c:catAx>
      <c:valAx>
        <c:axId val="2088164287"/>
        <c:scaling>
          <c:orientation val="minMax"/>
          <c:max val="200"/>
          <c:min val="0"/>
        </c:scaling>
        <c:delete val="0"/>
        <c:axPos val="t"/>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8166207"/>
        <c:crosses val="autoZero"/>
        <c:crossBetween val="between"/>
        <c:majorUnit val="20"/>
        <c:minorUnit val="4"/>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99662063726266292"/>
        </c:manualLayout>
      </c:layout>
      <c:barChart>
        <c:barDir val="bar"/>
        <c:grouping val="stacked"/>
        <c:varyColors val="0"/>
        <c:ser>
          <c:idx val="0"/>
          <c:order val="0"/>
          <c:spPr>
            <a:solidFill>
              <a:schemeClr val="accent1"/>
            </a:solidFill>
            <a:ln>
              <a:noFill/>
            </a:ln>
            <a:effectLst/>
          </c:spPr>
          <c:invertIfNegative val="0"/>
          <c:dPt>
            <c:idx val="3"/>
            <c:invertIfNegative val="0"/>
            <c:bubble3D val="0"/>
            <c:spPr>
              <a:noFill/>
              <a:ln>
                <a:noFill/>
              </a:ln>
              <a:effectLst/>
            </c:spPr>
            <c:extLst>
              <c:ext xmlns:c16="http://schemas.microsoft.com/office/drawing/2014/chart" uri="{C3380CC4-5D6E-409C-BE32-E72D297353CC}">
                <c16:uniqueId val="{0000001B-352D-4952-8C03-B534E4F36E97}"/>
              </c:ext>
            </c:extLst>
          </c:dPt>
          <c:dPt>
            <c:idx val="4"/>
            <c:invertIfNegative val="0"/>
            <c:bubble3D val="0"/>
            <c:spPr>
              <a:noFill/>
              <a:ln>
                <a:noFill/>
              </a:ln>
              <a:effectLst/>
            </c:spPr>
            <c:extLst>
              <c:ext xmlns:c16="http://schemas.microsoft.com/office/drawing/2014/chart" uri="{C3380CC4-5D6E-409C-BE32-E72D297353CC}">
                <c16:uniqueId val="{0000001C-352D-4952-8C03-B534E4F36E97}"/>
              </c:ext>
            </c:extLst>
          </c:dPt>
          <c:dPt>
            <c:idx val="5"/>
            <c:invertIfNegative val="0"/>
            <c:bubble3D val="0"/>
            <c:spPr>
              <a:noFill/>
              <a:ln>
                <a:noFill/>
              </a:ln>
              <a:effectLst/>
            </c:spPr>
            <c:extLst>
              <c:ext xmlns:c16="http://schemas.microsoft.com/office/drawing/2014/chart" uri="{C3380CC4-5D6E-409C-BE32-E72D297353CC}">
                <c16:uniqueId val="{0000001D-352D-4952-8C03-B534E4F36E97}"/>
              </c:ext>
            </c:extLst>
          </c:dPt>
          <c:dPt>
            <c:idx val="6"/>
            <c:invertIfNegative val="0"/>
            <c:bubble3D val="0"/>
            <c:spPr>
              <a:noFill/>
              <a:ln>
                <a:noFill/>
              </a:ln>
              <a:effectLst/>
            </c:spPr>
            <c:extLst>
              <c:ext xmlns:c16="http://schemas.microsoft.com/office/drawing/2014/chart" uri="{C3380CC4-5D6E-409C-BE32-E72D297353CC}">
                <c16:uniqueId val="{0000001E-352D-4952-8C03-B534E4F36E97}"/>
              </c:ext>
            </c:extLst>
          </c:dPt>
          <c:dPt>
            <c:idx val="10"/>
            <c:invertIfNegative val="0"/>
            <c:bubble3D val="0"/>
            <c:spPr>
              <a:noFill/>
              <a:ln>
                <a:noFill/>
              </a:ln>
              <a:effectLst/>
            </c:spPr>
            <c:extLst>
              <c:ext xmlns:c16="http://schemas.microsoft.com/office/drawing/2014/chart" uri="{C3380CC4-5D6E-409C-BE32-E72D297353CC}">
                <c16:uniqueId val="{0000001F-352D-4952-8C03-B534E4F36E97}"/>
              </c:ext>
            </c:extLst>
          </c:dPt>
          <c:dPt>
            <c:idx val="12"/>
            <c:invertIfNegative val="0"/>
            <c:bubble3D val="0"/>
            <c:spPr>
              <a:noFill/>
              <a:ln>
                <a:noFill/>
              </a:ln>
              <a:effectLst/>
            </c:spPr>
            <c:extLst>
              <c:ext xmlns:c16="http://schemas.microsoft.com/office/drawing/2014/chart" uri="{C3380CC4-5D6E-409C-BE32-E72D297353CC}">
                <c16:uniqueId val="{00000020-352D-4952-8C03-B534E4F36E97}"/>
              </c:ext>
            </c:extLst>
          </c:dPt>
          <c:dPt>
            <c:idx val="14"/>
            <c:invertIfNegative val="0"/>
            <c:bubble3D val="0"/>
            <c:spPr>
              <a:noFill/>
              <a:ln>
                <a:noFill/>
              </a:ln>
              <a:effectLst/>
            </c:spPr>
            <c:extLst>
              <c:ext xmlns:c16="http://schemas.microsoft.com/office/drawing/2014/chart" uri="{C3380CC4-5D6E-409C-BE32-E72D297353CC}">
                <c16:uniqueId val="{00000021-352D-4952-8C03-B534E4F36E97}"/>
              </c:ext>
            </c:extLst>
          </c:dPt>
          <c:dPt>
            <c:idx val="16"/>
            <c:invertIfNegative val="0"/>
            <c:bubble3D val="0"/>
            <c:spPr>
              <a:noFill/>
              <a:ln>
                <a:noFill/>
              </a:ln>
              <a:effectLst/>
            </c:spPr>
            <c:extLst>
              <c:ext xmlns:c16="http://schemas.microsoft.com/office/drawing/2014/chart" uri="{C3380CC4-5D6E-409C-BE32-E72D297353CC}">
                <c16:uniqueId val="{00000022-352D-4952-8C03-B534E4F36E97}"/>
              </c:ext>
            </c:extLst>
          </c:dPt>
          <c:cat>
            <c:strRef>
              <c:f>Valuation!$B$135:$B$153</c:f>
              <c:strCache>
                <c:ptCount val="19"/>
                <c:pt idx="0">
                  <c:v>Operating enterprise value</c:v>
                </c:pt>
                <c:pt idx="2">
                  <c:v>Non-operating assets (excl. excess cash)</c:v>
                </c:pt>
                <c:pt idx="3">
                  <c:v>Investments in associates and joint ventures</c:v>
                </c:pt>
                <c:pt idx="4">
                  <c:v>Non current finacial assets + marketable securities + loans and others</c:v>
                </c:pt>
                <c:pt idx="5">
                  <c:v>Deferred tax assets associated with tax loss carry forwards</c:v>
                </c:pt>
                <c:pt idx="6">
                  <c:v>Tax recievable (current taxes + excl. current due)</c:v>
                </c:pt>
                <c:pt idx="7">
                  <c:v>Assets held for sale</c:v>
                </c:pt>
                <c:pt idx="8">
                  <c:v>Enterprise value</c:v>
                </c:pt>
                <c:pt idx="9">
                  <c:v>Non-operating liabilities (i.e.,debt-like liabilities)</c:v>
                </c:pt>
                <c:pt idx="10">
                  <c:v>Pension provisions (non-current + current)</c:v>
                </c:pt>
                <c:pt idx="11">
                  <c:v>Liabilities related to assets held for sales</c:v>
                </c:pt>
                <c:pt idx="12">
                  <c:v>Net deferred tax liabilities with non-operating items</c:v>
                </c:pt>
                <c:pt idx="13">
                  <c:v>Financial liabilities</c:v>
                </c:pt>
                <c:pt idx="14">
                  <c:v>Net debt</c:v>
                </c:pt>
                <c:pt idx="15">
                  <c:v>MV of equity</c:v>
                </c:pt>
                <c:pt idx="16">
                  <c:v>Non-controlling interest (market value estimate)</c:v>
                </c:pt>
                <c:pt idx="17">
                  <c:v>Value of preferred equity</c:v>
                </c:pt>
                <c:pt idx="18">
                  <c:v>MV of common equity before dilution</c:v>
                </c:pt>
              </c:strCache>
            </c:strRef>
          </c:cat>
          <c:val>
            <c:numRef>
              <c:f>Valuation!$N$135:$N$153</c:f>
              <c:numCache>
                <c:formatCode>_ * #,##0_ ;_ * \(#,##0\)_ ;_ * "-"??_ ;_ @</c:formatCode>
                <c:ptCount val="19"/>
                <c:pt idx="0">
                  <c:v>28155.435107488698</c:v>
                </c:pt>
                <c:pt idx="3">
                  <c:v>22757.266331233524</c:v>
                </c:pt>
                <c:pt idx="4">
                  <c:v>22757.266331233524</c:v>
                </c:pt>
                <c:pt idx="5">
                  <c:v>25215.266331233524</c:v>
                </c:pt>
                <c:pt idx="6">
                  <c:v>25907.266331233524</c:v>
                </c:pt>
                <c:pt idx="8">
                  <c:v>26185.266331233524</c:v>
                </c:pt>
                <c:pt idx="10">
                  <c:v>25055.266331233524</c:v>
                </c:pt>
                <c:pt idx="12">
                  <c:v>24771.266331233524</c:v>
                </c:pt>
                <c:pt idx="14">
                  <c:v>13857.856709249932</c:v>
                </c:pt>
                <c:pt idx="15">
                  <c:v>13857.856709249932</c:v>
                </c:pt>
                <c:pt idx="16">
                  <c:v>13193.219537915083</c:v>
                </c:pt>
                <c:pt idx="18">
                  <c:v>13193.219537915083</c:v>
                </c:pt>
              </c:numCache>
            </c:numRef>
          </c:val>
          <c:extLst>
            <c:ext xmlns:c16="http://schemas.microsoft.com/office/drawing/2014/chart" uri="{C3380CC4-5D6E-409C-BE32-E72D297353CC}">
              <c16:uniqueId val="{00000000-352D-4952-8C03-B534E4F36E97}"/>
            </c:ext>
          </c:extLst>
        </c:ser>
        <c:ser>
          <c:idx val="1"/>
          <c:order val="1"/>
          <c:spPr>
            <a:solidFill>
              <a:schemeClr val="accent2"/>
            </a:solidFill>
            <a:ln>
              <a:noFill/>
            </a:ln>
            <a:effectLst/>
          </c:spPr>
          <c:invertIfNegative val="0"/>
          <c:dPt>
            <c:idx val="3"/>
            <c:invertIfNegative val="0"/>
            <c:bubble3D val="0"/>
            <c:spPr>
              <a:solidFill>
                <a:schemeClr val="accent5"/>
              </a:solidFill>
              <a:ln>
                <a:noFill/>
              </a:ln>
              <a:effectLst/>
            </c:spPr>
            <c:extLst>
              <c:ext xmlns:c16="http://schemas.microsoft.com/office/drawing/2014/chart" uri="{C3380CC4-5D6E-409C-BE32-E72D297353CC}">
                <c16:uniqueId val="{00000013-352D-4952-8C03-B534E4F36E97}"/>
              </c:ext>
            </c:extLst>
          </c:dPt>
          <c:dPt>
            <c:idx val="4"/>
            <c:invertIfNegative val="0"/>
            <c:bubble3D val="0"/>
            <c:spPr>
              <a:solidFill>
                <a:schemeClr val="accent4"/>
              </a:solidFill>
              <a:ln>
                <a:noFill/>
              </a:ln>
              <a:effectLst/>
            </c:spPr>
            <c:extLst>
              <c:ext xmlns:c16="http://schemas.microsoft.com/office/drawing/2014/chart" uri="{C3380CC4-5D6E-409C-BE32-E72D297353CC}">
                <c16:uniqueId val="{00000014-352D-4952-8C03-B534E4F36E97}"/>
              </c:ext>
            </c:extLst>
          </c:dPt>
          <c:dPt>
            <c:idx val="5"/>
            <c:invertIfNegative val="0"/>
            <c:bubble3D val="0"/>
            <c:spPr>
              <a:solidFill>
                <a:schemeClr val="accent4"/>
              </a:solidFill>
              <a:ln>
                <a:noFill/>
              </a:ln>
              <a:effectLst/>
            </c:spPr>
            <c:extLst>
              <c:ext xmlns:c16="http://schemas.microsoft.com/office/drawing/2014/chart" uri="{C3380CC4-5D6E-409C-BE32-E72D297353CC}">
                <c16:uniqueId val="{00000015-352D-4952-8C03-B534E4F36E97}"/>
              </c:ext>
            </c:extLst>
          </c:dPt>
          <c:dPt>
            <c:idx val="6"/>
            <c:invertIfNegative val="0"/>
            <c:bubble3D val="0"/>
            <c:spPr>
              <a:solidFill>
                <a:schemeClr val="accent4"/>
              </a:solidFill>
              <a:ln>
                <a:noFill/>
              </a:ln>
              <a:effectLst/>
            </c:spPr>
            <c:extLst>
              <c:ext xmlns:c16="http://schemas.microsoft.com/office/drawing/2014/chart" uri="{C3380CC4-5D6E-409C-BE32-E72D297353CC}">
                <c16:uniqueId val="{00000016-352D-4952-8C03-B534E4F36E97}"/>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17-352D-4952-8C03-B534E4F36E97}"/>
              </c:ext>
            </c:extLst>
          </c:dPt>
          <c:dPt>
            <c:idx val="12"/>
            <c:invertIfNegative val="0"/>
            <c:bubble3D val="0"/>
            <c:spPr>
              <a:solidFill>
                <a:schemeClr val="accent5"/>
              </a:solidFill>
              <a:ln>
                <a:noFill/>
              </a:ln>
              <a:effectLst/>
            </c:spPr>
            <c:extLst>
              <c:ext xmlns:c16="http://schemas.microsoft.com/office/drawing/2014/chart" uri="{C3380CC4-5D6E-409C-BE32-E72D297353CC}">
                <c16:uniqueId val="{00000018-352D-4952-8C03-B534E4F36E97}"/>
              </c:ext>
            </c:extLst>
          </c:dPt>
          <c:dPt>
            <c:idx val="14"/>
            <c:invertIfNegative val="0"/>
            <c:bubble3D val="0"/>
            <c:spPr>
              <a:solidFill>
                <a:schemeClr val="accent5"/>
              </a:solidFill>
              <a:ln>
                <a:noFill/>
              </a:ln>
              <a:effectLst/>
            </c:spPr>
            <c:extLst>
              <c:ext xmlns:c16="http://schemas.microsoft.com/office/drawing/2014/chart" uri="{C3380CC4-5D6E-409C-BE32-E72D297353CC}">
                <c16:uniqueId val="{00000019-352D-4952-8C03-B534E4F36E97}"/>
              </c:ext>
            </c:extLst>
          </c:dPt>
          <c:dPt>
            <c:idx val="16"/>
            <c:invertIfNegative val="0"/>
            <c:bubble3D val="0"/>
            <c:spPr>
              <a:solidFill>
                <a:schemeClr val="accent5"/>
              </a:solidFill>
              <a:ln>
                <a:noFill/>
              </a:ln>
              <a:effectLst/>
            </c:spPr>
            <c:extLst>
              <c:ext xmlns:c16="http://schemas.microsoft.com/office/drawing/2014/chart" uri="{C3380CC4-5D6E-409C-BE32-E72D297353CC}">
                <c16:uniqueId val="{0000001A-352D-4952-8C03-B534E4F36E97}"/>
              </c:ext>
            </c:extLst>
          </c:dPt>
          <c:cat>
            <c:strRef>
              <c:f>Valuation!$B$135:$B$153</c:f>
              <c:strCache>
                <c:ptCount val="19"/>
                <c:pt idx="0">
                  <c:v>Operating enterprise value</c:v>
                </c:pt>
                <c:pt idx="2">
                  <c:v>Non-operating assets (excl. excess cash)</c:v>
                </c:pt>
                <c:pt idx="3">
                  <c:v>Investments in associates and joint ventures</c:v>
                </c:pt>
                <c:pt idx="4">
                  <c:v>Non current finacial assets + marketable securities + loans and others</c:v>
                </c:pt>
                <c:pt idx="5">
                  <c:v>Deferred tax assets associated with tax loss carry forwards</c:v>
                </c:pt>
                <c:pt idx="6">
                  <c:v>Tax recievable (current taxes + excl. current due)</c:v>
                </c:pt>
                <c:pt idx="7">
                  <c:v>Assets held for sale</c:v>
                </c:pt>
                <c:pt idx="8">
                  <c:v>Enterprise value</c:v>
                </c:pt>
                <c:pt idx="9">
                  <c:v>Non-operating liabilities (i.e.,debt-like liabilities)</c:v>
                </c:pt>
                <c:pt idx="10">
                  <c:v>Pension provisions (non-current + current)</c:v>
                </c:pt>
                <c:pt idx="11">
                  <c:v>Liabilities related to assets held for sales</c:v>
                </c:pt>
                <c:pt idx="12">
                  <c:v>Net deferred tax liabilities with non-operating items</c:v>
                </c:pt>
                <c:pt idx="13">
                  <c:v>Financial liabilities</c:v>
                </c:pt>
                <c:pt idx="14">
                  <c:v>Net debt</c:v>
                </c:pt>
                <c:pt idx="15">
                  <c:v>MV of equity</c:v>
                </c:pt>
                <c:pt idx="16">
                  <c:v>Non-controlling interest (market value estimate)</c:v>
                </c:pt>
                <c:pt idx="17">
                  <c:v>Value of preferred equity</c:v>
                </c:pt>
                <c:pt idx="18">
                  <c:v>MV of common equity before dilution</c:v>
                </c:pt>
              </c:strCache>
            </c:strRef>
          </c:cat>
          <c:val>
            <c:numRef>
              <c:f>Valuation!$O$135:$O$153</c:f>
              <c:numCache>
                <c:formatCode>_ * #,##0_ ;_ * \(#,##0\)_ ;_ * "-"??_ ;_ @</c:formatCode>
                <c:ptCount val="19"/>
                <c:pt idx="0">
                  <c:v>0</c:v>
                </c:pt>
                <c:pt idx="3">
                  <c:v>5398.1687762551746</c:v>
                </c:pt>
                <c:pt idx="4">
                  <c:v>2458</c:v>
                </c:pt>
                <c:pt idx="5">
                  <c:v>692</c:v>
                </c:pt>
                <c:pt idx="6">
                  <c:v>278</c:v>
                </c:pt>
                <c:pt idx="8">
                  <c:v>0</c:v>
                </c:pt>
                <c:pt idx="10">
                  <c:v>1130</c:v>
                </c:pt>
                <c:pt idx="12">
                  <c:v>284</c:v>
                </c:pt>
                <c:pt idx="14">
                  <c:v>10913.409621983592</c:v>
                </c:pt>
                <c:pt idx="15">
                  <c:v>0</c:v>
                </c:pt>
                <c:pt idx="16">
                  <c:v>664.63717133484954</c:v>
                </c:pt>
                <c:pt idx="18">
                  <c:v>0</c:v>
                </c:pt>
              </c:numCache>
            </c:numRef>
          </c:val>
          <c:extLst>
            <c:ext xmlns:c16="http://schemas.microsoft.com/office/drawing/2014/chart" uri="{C3380CC4-5D6E-409C-BE32-E72D297353CC}">
              <c16:uniqueId val="{00000001-352D-4952-8C03-B534E4F36E97}"/>
            </c:ext>
          </c:extLst>
        </c:ser>
        <c:dLbls>
          <c:showLegendKey val="0"/>
          <c:showVal val="0"/>
          <c:showCatName val="0"/>
          <c:showSerName val="0"/>
          <c:showPercent val="0"/>
          <c:showBubbleSize val="0"/>
        </c:dLbls>
        <c:gapWidth val="150"/>
        <c:overlap val="100"/>
        <c:axId val="1846528879"/>
        <c:axId val="1846535119"/>
      </c:barChart>
      <c:catAx>
        <c:axId val="1846528879"/>
        <c:scaling>
          <c:orientation val="maxMin"/>
        </c:scaling>
        <c:delete val="1"/>
        <c:axPos val="r"/>
        <c:numFmt formatCode="General" sourceLinked="1"/>
        <c:majorTickMark val="out"/>
        <c:minorTickMark val="none"/>
        <c:tickLblPos val="nextTo"/>
        <c:crossAx val="1846535119"/>
        <c:crosses val="autoZero"/>
        <c:auto val="1"/>
        <c:lblAlgn val="ctr"/>
        <c:lblOffset val="100"/>
        <c:noMultiLvlLbl val="0"/>
      </c:catAx>
      <c:valAx>
        <c:axId val="1846535119"/>
        <c:scaling>
          <c:orientation val="maxMin"/>
        </c:scaling>
        <c:delete val="1"/>
        <c:axPos val="t"/>
        <c:numFmt formatCode="_ * #,##0_ ;_ * \(#,##0\)_ ;_ * &quot;-&quot;??_ ;_ @" sourceLinked="1"/>
        <c:majorTickMark val="out"/>
        <c:minorTickMark val="none"/>
        <c:tickLblPos val="nextTo"/>
        <c:crossAx val="184652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190500</xdr:colOff>
      <xdr:row>23</xdr:row>
      <xdr:rowOff>25400</xdr:rowOff>
    </xdr:from>
    <xdr:to>
      <xdr:col>8</xdr:col>
      <xdr:colOff>177800</xdr:colOff>
      <xdr:row>23</xdr:row>
      <xdr:rowOff>25400</xdr:rowOff>
    </xdr:to>
    <xdr:cxnSp macro="">
      <xdr:nvCxnSpPr>
        <xdr:cNvPr id="2" name="Straight Connector 1">
          <a:extLst>
            <a:ext uri="{FF2B5EF4-FFF2-40B4-BE49-F238E27FC236}">
              <a16:creationId xmlns:a16="http://schemas.microsoft.com/office/drawing/2014/main" id="{92A4515D-CEBC-4D96-B5CC-5FCC78963DB5}"/>
            </a:ext>
          </a:extLst>
        </xdr:cNvPr>
        <xdr:cNvCxnSpPr/>
      </xdr:nvCxnSpPr>
      <xdr:spPr>
        <a:xfrm>
          <a:off x="190500" y="4902200"/>
          <a:ext cx="5683250" cy="0"/>
        </a:xfrm>
        <a:prstGeom prst="line">
          <a:avLst/>
        </a:prstGeom>
        <a:ln>
          <a:solidFill>
            <a:schemeClr val="accent5"/>
          </a:solidFill>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834190</xdr:colOff>
      <xdr:row>34</xdr:row>
      <xdr:rowOff>66843</xdr:rowOff>
    </xdr:from>
    <xdr:to>
      <xdr:col>13</xdr:col>
      <xdr:colOff>648369</xdr:colOff>
      <xdr:row>48</xdr:row>
      <xdr:rowOff>107615</xdr:rowOff>
    </xdr:to>
    <xdr:graphicFrame macro="">
      <xdr:nvGraphicFramePr>
        <xdr:cNvPr id="54" name="Chart 2">
          <a:extLst>
            <a:ext uri="{FF2B5EF4-FFF2-40B4-BE49-F238E27FC236}">
              <a16:creationId xmlns:a16="http://schemas.microsoft.com/office/drawing/2014/main" id="{8C759355-51CA-C5D4-82F7-DDE8C7DD3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133352</xdr:colOff>
      <xdr:row>4</xdr:row>
      <xdr:rowOff>59873</xdr:rowOff>
    </xdr:from>
    <xdr:to>
      <xdr:col>20</xdr:col>
      <xdr:colOff>802821</xdr:colOff>
      <xdr:row>36</xdr:row>
      <xdr:rowOff>0</xdr:rowOff>
    </xdr:to>
    <xdr:graphicFrame macro="">
      <xdr:nvGraphicFramePr>
        <xdr:cNvPr id="14" name="Chart 1">
          <a:extLst>
            <a:ext uri="{FF2B5EF4-FFF2-40B4-BE49-F238E27FC236}">
              <a16:creationId xmlns:a16="http://schemas.microsoft.com/office/drawing/2014/main" id="{53542C3D-A8A3-42F8-BB51-38103211D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184150</xdr:colOff>
      <xdr:row>5</xdr:row>
      <xdr:rowOff>44450</xdr:rowOff>
    </xdr:from>
    <xdr:to>
      <xdr:col>13</xdr:col>
      <xdr:colOff>184150</xdr:colOff>
      <xdr:row>35</xdr:row>
      <xdr:rowOff>82550</xdr:rowOff>
    </xdr:to>
    <xdr:cxnSp macro="">
      <xdr:nvCxnSpPr>
        <xdr:cNvPr id="3" name="Straight Connector 2">
          <a:extLst>
            <a:ext uri="{FF2B5EF4-FFF2-40B4-BE49-F238E27FC236}">
              <a16:creationId xmlns:a16="http://schemas.microsoft.com/office/drawing/2014/main" id="{31C270F2-457B-8682-51D4-E6C12E4144BC}"/>
            </a:ext>
          </a:extLst>
        </xdr:cNvPr>
        <xdr:cNvCxnSpPr/>
      </xdr:nvCxnSpPr>
      <xdr:spPr>
        <a:xfrm>
          <a:off x="9518650" y="863600"/>
          <a:ext cx="0" cy="4838700"/>
        </a:xfrm>
        <a:prstGeom prst="line">
          <a:avLst/>
        </a:prstGeom>
        <a:ln>
          <a:solidFill>
            <a:schemeClr val="accent5"/>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527050</xdr:colOff>
      <xdr:row>134</xdr:row>
      <xdr:rowOff>82550</xdr:rowOff>
    </xdr:from>
    <xdr:to>
      <xdr:col>10</xdr:col>
      <xdr:colOff>569311</xdr:colOff>
      <xdr:row>153</xdr:row>
      <xdr:rowOff>0</xdr:rowOff>
    </xdr:to>
    <xdr:graphicFrame macro="">
      <xdr:nvGraphicFramePr>
        <xdr:cNvPr id="55" name="Chart 2">
          <a:extLst>
            <a:ext uri="{FF2B5EF4-FFF2-40B4-BE49-F238E27FC236}">
              <a16:creationId xmlns:a16="http://schemas.microsoft.com/office/drawing/2014/main" id="{E698A269-0C0B-2BBE-A0BB-CC22C8848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rdy Dikken" id="{B4830E01-9B66-42FA-AAC0-9B5727C7810C}" userId="S::673670jd@eur.nl::aa1d6cc7-7311-49b4-9b9f-9b95ac233888" providerId="AD"/>
  <person displayName="Jorick Stoel" id="{13F48829-27E4-47E6-B50E-94B1D7FD76F9}" userId="S::694007js@eur.nl::bfc50040-86d6-49b7-9063-4a7a72eee142" providerId="AD"/>
  <person displayName="Theodor Hogan" id="{122CDDD0-1E22-461A-B0F6-BB01441222E9}" userId="S::754441th@eur.nl::d85f075a-41ea-4129-8bbe-57dd4b88cec9" providerId="AD"/>
  <person displayName="Theodor Hogan" id="{EDC5B583-D054-4DD8-959A-83D4E9F908C8}" userId="S::theodor.hogan@student.uva.nl::28bf09e7-457b-471f-b83d-2c9dd3b49fc2"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Valuation Theme">
  <a:themeElements>
    <a:clrScheme name="AMSA">
      <a:dk1>
        <a:srgbClr val="000000"/>
      </a:dk1>
      <a:lt1>
        <a:srgbClr val="FFFFFF"/>
      </a:lt1>
      <a:dk2>
        <a:srgbClr val="001C5B"/>
      </a:dk2>
      <a:lt2>
        <a:srgbClr val="D9D9D9"/>
      </a:lt2>
      <a:accent1>
        <a:srgbClr val="003C7F"/>
      </a:accent1>
      <a:accent2>
        <a:srgbClr val="FFFF1D"/>
      </a:accent2>
      <a:accent3>
        <a:srgbClr val="0070C0"/>
      </a:accent3>
      <a:accent4>
        <a:srgbClr val="00B050"/>
      </a:accent4>
      <a:accent5>
        <a:srgbClr val="FF0000"/>
      </a:accent5>
      <a:accent6>
        <a:srgbClr val="7030A0"/>
      </a:accent6>
      <a:hlink>
        <a:srgbClr val="1991FF"/>
      </a:hlink>
      <a:folHlink>
        <a:srgbClr val="96607D"/>
      </a:folHlink>
    </a:clrScheme>
    <a:fontScheme name="Model">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09" dT="2025-11-22T14:42:58.86" personId="{122CDDD0-1E22-461A-B0F6-BB01441222E9}" id="{3B736C25-8944-494F-B369-9E00FD4A9719}">
    <text>Starting in 2019 we have more visability on what provisions are tax relevant and which are not that is why the formula changes. For non-current there is a material change but for current the tax liability is immaterial.</text>
  </threadedComment>
  <threadedComment ref="O170" dT="2025-09-24T08:20:43.35" personId="{13F48829-27E4-47E6-B50E-94B1D7FD76F9}" id="{BE339C0B-CEA4-4ABB-ABCA-D2B802593D6D}">
    <text xml:space="preserve">Parts that we think are included in this are: Long-term financial receivables/loans, Long-term debt securities, Derivatives, etc. which are not tied to core business so we think its non-operating. </text>
  </threadedComment>
  <threadedComment ref="O170" dT="2025-11-11T08:04:27.61" personId="{122CDDD0-1E22-461A-B0F6-BB01441222E9}" id="{56788976-F13D-4431-8FDB-E56CB83146AD}" parentId="{BE339C0B-CEA4-4ABB-ABCA-D2B802593D6D}">
    <text>If you read note 22-A (2024) you can see that this classification is generally correct as most of it is made up of loans and others which is non-operating, only a small portion is for financing operation with 48 in 2024 so immaterial to overall classification</text>
  </threadedComment>
  <threadedComment ref="O171" dT="2025-09-24T09:14:29.06" personId="{13F48829-27E4-47E6-B50E-94B1D7FD76F9}" id="{12E93957-7A5B-46BD-96E3-887B2A57465A}">
    <text>Should be split up in operating and non-operating</text>
  </threadedComment>
  <threadedComment ref="O171" dT="2025-11-24T16:35:06.85" personId="{122CDDD0-1E22-461A-B0F6-BB01441222E9}" id="{841E34B7-8D29-4AF7-B473-DB29F44BCE24}" parentId="{12E93957-7A5B-46BD-96E3-887B2A57465A}">
    <text>It was mamually split up in the reorganized balancesheet</text>
  </threadedComment>
  <threadedComment ref="O172" dT="2025-09-24T09:17:36.81" personId="{13F48829-27E4-47E6-B50E-94B1D7FD76F9}" id="{37C2BD61-1934-459F-BCE3-5706393EBB08}">
    <text>What are non-current assets? Should we do this operating since it could everything else that is not stated above, in which the above is almost all non operating? Idk</text>
  </threadedComment>
  <threadedComment ref="O172" dT="2025-11-11T13:20:22.65" personId="{122CDDD0-1E22-461A-B0F6-BB01441222E9}" id="{EAB6FFB4-E6FA-44FD-BA85-4D75722A0DFF}" parentId="{37C2BD61-1934-459F-BCE3-5706393EBB08}">
    <text xml:space="preserve">Based on the fact that these are made up by mostly prepaid expenses and other recievables, it can be assumed that these are part of fixed operating assets. As they are are inhernetly longterm in nature
</text>
  </threadedComment>
  <threadedComment ref="O178" dT="2025-09-24T08:22:08.83" personId="{13F48829-27E4-47E6-B50E-94B1D7FD76F9}" id="{91BB6AEC-6A2F-4607-BF0A-96A5EFC7941F}">
    <text>Same as non-current financial assets but &lt;12 months</text>
  </threadedComment>
  <threadedComment ref="O178" dT="2025-11-11T08:10:10.94" personId="{122CDDD0-1E22-461A-B0F6-BB01441222E9}" id="{AB82A146-5708-467F-ABE1-C50D64C0D4A7}" parentId="{91BB6AEC-6A2F-4607-BF0A-96A5EFC7941F}">
    <text>Breakdown in 22-A found some items which are material and received different classifications</text>
  </threadedComment>
  <threadedComment ref="O183" dT="2025-09-24T08:31:24.36" personId="{13F48829-27E4-47E6-B50E-94B1D7FD76F9}" id="{09138768-89E2-4FCC-9AFE-0D8D623847E8}">
    <text xml:space="preserve">Not sure if it's non-operating asset or operating fixed assets. Tax assets can be tied to business operations but we don't know the details </text>
  </threadedComment>
  <threadedComment ref="O183" dT="2025-11-24T14:43:20.34" personId="{122CDDD0-1E22-461A-B0F6-BB01441222E9}" id="{3323B602-1019-4F19-8856-311D47978F58}" parentId="{09138768-89E2-4FCC-9AFE-0D8D623847E8}">
    <text>It is an non-operating asset, it is the firms current taxes recieveables for the current year. Its also not non current so it wouldn’t make sense for fixed assets</text>
  </threadedComment>
  <threadedComment ref="O184" dT="2025-09-24T08:35:59.63" personId="{13F48829-27E4-47E6-B50E-94B1D7FD76F9}" id="{CDFAA714-4D4B-4658-BB8C-46D5FD3017B2}">
    <text>Think belong to net working capital because they are short-term operating items like prepayments and advances that turn into expenses or cash within a year. Since they tie up liquidity in the operations of the business, they are part of NWC rather than just broad operating assets I think</text>
  </threadedComment>
  <threadedComment ref="O184" dT="2025-11-11T07:50:54.46" personId="{122CDDD0-1E22-461A-B0F6-BB01441222E9}" id="{357F4885-34D5-4222-8420-8A8A8A1F98CA}" parentId="{CDFAA714-4D4B-4658-BB8C-46D5FD3017B2}">
    <text>I would agree if you read note 17 (2024) you can see that most items match this description, with exception of Joint Ventures which is immaterial 62 in 24</text>
  </threadedComment>
  <threadedComment ref="O185" dT="2025-09-24T09:02:38.29" personId="{13F48829-27E4-47E6-B50E-94B1D7FD76F9}" id="{9A1A844A-2E93-44CC-A5E5-39A03F40D037}">
    <text>We have to distinguish operating and non-operating cash. See Operating Cash Assesment for more info.</text>
  </threadedComment>
  <threadedComment ref="O185" dT="2025-11-11T09:10:25.68" personId="{122CDDD0-1E22-461A-B0F6-BB01441222E9}" id="{5EED9422-E553-4C7B-90AE-4D37E9D32720}" parentId="{9A1A844A-2E93-44CC-A5E5-39A03F40D037}">
    <text>Made adjustements for lectures method of counting excess cash and found information for cash not available but which needs to be included under IFRS</text>
  </threadedComment>
  <threadedComment ref="O203" dT="2025-09-24T09:13:50.21" personId="{13F48829-27E4-47E6-B50E-94B1D7FD76F9}" id="{18B820BD-CDA6-46D3-B7EB-837A8EB41DA0}">
    <text>Should be split up in operating and non-operating</text>
  </threadedComment>
  <threadedComment ref="O207" dT="2025-09-24T09:13:16.88" personId="{13F48829-27E4-47E6-B50E-94B1D7FD76F9}" id="{BFADFAC2-DC17-49C7-8B8D-06C4FEDFFAD5}">
    <text>Didn't know for sure, asked chat and he said this: Other long-term provisions (excluding uncertain tax) relate to obligations that arise directly from running the business, such as warranties, restructuring, or environmental costs. Since they stem from operations rather than financing, they are classified as operating liabilities.</text>
  </threadedComment>
  <threadedComment ref="O207" dT="2025-11-11T13:14:34.78" personId="{122CDDD0-1E22-461A-B0F6-BB01441222E9}" id="{1089CA4E-A216-44DA-AEF6-A3683CF35F56}" parentId="{BFADFAC2-DC17-49C7-8B8D-06C4FEDFFAD5}">
    <text>Yes this is correct, if you look at note 20 (2024) you can see that most items are related to operating activities if not all</text>
  </threadedComment>
  <threadedComment ref="O209" dT="2025-09-24T09:11:01.98" personId="{13F48829-27E4-47E6-B50E-94B1D7FD76F9}" id="{15EF5CBB-A6CE-48F3-8E06-6552B6D9DAB0}">
    <text>Not sure what this is and where it should go. Do you know what kind of costs this could entail?</text>
  </threadedComment>
  <threadedComment ref="O209" dT="2025-11-11T09:27:03.41" personId="{122CDDD0-1E22-461A-B0F6-BB01441222E9}" id="{0DFF657A-3642-48EA-A825-830E2E4BD011}" parentId="{15EF5CBB-A6CE-48F3-8E06-6552B6D9DAB0}">
    <text>In note 23-A we can see that most of the breakdown consists of other financial liablities, with exception of the lease liabilites. However these are immaterial in the grand scheme so therefore we will classify everything as other financial liabilities</text>
  </threadedComment>
  <threadedComment ref="O210" dT="2025-09-24T09:04:35.58" personId="{13F48829-27E4-47E6-B50E-94B1D7FD76F9}" id="{E2CC0D17-0058-4E48-B87B-5E4B0ABC61DE}">
    <text>Not specified which kind of financial liabilities these are.</text>
  </threadedComment>
  <threadedComment ref="O210" dT="2025-11-11T07:58:41.50" personId="{122CDDD0-1E22-461A-B0F6-BB01441222E9}" id="{DD2ABD03-50C9-478A-BFAE-2F6A0B5D1B3D}" parentId="{E2CC0D17-0058-4E48-B87B-5E4B0ABC61DE}">
    <text>Note 21 confirms this, cannot find any item which would indicate that is not part of operating, maybe 8 in non current tax liability but that is immaterial</text>
  </threadedComment>
  <threadedComment ref="O218" dT="2025-09-24T08:29:21.37" personId="{B4830E01-9B66-42FA-AAC0-9B5727C7810C}" id="{70A86F1C-84F5-4967-A99B-6F01DC362D69}">
    <text>Not sure whether this is Other financial liability or Non-operating liability.</text>
  </threadedComment>
  <threadedComment ref="O218" dT="2025-11-11T09:37:28.87" personId="{122CDDD0-1E22-461A-B0F6-BB01441222E9}" id="{CD1AAC17-DB83-4571-BE98-859D8FC82DFB}" parentId="{70A86F1C-84F5-4967-A99B-6F01DC362D69}">
    <text>I would consider it other financial liabilities as it (per note 23-A) mostly consists of some sort of borrowing or debts</text>
  </threadedComment>
  <threadedComment ref="K304" dT="2025-11-21T21:26:25.65" personId="{122CDDD0-1E22-461A-B0F6-BB01441222E9}" id="{5B7CF2BD-F2D6-4533-92C8-AC8D1268583F}">
    <text xml:space="preserve">Adjusted for ATOVAZ income assumed as Automotive Segment (irrelevant for forecast mostly as starting point from 2024 but still here for completeness) from 2016-2021
</text>
  </threadedComment>
  <threadedComment ref="N313" dT="2025-11-17T15:59:02.29" personId="{EDC5B583-D054-4DD8-959A-83D4E9F908C8}" id="{2D296B50-1985-4387-BDD5-3D18FD9E7DCB}">
    <text xml:space="preserve">Totals don’t always match up the breakdown (e.g. totals was 2,264,815 in 2024) but we consider it to be immaterial
</text>
  </threadedComment>
  <threadedComment ref="U319" dT="2025-11-27T19:39:10.05" personId="{122CDDD0-1E22-461A-B0F6-BB01441222E9}" id="{A9C62B31-15FD-4777-8099-712DAE866320}">
    <text xml:space="preserve">Based on DataForce’s eu car market forecast. This assumes that renaults market share is constant throught the period. This seems to be historically consistent as the EU is a highly consolidated car market. For 2031 we assumed 2% growth as the estimates don’t reach that far but we believe that this is a reasonable forecast.
</text>
  </threadedComment>
  <threadedComment ref="U319" dT="2025-11-27T19:39:30.08" personId="{122CDDD0-1E22-461A-B0F6-BB01441222E9}" id="{0051B6D8-FEDE-46D1-8BE1-60A7C829BB6F}" parentId="{A9C62B31-15FD-4777-8099-712DAE866320}">
    <text>Source: https://www.dataforce.de/en/forecasting/</text>
    <extLst>
      <x:ext xmlns:xltc2="http://schemas.microsoft.com/office/spreadsheetml/2020/threadedcomments2" uri="{F7C98A9C-CBB3-438F-8F68-D28B6AF4A901}">
        <xltc2:checksum>4110322195</xltc2:checksum>
        <xltc2:hyperlink startIndex="8" length="40" url="https://www.dataforce.de/en/forecasting/"/>
      </x:ext>
    </extLst>
  </threadedComment>
  <threadedComment ref="G323" dT="2025-11-17T16:00:18.57" personId="{EDC5B583-D054-4DD8-959A-83D4E9F908C8}" id="{1B3A71B7-B78D-4F83-B5A4-9A290607C037}">
    <text>Started including the LADA brand here</text>
  </threadedComment>
  <threadedComment ref="L323" dT="2025-11-17T16:01:18.35" personId="{EDC5B583-D054-4DD8-959A-83D4E9F908C8}" id="{08D08FC7-63A0-4C1B-9C48-339F53CD0A9D}">
    <text>Russian operations discontinued</text>
  </threadedComment>
  <threadedComment ref="K343" dT="2025-11-21T21:26:25.65" personId="{122CDDD0-1E22-461A-B0F6-BB01441222E9}" id="{3B0C2145-A756-49DA-91E7-DCC7CAD1002E}">
    <text xml:space="preserve">Adjusted for ATOVAZ income assumed as Automotive Segment (irrelevant for forecast mostly as starting point from 2024 but still here for completeness) from 2016-2021
</text>
  </threadedComment>
  <threadedComment ref="B364" dT="2025-11-17T17:39:54.78" personId="{EDC5B583-D054-4DD8-959A-83D4E9F908C8}" id="{C073451D-058F-42E1-B428-7027D55F32A8}">
    <text xml:space="preserve">Taken from M&amp;DA
</text>
  </threadedComment>
  <threadedComment ref="B366" dT="2025-11-17T17:40:17.06" personId="{EDC5B583-D054-4DD8-959A-83D4E9F908C8}" id="{BAE70563-2732-4D70-9A8F-936810B94ADE}">
    <text xml:space="preserve">Taken M&amp;DA normalized for 2021
</text>
  </threadedComment>
</ThreadedComments>
</file>

<file path=xl/threadedComments/threadedComment2.xml><?xml version="1.0" encoding="utf-8"?>
<ThreadedComments xmlns="http://schemas.microsoft.com/office/spreadsheetml/2018/threadedcomments" xmlns:x="http://schemas.openxmlformats.org/spreadsheetml/2006/main">
  <threadedComment ref="S3" dT="2025-11-27T11:42:50.52" personId="{122CDDD0-1E22-461A-B0F6-BB01441222E9}" id="{85AC4383-10BB-4904-8438-C4B8955EE33F}">
    <text>Source : https://pages.stern.nyu.edu/~adamodar/New_Home_Page/datafile/ctryprem.html</text>
    <extLst>
      <x:ext xmlns:xltc2="http://schemas.microsoft.com/office/spreadsheetml/2020/threadedcomments2" uri="{F7C98A9C-CBB3-438F-8F68-D28B6AF4A901}">
        <xltc2:checksum>2240166925</xltc2:checksum>
        <xltc2:hyperlink startIndex="9" length="74" url="https://pages.stern.nyu.edu/~adamodar/New_Home_Page/datafile/ctryprem.html"/>
      </x:ext>
    </extLst>
  </threadedComment>
  <threadedComment ref="T3" dT="2025-11-27T12:09:45.95" personId="{122CDDD0-1E22-461A-B0F6-BB01441222E9}" id="{EBEC7C73-C011-482B-B3A1-46824100977D}">
    <text>2023 values taken due to some union members not reporting their gdp yet for 2020 Source: https://ec.europa.eu/eurostat/databrowser/view/nama_10_gdp/default/table?lang=en&amp;category=na10.nama10.nama_10_ma</text>
    <extLst>
      <x:ext xmlns:xltc2="http://schemas.microsoft.com/office/spreadsheetml/2020/threadedcomments2" uri="{F7C98A9C-CBB3-438F-8F68-D28B6AF4A901}">
        <xltc2:checksum>331174508</xltc2:checksum>
        <xltc2:hyperlink startIndex="89" length="112" url="https://ec.europa.eu/eurostat/databrowser/view/nama_10_gdp/default/table?lang=en&amp;category=na10.nama10.nama_10_ma"/>
      </x:ext>
    </extLst>
  </threadedComment>
  <threadedComment ref="P5" dT="2025-11-25T19:26:25.40" personId="{122CDDD0-1E22-461A-B0F6-BB01441222E9}" id="{3B4DDE90-1A80-4CE9-9812-26C3CDB0E42A}">
    <text>https://www.chathamfinancial.com/technology/european-forward-curves</text>
    <extLst>
      <x:ext xmlns:xltc2="http://schemas.microsoft.com/office/spreadsheetml/2020/threadedcomments2" uri="{F7C98A9C-CBB3-438F-8F68-D28B6AF4A901}">
        <xltc2:checksum>3426711921</xltc2:checksum>
        <xltc2:hyperlink startIndex="0" length="67" url="https://www.chathamfinancial.com/technology/european-forward-curves"/>
      </x:ext>
    </extLst>
  </threadedComment>
  <threadedComment ref="P6" dT="2025-11-25T19:26:34.31" personId="{122CDDD0-1E22-461A-B0F6-BB01441222E9}" id="{A41021FB-2427-4A69-B635-09D0530D82FE}">
    <text>https://care-mendoza.nd.edu/assets/152347/loss-given-default-rating-methodology.pdf</text>
    <extLst>
      <x:ext xmlns:xltc2="http://schemas.microsoft.com/office/spreadsheetml/2020/threadedcomments2" uri="{F7C98A9C-CBB3-438F-8F68-D28B6AF4A901}">
        <xltc2:checksum>1854249749</xltc2:checksum>
        <xltc2:hyperlink startIndex="0" length="83" url="https://care-mendoza.nd.edu/assets/152347/loss-given-default-rating-methodology.pdf"/>
      </x:ext>
    </extLst>
  </threadedComment>
  <threadedComment ref="F33" dT="2025-11-27T13:40:50.82" personId="{122CDDD0-1E22-461A-B0F6-BB01441222E9}" id="{EAE2DB27-9988-4D65-9079-5388F859E7C6}">
    <text xml:space="preserve">Beta regression 100%, rf instantaneous 80%, Credit spread based on financials 80% </text>
  </threadedComment>
  <threadedComment ref="F35" dT="2025-11-27T13:38:01.10" personId="{122CDDD0-1E22-461A-B0F6-BB01441222E9}" id="{5D1EB20F-DBB8-427C-88EC-85201FE98AC7}">
    <text>Beta Regression weight 20%, rf 50/50%, rating 20% based on financials</text>
  </threadedComment>
  <threadedComment ref="P40" dT="2025-11-27T13:54:44.77" personId="{13F48829-27E4-47E6-B50E-94B1D7FD76F9}" id="{9F9499E5-26ED-0F46-A1EB-485BBBBD5EB4}">
    <text xml:space="preserve">https://pages.stern.nyu.edu/~adamodar/New_Home_Page/datafile/ratings.html
</text>
    <extLst>
      <x:ext xmlns:xltc2="http://schemas.microsoft.com/office/spreadsheetml/2020/threadedcomments2" uri="{F7C98A9C-CBB3-438F-8F68-D28B6AF4A901}">
        <xltc2:checksum>207984505</xltc2:checksum>
        <xltc2:hyperlink startIndex="0" length="73" url="https://pages.stern.nyu.edu/~adamodar/New_Home_Page/datafile/ratings.html"/>
      </x:ext>
    </extLst>
  </threadedComment>
  <threadedComment ref="R40" dT="2025-11-26T16:09:28.07" personId="{122CDDD0-1E22-461A-B0F6-BB01441222E9}" id="{98820B13-E327-4D05-9113-8EBC415692A7}">
    <text>Source: https://www.ecb.europa.eu/stats/financial_markets_and_interest_rates/euro_area_yield_curves/html/index.en.html</text>
    <extLst>
      <x:ext xmlns:xltc2="http://schemas.microsoft.com/office/spreadsheetml/2020/threadedcomments2" uri="{F7C98A9C-CBB3-438F-8F68-D28B6AF4A901}">
        <xltc2:checksum>541802812</xltc2:checksum>
        <xltc2:hyperlink startIndex="8" length="110" url="https://www.ecb.europa.eu/stats/financial_markets_and_interest_rates/euro_area_yield_curves/html/index.en.html"/>
      </x:ext>
    </extLst>
  </threadedComment>
  <threadedComment ref="R40" dT="2025-11-26T16:12:33.27" personId="{122CDDD0-1E22-461A-B0F6-BB01441222E9}" id="{F535614B-1AD5-4ABA-89FC-1761B9EF5419}" parentId="{98820B13-E327-4D05-9113-8EBC415692A7}">
    <text xml:space="preserve">All data as of Oct 31’25
</text>
  </threadedComment>
  <threadedComment ref="R41" dT="2025-11-26T16:28:51.93" personId="{122CDDD0-1E22-461A-B0F6-BB01441222E9}" id="{5F7EE47B-8D9A-4EBB-8CD9-663ADF642BA4}">
    <text>Price quotes taken from IBKR and then adjusted for implied future short-term risk-free rate.</text>
  </threadedComment>
  <threadedComment ref="P58" dT="2025-11-27T13:39:01.27" personId="{13F48829-27E4-47E6-B50E-94B1D7FD76F9}" id="{6DD18E0B-D5B3-1842-B9A1-3EF73798C92F}">
    <text>https://pages.stern.nyu.edu/~adamodar/New_Home_Page/dataarchived.html#capstru</text>
    <extLst>
      <x:ext xmlns:xltc2="http://schemas.microsoft.com/office/spreadsheetml/2020/threadedcomments2" uri="{F7C98A9C-CBB3-438F-8F68-D28B6AF4A901}">
        <xltc2:checksum>761109355</xltc2:checksum>
        <xltc2:hyperlink startIndex="0" length="77" url="https://pages.stern.nyu.edu/~adamodar/New_Home_Page/dataarchived.html#capstru"/>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B27" dT="2025-11-27T19:04:11.67" personId="{122CDDD0-1E22-461A-B0F6-BB01441222E9}" id="{69A73DEF-E481-4D5C-8C08-7429182FC723}">
    <text>The reason we decided on factsets total return numbers is that they have some of the most reliable financial data. Furthermore, as all our comparable companies data is also pulled from FactSet, this is the most fair and comparable way to caclulate the beta.</text>
  </threadedComment>
</ThreadedComments>
</file>

<file path=xl/threadedComments/threadedComment4.xml><?xml version="1.0" encoding="utf-8"?>
<ThreadedComments xmlns="http://schemas.microsoft.com/office/spreadsheetml/2018/threadedcomments" xmlns:x="http://schemas.openxmlformats.org/spreadsheetml/2006/main">
  <threadedComment ref="B7" dT="2025-11-27T22:40:30.61" personId="{122CDDD0-1E22-461A-B0F6-BB01441222E9}" id="{B2B9FF22-9A2F-4CA9-9ABB-4C2C427B59DA}">
    <text>Some minimum to median values are negative due to subtracting the debt. These values we assume to default to 0 that’s why there empty cells</text>
  </threadedComment>
  <threadedComment ref="B32" dT="2025-11-27T22:08:50.35" personId="{122CDDD0-1E22-461A-B0F6-BB01441222E9}" id="{A905FA82-E249-417B-BDDD-0D92401E4CCD}">
    <text>Dynamically changes with inputs made in the “Valuations” sheet</text>
  </threadedComment>
  <threadedComment ref="B107" dT="2025-11-27T22:01:19.57" personId="{122CDDD0-1E22-461A-B0F6-BB01441222E9}" id="{52CB3464-3DDE-4E23-8913-78BC01C9E8E6}">
    <text>Some values had to be hard coded so that the charts make sense. Otherwise the graphical repesention would be off</text>
  </threadedComment>
</ThreadedComments>
</file>

<file path=xl/threadedComments/threadedComment5.xml><?xml version="1.0" encoding="utf-8"?>
<ThreadedComments xmlns="http://schemas.microsoft.com/office/spreadsheetml/2018/threadedcomments" xmlns:x="http://schemas.openxmlformats.org/spreadsheetml/2006/main">
  <threadedComment ref="B138" dT="2025-11-27T22:32:07.44" personId="{122CDDD0-1E22-461A-B0F6-BB01441222E9}" id="{C78DFE53-A21D-4FB1-955F-1B5304C18B43}">
    <text>As the Investments in associated was negative for the year this value also is negative. IN 2025 they also had a massive write down of 11 billion due nissan. Although the implementation here is not perfect, we believe that currently and going forward the Nissan partnership hasn’t added value to net income consistently. That’s why we believe it is justified</text>
  </threadedComment>
</ThreadedComments>
</file>

<file path=xl/threadedComments/threadedComment6.xml><?xml version="1.0" encoding="utf-8"?>
<ThreadedComments xmlns="http://schemas.microsoft.com/office/spreadsheetml/2018/threadedcomments" xmlns:x="http://schemas.openxmlformats.org/spreadsheetml/2006/main">
  <threadedComment ref="B6" dT="2025-11-17T16:19:45.28" personId="{EDC5B583-D054-4DD8-959A-83D4E9F908C8}" id="{2AE9B453-98F4-4DCB-962A-37863FF1B77E}">
    <text xml:space="preserve">Taken from Workshop week 3
</text>
  </threadedComment>
  <threadedComment ref="U6" dT="2025-11-17T16:19:28.07" personId="{EDC5B583-D054-4DD8-959A-83D4E9F908C8}" id="{1ADF9D48-1928-4F9E-98F4-F4516973C0D7}">
    <text>Long-term assumption</text>
  </threadedComment>
  <threadedComment ref="B17" dT="2025-11-27T14:49:57.53" personId="{122CDDD0-1E22-461A-B0F6-BB01441222E9}" id="{47F9900A-449A-4A22-947A-A44DF9F039D4}">
    <text>https://tradingeconomics.com/france/corporate-tax-rate</text>
    <extLst>
      <x:ext xmlns:xltc2="http://schemas.microsoft.com/office/spreadsheetml/2020/threadedcomments2" uri="{F7C98A9C-CBB3-438F-8F68-D28B6AF4A901}">
        <xltc2:checksum>3623680604</xltc2:checksum>
        <xltc2:hyperlink startIndex="0" length="54" url="https://tradingeconomics.com/france/corporate-tax-rate"/>
      </x:ext>
    </extLst>
  </threadedComment>
</ThreadedComments>
</file>

<file path=xl/threadedComments/threadedComment7.xml><?xml version="1.0" encoding="utf-8"?>
<ThreadedComments xmlns="http://schemas.microsoft.com/office/spreadsheetml/2018/threadedcomments" xmlns:x="http://schemas.openxmlformats.org/spreadsheetml/2006/main">
  <threadedComment ref="R15" dT="2025-11-20T22:44:41.98" personId="{EDC5B583-D054-4DD8-959A-83D4E9F908C8}" id="{C16E509A-382A-4322-B6BB-2DE73CAFA2D1}">
    <text>FCF is LTM based, makes most sense if we want to incorporate FCF yield (income statement mixed with balancesheet ratio)</text>
  </threadedComment>
  <threadedComment ref="B30" dT="2025-11-20T22:01:40.88" personId="{EDC5B583-D054-4DD8-959A-83D4E9F908C8}" id="{5B74458B-6486-4E86-B284-2E155FFD427E}">
    <text>Last Twelve Months Chosen because it best reflects the most recent annual return on equity, FY ending would be outdated. General rule for Income Statement mixed with Balance Sheet ratio!</text>
  </threadedComment>
</ThreadedComments>
</file>

<file path=xl/threadedComments/threadedComment8.xml><?xml version="1.0" encoding="utf-8"?>
<ThreadedComments xmlns="http://schemas.microsoft.com/office/spreadsheetml/2018/threadedcomments" xmlns:x="http://schemas.openxmlformats.org/spreadsheetml/2006/main">
  <threadedComment ref="R15" dT="2025-11-20T22:44:41.98" personId="{EDC5B583-D054-4DD8-959A-83D4E9F908C8}" id="{ADDBC511-4830-4DB8-819A-8AF563672894}">
    <text>FCF is LTM based, makes most sense if we want to incorporate FCF yield (income statement mixed with balancesheet ratio)</text>
  </threadedComment>
  <threadedComment ref="B30" dT="2025-11-20T22:01:40.88" personId="{EDC5B583-D054-4DD8-959A-83D4E9F908C8}" id="{31B21091-E8BE-4B8D-B86E-6F99B753CF4B}">
    <text>Last Twelve Months Chosen because it best reflects the most recent annual return on equity, FY ending would be outdated. General rule for Income Statement mixed with Balance Sheet ratio!</text>
  </threadedComment>
</ThreadedComments>
</file>

<file path=xl/threadedComments/threadedComment9.xml><?xml version="1.0" encoding="utf-8"?>
<ThreadedComments xmlns="http://schemas.microsoft.com/office/spreadsheetml/2018/threadedcomments" xmlns:x="http://schemas.openxmlformats.org/spreadsheetml/2006/main">
  <threadedComment ref="R15" dT="2025-11-20T22:44:41.98" personId="{EDC5B583-D054-4DD8-959A-83D4E9F908C8}" id="{DA88985C-2590-4071-9D9D-71C325A8651B}">
    <text>FCF is LTM based, makes most sense if we want to incorporate FCF yield (income statement mixed with balancesheet ratio)</text>
  </threadedComment>
  <threadedComment ref="B30" dT="2025-11-20T22:01:40.88" personId="{EDC5B583-D054-4DD8-959A-83D4E9F908C8}" id="{3F3ED532-8931-482B-885A-B8B668E25B72}">
    <text>Last Twelve Months Chosen because it best reflects the most recent annual return on equity, FY ending would be outdated. General rule for Income Statement mixed with Balance Sheet ratio!</text>
  </threadedComment>
</ThreadedComments>
</file>

<file path=xl/threadedComments/threadedComment10.xml><?xml version="1.0" encoding="utf-8"?>
<ThreadedComments xmlns="http://schemas.microsoft.com/office/spreadsheetml/2018/threadedcomments" xmlns:x="http://schemas.openxmlformats.org/spreadsheetml/2006/main">
  <threadedComment ref="R15" dT="2025-11-20T22:44:41.98" personId="{EDC5B583-D054-4DD8-959A-83D4E9F908C8}" id="{2A9E5777-9BA3-4016-BFD7-B69191744487}">
    <text>FCF is LTM based, makes most sense if we want to incorporate FCF yield (income statement mixed with balancesheet ratio)</text>
  </threadedComment>
  <threadedComment ref="B30" dT="2025-11-20T22:01:40.88" personId="{EDC5B583-D054-4DD8-959A-83D4E9F908C8}" id="{1E4DA9DB-89EC-47BB-8976-9BBB9FBC415C}">
    <text>Last Twelve Months Chosen because it best reflects the most recent annual return on equity, FY ending would be outdated. General rule for Income Statement mixed with Balance Sheet ratio!</text>
  </threadedComment>
</ThreadedComments>
</file>

<file path=xl/threadedComments/threadedComment11.xml><?xml version="1.0" encoding="utf-8"?>
<ThreadedComments xmlns="http://schemas.microsoft.com/office/spreadsheetml/2018/threadedcomments" xmlns:x="http://schemas.openxmlformats.org/spreadsheetml/2006/main">
  <threadedComment ref="R15" dT="2025-11-20T22:44:41.98" personId="{EDC5B583-D054-4DD8-959A-83D4E9F908C8}" id="{4436AA20-4F17-40C5-A14C-533A787EAE27}">
    <text>FCF is LTM based, makes most sense if we want to incorporate FCF yield (income statement mixed with balancesheet ratio)</text>
  </threadedComment>
  <threadedComment ref="B30" dT="2025-11-20T22:01:40.88" personId="{EDC5B583-D054-4DD8-959A-83D4E9F908C8}" id="{3A2B8FC4-8E31-44EC-AC12-831CA06B77CA}">
    <text>Last Twelve Months Chosen because it best reflects the most recent annual return on equity, FY ending would be outdated. General rule for Income Statement mixed with Balance Sheet ratio!</text>
  </threadedComment>
</ThreadedComments>
</file>

<file path=xl/threadedComments/threadedComment12.xml><?xml version="1.0" encoding="utf-8"?>
<ThreadedComments xmlns="http://schemas.microsoft.com/office/spreadsheetml/2018/threadedcomments" xmlns:x="http://schemas.openxmlformats.org/spreadsheetml/2006/main">
  <threadedComment ref="R15" dT="2025-11-20T22:44:41.98" personId="{EDC5B583-D054-4DD8-959A-83D4E9F908C8}" id="{D3AA08F7-E63A-4FB2-B5F2-872928328554}">
    <text>FCF is LTM based, makes most sense if we want to incorporate FCF yield (income statement mixed with balancesheet ratio)</text>
  </threadedComment>
  <threadedComment ref="B30" dT="2025-11-20T22:01:40.88" personId="{EDC5B583-D054-4DD8-959A-83D4E9F908C8}" id="{6859ED32-E2DA-4084-9AED-B22C9D3C35E0}">
    <text>Last Twelve Months Chosen because it best reflects the most recent annual return on equity, FY ending would be outdated. General rule for Income Statement mixed with Balance Sheet ratio!</text>
  </threadedComment>
</ThreadedComments>
</file>

<file path=xl/threadedComments/threadedComment13.xml><?xml version="1.0" encoding="utf-8"?>
<ThreadedComments xmlns="http://schemas.microsoft.com/office/spreadsheetml/2018/threadedcomments" xmlns:x="http://schemas.openxmlformats.org/spreadsheetml/2006/main">
  <threadedComment ref="R15" dT="2025-11-20T22:44:41.98" personId="{EDC5B583-D054-4DD8-959A-83D4E9F908C8}" id="{E7F41CB5-BFB8-4B98-84D4-3A440F1CF3F6}">
    <text>FCF is LTM based, makes most sense if we want to incorporate FCF yield (income statement mixed with balancesheet ratio)</text>
  </threadedComment>
  <threadedComment ref="B30" dT="2025-11-20T22:01:40.88" personId="{EDC5B583-D054-4DD8-959A-83D4E9F908C8}" id="{A65AD430-EF4A-40C5-B30A-86633CB4EEC7}">
    <text>Last Twelve Months Chosen because it best reflects the most recent annual return on equity, FY ending would be outdated. General rule for Income Statement mixed with Balance Sheet ratio!</text>
  </threadedComment>
</ThreadedComments>
</file>

<file path=xl/threadedComments/threadedComment14.xml><?xml version="1.0" encoding="utf-8"?>
<ThreadedComments xmlns="http://schemas.microsoft.com/office/spreadsheetml/2018/threadedcomments" xmlns:x="http://schemas.openxmlformats.org/spreadsheetml/2006/main">
  <threadedComment ref="R15" dT="2025-11-20T22:44:41.98" personId="{EDC5B583-D054-4DD8-959A-83D4E9F908C8}" id="{81A96864-E51E-4891-AF18-00A4C41ECD2A}">
    <text>FCF is LTM based, makes most sense if we want to incorporate FCF yield (income statement mixed with balancesheet ratio)</text>
  </threadedComment>
  <threadedComment ref="B30" dT="2025-11-20T22:01:40.88" personId="{EDC5B583-D054-4DD8-959A-83D4E9F908C8}" id="{3262B62B-F15B-4651-BBB2-5235166AEF91}">
    <text>Last Twelve Months Chosen because it best reflects the most recent annual return on equity, FY ending would be outdated. General rule for Income Statement mixed with Balance Sheet ratio!</text>
  </threadedComment>
</ThreadedComments>
</file>

<file path=xl/threadedComments/threadedComment15.xml><?xml version="1.0" encoding="utf-8"?>
<ThreadedComments xmlns="http://schemas.microsoft.com/office/spreadsheetml/2018/threadedcomments" xmlns:x="http://schemas.openxmlformats.org/spreadsheetml/2006/main">
  <threadedComment ref="R15" dT="2025-11-20T22:44:41.98" personId="{EDC5B583-D054-4DD8-959A-83D4E9F908C8}" id="{9A401984-CA85-4836-A18C-8E1B92215D6D}">
    <text>FCF is LTM based, makes most sense if we want to incorporate FCF yield (income statement mixed with balancesheet ratio)</text>
  </threadedComment>
  <threadedComment ref="B30" dT="2025-11-20T22:01:40.88" personId="{EDC5B583-D054-4DD8-959A-83D4E9F908C8}" id="{BCA33669-2F62-40A5-896F-1EE6F6807DF2}">
    <text>Last Twelve Months Chosen because it best reflects the most recent annual return on equity, FY ending would be outdated. General rule for Income Statement mixed with Balance Sheet ratio!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45504C-9015-496A-9E3F-530A7DCF25D9}">
  <we:reference id="f1abd87f-a3ba-42fb-91d5-100000000000" version="1.0.0.7"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60FB-A419-4C58-A90E-0D55E41DDCC5}">
  <dimension ref="A1:B1"/>
  <sheetViews>
    <sheetView workbookViewId="0"/>
  </sheetViews>
  <sheetFormatPr defaultColWidth="8.7265625" defaultRowHeight="12.5" x14ac:dyDescent="0.25"/>
  <sheetData>
    <row r="1" spans="1:2" x14ac:dyDescent="0.25">
      <c r="B1" t="s">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F471-A6CA-4F92-B8A3-EE1BB7325912}">
  <dimension ref="A1:K38"/>
  <sheetViews>
    <sheetView showGridLines="0" zoomScale="145" zoomScaleNormal="145" workbookViewId="0">
      <selection activeCell="D8" sqref="D8"/>
    </sheetView>
  </sheetViews>
  <sheetFormatPr defaultColWidth="0" defaultRowHeight="12.5" x14ac:dyDescent="0.25"/>
  <cols>
    <col min="1" max="2" width="2.26953125" style="92" customWidth="1"/>
    <col min="3" max="3" width="12.26953125" style="92" bestFit="1" customWidth="1"/>
    <col min="4" max="4" width="9.7265625" style="92" bestFit="1" customWidth="1"/>
    <col min="5" max="9" width="9.26953125" style="92" customWidth="1"/>
    <col min="10" max="11" width="2.26953125" style="92" customWidth="1"/>
    <col min="12" max="16384" width="9.26953125" style="92" hidden="1"/>
  </cols>
  <sheetData>
    <row r="1" spans="2:10" ht="6" customHeight="1" x14ac:dyDescent="0.25"/>
    <row r="2" spans="2:10" ht="6" customHeight="1" x14ac:dyDescent="0.25">
      <c r="B2" s="102"/>
      <c r="C2" s="103"/>
      <c r="D2" s="103"/>
      <c r="E2" s="103"/>
      <c r="F2" s="103"/>
      <c r="G2" s="103"/>
      <c r="H2" s="103"/>
      <c r="I2" s="103"/>
      <c r="J2" s="104"/>
    </row>
    <row r="3" spans="2:10" ht="13" x14ac:dyDescent="0.3">
      <c r="B3" s="105"/>
      <c r="C3" s="106" t="s">
        <v>1</v>
      </c>
      <c r="D3" s="107"/>
      <c r="E3" s="107"/>
      <c r="F3" s="107"/>
      <c r="G3" s="107"/>
      <c r="H3" s="107"/>
      <c r="I3" s="107"/>
      <c r="J3" s="108"/>
    </row>
    <row r="4" spans="2:10" ht="6" customHeight="1" x14ac:dyDescent="0.25">
      <c r="B4" s="105"/>
      <c r="C4" s="107"/>
      <c r="D4" s="107"/>
      <c r="E4" s="107"/>
      <c r="F4" s="107"/>
      <c r="G4" s="107"/>
      <c r="H4" s="107"/>
      <c r="I4" s="107"/>
      <c r="J4" s="108"/>
    </row>
    <row r="5" spans="2:10" ht="13" x14ac:dyDescent="0.3">
      <c r="B5" s="105"/>
      <c r="C5" s="106" t="s">
        <v>2</v>
      </c>
      <c r="D5" s="107"/>
      <c r="E5" s="107"/>
      <c r="F5" s="107"/>
      <c r="G5" s="107"/>
      <c r="H5" s="107"/>
      <c r="I5" s="107"/>
      <c r="J5" s="108"/>
    </row>
    <row r="6" spans="2:10" ht="13" x14ac:dyDescent="0.3">
      <c r="B6" s="105"/>
      <c r="C6" s="109" t="s">
        <v>3</v>
      </c>
      <c r="D6" s="107"/>
      <c r="E6" s="107"/>
      <c r="F6" s="107"/>
      <c r="G6" s="107"/>
      <c r="H6" s="107"/>
      <c r="I6" s="107"/>
      <c r="J6" s="108"/>
    </row>
    <row r="7" spans="2:10" ht="6" customHeight="1" x14ac:dyDescent="0.25">
      <c r="B7" s="105"/>
      <c r="C7" s="107"/>
      <c r="D7" s="107"/>
      <c r="E7" s="107"/>
      <c r="F7" s="107"/>
      <c r="G7" s="107"/>
      <c r="H7" s="107"/>
      <c r="I7" s="107"/>
      <c r="J7" s="108"/>
    </row>
    <row r="8" spans="2:10" ht="13" x14ac:dyDescent="0.3">
      <c r="B8" s="105"/>
      <c r="C8" s="106" t="s">
        <v>4</v>
      </c>
      <c r="D8" s="537">
        <v>45988</v>
      </c>
      <c r="E8" s="107"/>
      <c r="F8" s="107"/>
      <c r="G8" s="107"/>
      <c r="H8" s="107"/>
      <c r="I8" s="107"/>
      <c r="J8" s="108"/>
    </row>
    <row r="9" spans="2:10" ht="6" customHeight="1" x14ac:dyDescent="0.25">
      <c r="B9" s="105"/>
      <c r="C9" s="107"/>
      <c r="D9" s="107"/>
      <c r="E9" s="107"/>
      <c r="F9" s="107"/>
      <c r="G9" s="107"/>
      <c r="H9" s="107"/>
      <c r="I9" s="107"/>
      <c r="J9" s="108"/>
    </row>
    <row r="10" spans="2:10" ht="13" x14ac:dyDescent="0.3">
      <c r="B10" s="105"/>
      <c r="C10" s="109" t="s">
        <v>5</v>
      </c>
      <c r="D10" s="107"/>
      <c r="E10" s="107"/>
      <c r="F10" s="107"/>
      <c r="G10" s="107"/>
      <c r="H10" s="107"/>
      <c r="I10" s="107"/>
      <c r="J10" s="108"/>
    </row>
    <row r="11" spans="2:10" ht="13" x14ac:dyDescent="0.3">
      <c r="B11" s="105"/>
      <c r="C11" s="556" t="s">
        <v>6</v>
      </c>
      <c r="D11" s="107"/>
      <c r="E11" s="107"/>
      <c r="F11" s="107"/>
      <c r="G11" s="107"/>
      <c r="H11" s="107"/>
      <c r="I11" s="107"/>
      <c r="J11" s="108"/>
    </row>
    <row r="12" spans="2:10" ht="6" customHeight="1" x14ac:dyDescent="0.25">
      <c r="B12" s="105"/>
      <c r="C12" s="107"/>
      <c r="D12" s="107"/>
      <c r="E12" s="107"/>
      <c r="F12" s="107"/>
      <c r="G12" s="107"/>
      <c r="H12" s="107"/>
      <c r="I12" s="107"/>
      <c r="J12" s="108"/>
    </row>
    <row r="13" spans="2:10" ht="13" x14ac:dyDescent="0.3">
      <c r="B13" s="105"/>
      <c r="C13" s="109" t="s">
        <v>7</v>
      </c>
      <c r="D13" s="107"/>
      <c r="E13" s="107"/>
      <c r="F13" s="107"/>
      <c r="G13" s="107"/>
      <c r="H13" s="107"/>
      <c r="I13" s="107"/>
      <c r="J13" s="108"/>
    </row>
    <row r="14" spans="2:10" x14ac:dyDescent="0.25">
      <c r="B14" s="105"/>
      <c r="C14" s="107"/>
      <c r="D14" s="107"/>
      <c r="E14" s="107"/>
      <c r="F14" s="107"/>
      <c r="G14" s="107"/>
      <c r="H14" s="107"/>
      <c r="I14" s="107"/>
      <c r="J14" s="108"/>
    </row>
    <row r="15" spans="2:10" x14ac:dyDescent="0.25">
      <c r="B15" s="105"/>
      <c r="C15" s="588" t="e" vm="1">
        <v>#VALUE!</v>
      </c>
      <c r="D15" s="588"/>
      <c r="E15" s="588"/>
      <c r="F15" s="588"/>
      <c r="G15" s="588"/>
      <c r="H15" s="588"/>
      <c r="I15" s="588"/>
      <c r="J15" s="108"/>
    </row>
    <row r="16" spans="2:10" ht="16.5" customHeight="1" x14ac:dyDescent="0.25">
      <c r="B16" s="105"/>
      <c r="C16" s="588"/>
      <c r="D16" s="588"/>
      <c r="E16" s="588"/>
      <c r="F16" s="588"/>
      <c r="G16" s="588"/>
      <c r="H16" s="588"/>
      <c r="I16" s="588"/>
      <c r="J16" s="108"/>
    </row>
    <row r="17" spans="2:10" x14ac:dyDescent="0.25">
      <c r="B17" s="105"/>
      <c r="C17" s="588"/>
      <c r="D17" s="588"/>
      <c r="E17" s="588"/>
      <c r="F17" s="588"/>
      <c r="G17" s="588"/>
      <c r="H17" s="588"/>
      <c r="I17" s="588"/>
      <c r="J17" s="108"/>
    </row>
    <row r="18" spans="2:10" x14ac:dyDescent="0.25">
      <c r="B18" s="105"/>
      <c r="C18" s="588"/>
      <c r="D18" s="588"/>
      <c r="E18" s="588"/>
      <c r="F18" s="588"/>
      <c r="G18" s="588"/>
      <c r="H18" s="588"/>
      <c r="I18" s="588"/>
      <c r="J18" s="108"/>
    </row>
    <row r="19" spans="2:10" ht="6" customHeight="1" x14ac:dyDescent="0.25">
      <c r="B19" s="110"/>
      <c r="C19" s="111"/>
      <c r="D19" s="111"/>
      <c r="E19" s="111"/>
      <c r="F19" s="111"/>
      <c r="G19" s="111"/>
      <c r="H19" s="111"/>
      <c r="I19" s="111"/>
      <c r="J19" s="112"/>
    </row>
    <row r="21" spans="2:10" ht="13" x14ac:dyDescent="0.3">
      <c r="C21" s="113" t="s">
        <v>8</v>
      </c>
      <c r="E21" s="164">
        <f>D2*1.1+25*A2</f>
        <v>0</v>
      </c>
    </row>
    <row r="22" spans="2:10" x14ac:dyDescent="0.25">
      <c r="C22" s="92" t="s">
        <v>9</v>
      </c>
      <c r="D22" s="114" t="s">
        <v>10</v>
      </c>
    </row>
    <row r="23" spans="2:10" x14ac:dyDescent="0.25">
      <c r="C23" s="92" t="s">
        <v>11</v>
      </c>
      <c r="D23" s="115" t="s">
        <v>10</v>
      </c>
    </row>
    <row r="24" spans="2:10" ht="13" x14ac:dyDescent="0.3">
      <c r="C24" s="92" t="s">
        <v>12</v>
      </c>
      <c r="D24" s="536" t="s">
        <v>10</v>
      </c>
      <c r="E24" s="1" t="s">
        <v>13</v>
      </c>
    </row>
    <row r="25" spans="2:10" ht="13" x14ac:dyDescent="0.3">
      <c r="C25" s="92" t="s">
        <v>14</v>
      </c>
      <c r="D25" s="117" t="s">
        <v>10</v>
      </c>
      <c r="E25" s="1" t="str">
        <f ca="1">_xlfn.FORMULATEXT(E21)</f>
        <v>=D2*1.1+25*A2</v>
      </c>
    </row>
    <row r="26" spans="2:10" x14ac:dyDescent="0.25">
      <c r="C26" s="92" t="s">
        <v>15</v>
      </c>
      <c r="D26" s="539" t="s">
        <v>10</v>
      </c>
    </row>
    <row r="28" spans="2:10" x14ac:dyDescent="0.25">
      <c r="C28" s="92" t="s">
        <v>16</v>
      </c>
      <c r="D28" s="93" t="s">
        <v>17</v>
      </c>
    </row>
    <row r="29" spans="2:10" x14ac:dyDescent="0.25">
      <c r="C29" s="92" t="s">
        <v>18</v>
      </c>
      <c r="D29" s="93" t="s">
        <v>19</v>
      </c>
    </row>
    <row r="30" spans="2:10" x14ac:dyDescent="0.25">
      <c r="D30" s="116"/>
    </row>
    <row r="31" spans="2:10" x14ac:dyDescent="0.25">
      <c r="C31" s="92" t="s">
        <v>20</v>
      </c>
      <c r="D31" s="93" t="s">
        <v>21</v>
      </c>
    </row>
    <row r="33" s="92" customFormat="1" x14ac:dyDescent="0.25"/>
    <row r="34" s="92" customFormat="1" x14ac:dyDescent="0.25"/>
    <row r="35" s="92" customFormat="1" x14ac:dyDescent="0.25"/>
    <row r="36" s="92" customFormat="1" x14ac:dyDescent="0.25"/>
    <row r="37" s="92" customFormat="1" x14ac:dyDescent="0.25"/>
    <row r="38" s="92" customFormat="1" x14ac:dyDescent="0.25"/>
  </sheetData>
  <mergeCells count="1">
    <mergeCell ref="C15:I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6095D-F1C7-4649-85EE-8652CD9F8C5F}">
  <dimension ref="A1:O28"/>
  <sheetViews>
    <sheetView showGridLines="0" workbookViewId="0">
      <selection activeCell="F15" sqref="F15"/>
    </sheetView>
  </sheetViews>
  <sheetFormatPr defaultColWidth="9.26953125" defaultRowHeight="12.5" x14ac:dyDescent="0.25"/>
  <cols>
    <col min="1" max="1" width="2.26953125" style="92" customWidth="1"/>
    <col min="2" max="2" width="17.7265625" style="92" bestFit="1" customWidth="1"/>
    <col min="3" max="3" width="10.26953125" style="92" bestFit="1" customWidth="1"/>
    <col min="4" max="4" width="9.26953125" style="92"/>
    <col min="5" max="5" width="11" style="92" bestFit="1" customWidth="1"/>
    <col min="6" max="16384" width="9.26953125" style="92"/>
  </cols>
  <sheetData>
    <row r="1" spans="1:15" x14ac:dyDescent="0.25">
      <c r="B1" s="92" t="s">
        <v>22</v>
      </c>
    </row>
    <row r="2" spans="1:15" ht="13" x14ac:dyDescent="0.3">
      <c r="A2" s="92" t="s">
        <v>22</v>
      </c>
      <c r="B2" s="90" t="s">
        <v>23</v>
      </c>
      <c r="C2" s="90"/>
      <c r="D2" s="90"/>
      <c r="E2" s="90"/>
      <c r="F2" s="90"/>
      <c r="G2" s="90"/>
      <c r="H2" s="90"/>
      <c r="I2" s="90"/>
      <c r="J2" s="90"/>
      <c r="K2" s="90"/>
      <c r="L2" s="90"/>
      <c r="M2" s="90"/>
      <c r="N2" s="90"/>
      <c r="O2" s="90"/>
    </row>
    <row r="3" spans="1:15" ht="6" customHeight="1" x14ac:dyDescent="0.25"/>
    <row r="4" spans="1:15" x14ac:dyDescent="0.25">
      <c r="B4" s="92" t="s">
        <v>24</v>
      </c>
      <c r="E4" s="93" t="s">
        <v>25</v>
      </c>
    </row>
    <row r="5" spans="1:15" x14ac:dyDescent="0.25">
      <c r="B5" s="92" t="s">
        <v>26</v>
      </c>
      <c r="E5" s="94">
        <v>45962</v>
      </c>
    </row>
    <row r="6" spans="1:15" x14ac:dyDescent="0.25">
      <c r="B6" s="92" t="s">
        <v>27</v>
      </c>
      <c r="E6" s="94">
        <v>45989</v>
      </c>
    </row>
    <row r="7" spans="1:15" x14ac:dyDescent="0.25">
      <c r="B7" s="92" t="s">
        <v>28</v>
      </c>
      <c r="E7" s="94">
        <v>45983</v>
      </c>
    </row>
    <row r="9" spans="1:15" ht="13" x14ac:dyDescent="0.3">
      <c r="A9" s="92" t="s">
        <v>22</v>
      </c>
      <c r="B9" s="90" t="s">
        <v>29</v>
      </c>
      <c r="C9" s="90"/>
      <c r="D9" s="90"/>
      <c r="E9" s="90"/>
      <c r="F9" s="90"/>
      <c r="G9" s="90"/>
      <c r="H9" s="90"/>
      <c r="I9" s="90"/>
      <c r="J9" s="90"/>
      <c r="K9" s="90"/>
      <c r="L9" s="90"/>
      <c r="M9" s="90"/>
      <c r="N9" s="90"/>
      <c r="O9" s="90"/>
    </row>
    <row r="10" spans="1:15" ht="6" customHeight="1" x14ac:dyDescent="0.25"/>
    <row r="11" spans="1:15" ht="13" x14ac:dyDescent="0.3">
      <c r="B11" s="95" t="s">
        <v>30</v>
      </c>
      <c r="C11" s="96"/>
      <c r="D11" s="96"/>
      <c r="E11" s="97" t="s">
        <v>31</v>
      </c>
      <c r="F11" s="96"/>
      <c r="G11" s="95" t="s">
        <v>32</v>
      </c>
      <c r="H11" s="96"/>
      <c r="I11" s="96"/>
      <c r="J11" s="96"/>
    </row>
    <row r="12" spans="1:15" x14ac:dyDescent="0.25">
      <c r="B12" s="92" t="s">
        <v>33</v>
      </c>
      <c r="E12" s="91">
        <v>673670</v>
      </c>
      <c r="G12" s="91" t="s">
        <v>34</v>
      </c>
    </row>
    <row r="13" spans="1:15" x14ac:dyDescent="0.25">
      <c r="B13" s="92" t="s">
        <v>35</v>
      </c>
      <c r="E13" s="91">
        <v>694007</v>
      </c>
      <c r="G13" s="91" t="s">
        <v>36</v>
      </c>
    </row>
    <row r="14" spans="1:15" x14ac:dyDescent="0.25">
      <c r="B14" s="92" t="s">
        <v>37</v>
      </c>
      <c r="E14" s="91">
        <v>666665</v>
      </c>
      <c r="G14" s="91" t="s">
        <v>38</v>
      </c>
    </row>
    <row r="15" spans="1:15" x14ac:dyDescent="0.25">
      <c r="B15" s="92" t="s">
        <v>39</v>
      </c>
      <c r="E15" s="91">
        <v>754441</v>
      </c>
      <c r="G15" s="91" t="s">
        <v>40</v>
      </c>
    </row>
    <row r="17" spans="1:15" ht="13" x14ac:dyDescent="0.3">
      <c r="A17" s="92" t="s">
        <v>22</v>
      </c>
      <c r="B17" s="90" t="s">
        <v>29</v>
      </c>
      <c r="C17" s="90"/>
      <c r="D17" s="90"/>
      <c r="E17" s="90"/>
      <c r="F17" s="90"/>
      <c r="G17" s="90"/>
      <c r="H17" s="90"/>
      <c r="I17" s="90"/>
      <c r="J17" s="90"/>
      <c r="K17" s="90"/>
      <c r="L17" s="90"/>
      <c r="M17" s="90"/>
      <c r="N17" s="90"/>
      <c r="O17" s="90"/>
    </row>
    <row r="18" spans="1:15" ht="6" customHeight="1" x14ac:dyDescent="0.25"/>
    <row r="19" spans="1:15" ht="13" x14ac:dyDescent="0.3">
      <c r="B19" s="95" t="s">
        <v>41</v>
      </c>
      <c r="C19" s="96"/>
      <c r="D19" s="96"/>
      <c r="E19" s="96"/>
      <c r="F19" s="96"/>
      <c r="G19" s="96"/>
      <c r="H19" s="97" t="s">
        <v>42</v>
      </c>
      <c r="I19" s="96"/>
      <c r="J19" s="96"/>
    </row>
    <row r="20" spans="1:15" ht="13" x14ac:dyDescent="0.3">
      <c r="B20" s="98" t="s">
        <v>43</v>
      </c>
      <c r="H20" s="99">
        <v>0.1</v>
      </c>
      <c r="I20" s="92" t="s">
        <v>40</v>
      </c>
    </row>
    <row r="21" spans="1:15" ht="13" x14ac:dyDescent="0.3">
      <c r="B21" s="98" t="s">
        <v>44</v>
      </c>
      <c r="H21" s="99">
        <v>0.1</v>
      </c>
      <c r="I21" s="92" t="s">
        <v>45</v>
      </c>
    </row>
    <row r="22" spans="1:15" ht="13" x14ac:dyDescent="0.3">
      <c r="B22" s="98" t="s">
        <v>46</v>
      </c>
      <c r="H22" s="99">
        <v>0.2</v>
      </c>
      <c r="I22" s="92" t="s">
        <v>47</v>
      </c>
    </row>
    <row r="23" spans="1:15" ht="13" x14ac:dyDescent="0.3">
      <c r="B23" s="98" t="s">
        <v>48</v>
      </c>
      <c r="H23" s="99">
        <v>0.2</v>
      </c>
      <c r="I23" s="92" t="s">
        <v>49</v>
      </c>
    </row>
    <row r="24" spans="1:15" ht="13" x14ac:dyDescent="0.3">
      <c r="B24" s="98" t="s">
        <v>50</v>
      </c>
      <c r="H24" s="99">
        <v>0.15</v>
      </c>
      <c r="I24" s="92" t="s">
        <v>47</v>
      </c>
    </row>
    <row r="25" spans="1:15" ht="13" x14ac:dyDescent="0.3">
      <c r="B25" s="98" t="s">
        <v>51</v>
      </c>
      <c r="H25" s="99">
        <v>0.05</v>
      </c>
      <c r="I25" s="92" t="s">
        <v>38</v>
      </c>
    </row>
    <row r="26" spans="1:15" ht="13" x14ac:dyDescent="0.3">
      <c r="B26" s="98" t="s">
        <v>52</v>
      </c>
      <c r="H26" s="99">
        <v>0.15</v>
      </c>
      <c r="I26" s="92" t="s">
        <v>49</v>
      </c>
    </row>
    <row r="27" spans="1:15" ht="13" x14ac:dyDescent="0.3">
      <c r="B27" s="98" t="s">
        <v>53</v>
      </c>
      <c r="H27" s="99">
        <v>0.05</v>
      </c>
      <c r="I27" s="92" t="s">
        <v>54</v>
      </c>
    </row>
    <row r="28" spans="1:15" x14ac:dyDescent="0.25">
      <c r="B28" s="100" t="s">
        <v>55</v>
      </c>
      <c r="C28" s="100"/>
      <c r="D28" s="100"/>
      <c r="E28" s="100"/>
      <c r="F28" s="100"/>
      <c r="G28" s="100"/>
      <c r="H28" s="101">
        <f>SUM(H20:H27)</f>
        <v>1.0000000000000002</v>
      </c>
      <c r="I28" s="100"/>
      <c r="J28" s="10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F019-760A-406F-AFA2-A1F755991DAB}">
  <sheetPr>
    <tabColor theme="3" tint="0.89999084444715716"/>
  </sheetPr>
  <dimension ref="A2:Y496"/>
  <sheetViews>
    <sheetView showGridLines="0" topLeftCell="A112" zoomScale="110" zoomScaleNormal="110" workbookViewId="0">
      <selection activeCell="K153" sqref="K153"/>
    </sheetView>
  </sheetViews>
  <sheetFormatPr defaultColWidth="8.26953125" defaultRowHeight="12.5" outlineLevelRow="1" x14ac:dyDescent="0.25"/>
  <cols>
    <col min="1" max="1" width="2.26953125" style="33" customWidth="1"/>
    <col min="2" max="2" width="57.26953125" style="33" customWidth="1"/>
    <col min="3" max="3" width="8.26953125" style="33"/>
    <col min="4" max="4" width="9.1796875" style="33" customWidth="1"/>
    <col min="5" max="20" width="12.26953125" style="33" customWidth="1"/>
    <col min="21" max="21" width="11.7265625" style="33" customWidth="1"/>
    <col min="22" max="16384" width="8.26953125" style="33"/>
  </cols>
  <sheetData>
    <row r="2" spans="1:21" ht="18" x14ac:dyDescent="0.4">
      <c r="A2" s="33" t="s">
        <v>22</v>
      </c>
      <c r="B2" s="47" t="s">
        <v>56</v>
      </c>
      <c r="C2" s="47"/>
      <c r="D2" s="47"/>
      <c r="E2" s="47"/>
      <c r="F2" s="47"/>
      <c r="G2" s="47"/>
      <c r="H2" s="47"/>
      <c r="I2" s="47"/>
      <c r="J2" s="47"/>
      <c r="K2" s="47"/>
      <c r="L2" s="47"/>
      <c r="M2" s="47"/>
      <c r="N2" s="47"/>
      <c r="O2" s="47"/>
      <c r="P2" s="47"/>
      <c r="Q2" s="47"/>
      <c r="R2" s="47"/>
      <c r="S2" s="47"/>
      <c r="T2" s="47"/>
      <c r="U2" s="47"/>
    </row>
    <row r="3" spans="1:21" outlineLevel="1" x14ac:dyDescent="0.25"/>
    <row r="4" spans="1:21" ht="13" outlineLevel="1" x14ac:dyDescent="0.3">
      <c r="B4" s="49" t="s">
        <v>57</v>
      </c>
      <c r="C4" s="49"/>
      <c r="D4" s="49"/>
      <c r="E4" s="49"/>
      <c r="F4" s="49"/>
      <c r="G4" s="49"/>
      <c r="H4" s="49"/>
      <c r="I4" s="49"/>
      <c r="J4" s="49"/>
      <c r="K4" s="49"/>
      <c r="L4" s="49"/>
      <c r="M4" s="49"/>
      <c r="N4" s="49"/>
      <c r="O4" s="49"/>
      <c r="P4" s="49"/>
      <c r="Q4" s="49"/>
      <c r="R4" s="49"/>
      <c r="S4" s="49"/>
      <c r="T4" s="49"/>
      <c r="U4" s="49"/>
    </row>
    <row r="5" spans="1:21" ht="13" outlineLevel="1" x14ac:dyDescent="0.3">
      <c r="B5" s="1" t="s">
        <v>58</v>
      </c>
    </row>
    <row r="6" spans="1:21" outlineLevel="1" x14ac:dyDescent="0.25">
      <c r="E6" s="156">
        <v>2015</v>
      </c>
      <c r="F6" s="156">
        <f>+E6+1</f>
        <v>2016</v>
      </c>
      <c r="G6" s="156">
        <f t="shared" ref="G6:T6" si="0">+F6+1</f>
        <v>2017</v>
      </c>
      <c r="H6" s="156">
        <f t="shared" si="0"/>
        <v>2018</v>
      </c>
      <c r="I6" s="156">
        <f t="shared" si="0"/>
        <v>2019</v>
      </c>
      <c r="J6" s="156">
        <f t="shared" si="0"/>
        <v>2020</v>
      </c>
      <c r="K6" s="156">
        <f t="shared" si="0"/>
        <v>2021</v>
      </c>
      <c r="L6" s="156">
        <f t="shared" si="0"/>
        <v>2022</v>
      </c>
      <c r="M6" s="156">
        <f t="shared" si="0"/>
        <v>2023</v>
      </c>
      <c r="N6" s="156">
        <f t="shared" si="0"/>
        <v>2024</v>
      </c>
      <c r="O6" s="157">
        <f t="shared" si="0"/>
        <v>2025</v>
      </c>
      <c r="P6" s="157">
        <f t="shared" si="0"/>
        <v>2026</v>
      </c>
      <c r="Q6" s="157">
        <f t="shared" si="0"/>
        <v>2027</v>
      </c>
      <c r="R6" s="157">
        <f t="shared" si="0"/>
        <v>2028</v>
      </c>
      <c r="S6" s="157">
        <f t="shared" si="0"/>
        <v>2029</v>
      </c>
      <c r="T6" s="157">
        <f t="shared" si="0"/>
        <v>2030</v>
      </c>
      <c r="U6" s="157">
        <f t="shared" ref="U6" si="1">+T6+1</f>
        <v>2031</v>
      </c>
    </row>
    <row r="7" spans="1:21" ht="13.5" outlineLevel="1" thickBot="1" x14ac:dyDescent="0.35">
      <c r="B7" s="51"/>
      <c r="C7" s="51"/>
      <c r="D7" s="51"/>
      <c r="E7" s="158">
        <v>2015</v>
      </c>
      <c r="F7" s="158">
        <f>E7+1</f>
        <v>2016</v>
      </c>
      <c r="G7" s="158">
        <f t="shared" ref="G7:T7" si="2">F7+1</f>
        <v>2017</v>
      </c>
      <c r="H7" s="158">
        <f t="shared" si="2"/>
        <v>2018</v>
      </c>
      <c r="I7" s="158">
        <f t="shared" si="2"/>
        <v>2019</v>
      </c>
      <c r="J7" s="158">
        <f t="shared" si="2"/>
        <v>2020</v>
      </c>
      <c r="K7" s="158">
        <f t="shared" si="2"/>
        <v>2021</v>
      </c>
      <c r="L7" s="158">
        <f t="shared" si="2"/>
        <v>2022</v>
      </c>
      <c r="M7" s="158">
        <f t="shared" si="2"/>
        <v>2023</v>
      </c>
      <c r="N7" s="158">
        <f t="shared" si="2"/>
        <v>2024</v>
      </c>
      <c r="O7" s="159">
        <f t="shared" si="2"/>
        <v>2025</v>
      </c>
      <c r="P7" s="159">
        <f t="shared" si="2"/>
        <v>2026</v>
      </c>
      <c r="Q7" s="159">
        <f t="shared" si="2"/>
        <v>2027</v>
      </c>
      <c r="R7" s="159">
        <f t="shared" si="2"/>
        <v>2028</v>
      </c>
      <c r="S7" s="159">
        <f t="shared" si="2"/>
        <v>2029</v>
      </c>
      <c r="T7" s="159">
        <f t="shared" si="2"/>
        <v>2030</v>
      </c>
      <c r="U7" s="159">
        <f t="shared" ref="U7" si="3">T7+1</f>
        <v>2031</v>
      </c>
    </row>
    <row r="8" spans="1:21" outlineLevel="1" x14ac:dyDescent="0.25">
      <c r="B8" s="33" t="s">
        <v>59</v>
      </c>
      <c r="E8" s="50">
        <f>E32+E39+E41</f>
        <v>45327</v>
      </c>
      <c r="F8" s="50">
        <f t="shared" ref="F8:T8" si="4">F32+F39+F41</f>
        <v>51243</v>
      </c>
      <c r="G8" s="50">
        <f t="shared" si="4"/>
        <v>56065.999999999993</v>
      </c>
      <c r="H8" s="50">
        <f t="shared" si="4"/>
        <v>54587.999999999993</v>
      </c>
      <c r="I8" s="50">
        <f t="shared" si="4"/>
        <v>52537</v>
      </c>
      <c r="J8" s="50">
        <f t="shared" si="4"/>
        <v>41022.000000000007</v>
      </c>
      <c r="K8" s="50">
        <f t="shared" si="4"/>
        <v>43600</v>
      </c>
      <c r="L8" s="50">
        <f t="shared" si="4"/>
        <v>46391</v>
      </c>
      <c r="M8" s="50">
        <f t="shared" si="4"/>
        <v>52375.999999999985</v>
      </c>
      <c r="N8" s="50">
        <f t="shared" si="4"/>
        <v>56232.000000000007</v>
      </c>
      <c r="O8" s="50">
        <f t="shared" si="4"/>
        <v>57595.111393800573</v>
      </c>
      <c r="P8" s="50">
        <f t="shared" si="4"/>
        <v>60205.869717830421</v>
      </c>
      <c r="Q8" s="50">
        <f t="shared" si="4"/>
        <v>62404.000476570101</v>
      </c>
      <c r="R8" s="50">
        <f t="shared" si="4"/>
        <v>63485.794161762096</v>
      </c>
      <c r="S8" s="50">
        <f t="shared" si="4"/>
        <v>66042.051939475044</v>
      </c>
      <c r="T8" s="50">
        <f t="shared" si="4"/>
        <v>63615.972187744723</v>
      </c>
      <c r="U8" s="50">
        <f t="shared" ref="U8" si="5">U32+U39+U41</f>
        <v>65725.275351598379</v>
      </c>
    </row>
    <row r="9" spans="1:21" outlineLevel="1" x14ac:dyDescent="0.25">
      <c r="B9" s="33" t="s">
        <v>60</v>
      </c>
      <c r="E9" s="50">
        <f>E49-E413-E440</f>
        <v>-33385</v>
      </c>
      <c r="F9" s="50">
        <f>F49-F413-F440-F25</f>
        <v>-37374</v>
      </c>
      <c r="G9" s="50">
        <f>G49-G413-G440-G25</f>
        <v>-43370</v>
      </c>
      <c r="H9" s="50">
        <f>H49-H413-H440-H25</f>
        <v>-42072</v>
      </c>
      <c r="I9" s="50">
        <f t="shared" ref="I9:N9" si="6">I49-I413-I440</f>
        <v>-40860</v>
      </c>
      <c r="J9" s="50">
        <f t="shared" si="6"/>
        <v>-31508</v>
      </c>
      <c r="K9" s="50">
        <f t="shared" si="6"/>
        <v>-33481</v>
      </c>
      <c r="L9" s="50">
        <f t="shared" si="6"/>
        <v>-31348</v>
      </c>
      <c r="M9" s="50">
        <f t="shared" si="6"/>
        <v>-38229</v>
      </c>
      <c r="N9" s="50">
        <f t="shared" si="6"/>
        <v>-41332</v>
      </c>
      <c r="O9" s="50">
        <f t="shared" ref="O9:T9" si="7">O346</f>
        <v>-40730.818529937555</v>
      </c>
      <c r="P9" s="50">
        <f t="shared" si="7"/>
        <v>-42301.955159107776</v>
      </c>
      <c r="Q9" s="50">
        <f t="shared" si="7"/>
        <v>-43958.884494122845</v>
      </c>
      <c r="R9" s="50">
        <f t="shared" si="7"/>
        <v>-44767.302838025411</v>
      </c>
      <c r="S9" s="50">
        <f t="shared" si="7"/>
        <v>-46492.073880386008</v>
      </c>
      <c r="T9" s="50">
        <f t="shared" si="7"/>
        <v>-44247.22661202553</v>
      </c>
      <c r="U9" s="50">
        <f t="shared" ref="U9" si="8">U346</f>
        <v>-45576.102943553553</v>
      </c>
    </row>
    <row r="10" spans="1:21" outlineLevel="1" x14ac:dyDescent="0.25">
      <c r="B10" s="88" t="s">
        <v>61</v>
      </c>
      <c r="C10" s="88"/>
      <c r="D10" s="88"/>
      <c r="E10" s="89">
        <f t="shared" ref="E10:T10" si="9">E8+E9</f>
        <v>11942</v>
      </c>
      <c r="F10" s="271">
        <f t="shared" si="9"/>
        <v>13869</v>
      </c>
      <c r="G10" s="271">
        <f t="shared" si="9"/>
        <v>12695.999999999993</v>
      </c>
      <c r="H10" s="271">
        <f t="shared" si="9"/>
        <v>12515.999999999993</v>
      </c>
      <c r="I10" s="271">
        <f t="shared" si="9"/>
        <v>11677</v>
      </c>
      <c r="J10" s="271">
        <f t="shared" si="9"/>
        <v>9514.0000000000073</v>
      </c>
      <c r="K10" s="271">
        <f t="shared" si="9"/>
        <v>10119</v>
      </c>
      <c r="L10" s="271">
        <f t="shared" si="9"/>
        <v>15043</v>
      </c>
      <c r="M10" s="271">
        <f t="shared" si="9"/>
        <v>14146.999999999985</v>
      </c>
      <c r="N10" s="271">
        <f t="shared" si="9"/>
        <v>14900.000000000007</v>
      </c>
      <c r="O10" s="271">
        <f t="shared" si="9"/>
        <v>16864.292863863018</v>
      </c>
      <c r="P10" s="271">
        <f t="shared" si="9"/>
        <v>17903.914558722645</v>
      </c>
      <c r="Q10" s="271">
        <f t="shared" si="9"/>
        <v>18445.115982447256</v>
      </c>
      <c r="R10" s="271">
        <f t="shared" si="9"/>
        <v>18718.491323736685</v>
      </c>
      <c r="S10" s="271">
        <f t="shared" si="9"/>
        <v>19549.978059089037</v>
      </c>
      <c r="T10" s="271">
        <f t="shared" si="9"/>
        <v>19368.745575719193</v>
      </c>
      <c r="U10" s="271">
        <f t="shared" ref="U10" si="10">U8+U9</f>
        <v>20149.172408044826</v>
      </c>
    </row>
    <row r="11" spans="1:21" outlineLevel="1" x14ac:dyDescent="0.25">
      <c r="B11" s="33" t="s">
        <v>62</v>
      </c>
      <c r="E11" s="50">
        <f>E348+E389+E373-E413-E440</f>
        <v>-7104</v>
      </c>
      <c r="F11" s="50">
        <f>F348+F389+F373-F413-F440-F24</f>
        <v>-7810.8045000000002</v>
      </c>
      <c r="G11" s="50">
        <f>G348+G389+G373-G413-G440-G24</f>
        <v>-5994.2932055849542</v>
      </c>
      <c r="H11" s="50">
        <f>H348+H389+H373-H413-H440-H24</f>
        <v>-6298.7443495251055</v>
      </c>
      <c r="I11" s="50">
        <f t="shared" ref="I11:T11" si="11">I348+I389+I373-I413-I440</f>
        <v>-5686</v>
      </c>
      <c r="J11" s="50">
        <f t="shared" si="11"/>
        <v>-6767</v>
      </c>
      <c r="K11" s="50">
        <f t="shared" si="11"/>
        <v>-4676</v>
      </c>
      <c r="L11" s="50">
        <f t="shared" si="11"/>
        <v>-7031</v>
      </c>
      <c r="M11" s="50">
        <f t="shared" si="11"/>
        <v>-8478</v>
      </c>
      <c r="N11" s="50">
        <f t="shared" si="11"/>
        <v>-9154</v>
      </c>
      <c r="O11" s="50">
        <f t="shared" si="11"/>
        <v>-10007.35755016224</v>
      </c>
      <c r="P11" s="50">
        <f t="shared" si="11"/>
        <v>-10682.17024998785</v>
      </c>
      <c r="Q11" s="50">
        <f t="shared" si="11"/>
        <v>-11001.030430717212</v>
      </c>
      <c r="R11" s="50">
        <f t="shared" si="11"/>
        <v>-11083.060450444786</v>
      </c>
      <c r="S11" s="50">
        <f t="shared" si="11"/>
        <v>-11632.474426715418</v>
      </c>
      <c r="T11" s="50">
        <f t="shared" si="11"/>
        <v>-11583.78692479245</v>
      </c>
      <c r="U11" s="50">
        <f t="shared" ref="U11" si="12">U348+U389+U373-U413-U440</f>
        <v>-12050.705020810354</v>
      </c>
    </row>
    <row r="12" spans="1:21" outlineLevel="1" x14ac:dyDescent="0.25">
      <c r="B12" s="88" t="s">
        <v>63</v>
      </c>
      <c r="C12" s="88"/>
      <c r="D12" s="88"/>
      <c r="E12" s="89">
        <f t="shared" ref="E12:T12" si="13">E10+E11</f>
        <v>4838</v>
      </c>
      <c r="F12" s="271">
        <f t="shared" si="13"/>
        <v>6058.1954999999998</v>
      </c>
      <c r="G12" s="271">
        <f t="shared" si="13"/>
        <v>6701.7067944150385</v>
      </c>
      <c r="H12" s="271">
        <f t="shared" si="13"/>
        <v>6217.2556504748873</v>
      </c>
      <c r="I12" s="271">
        <f t="shared" si="13"/>
        <v>5991</v>
      </c>
      <c r="J12" s="271">
        <f t="shared" si="13"/>
        <v>2747.0000000000073</v>
      </c>
      <c r="K12" s="271">
        <f t="shared" si="13"/>
        <v>5443</v>
      </c>
      <c r="L12" s="271">
        <f t="shared" si="13"/>
        <v>8012</v>
      </c>
      <c r="M12" s="271">
        <f t="shared" si="13"/>
        <v>5668.9999999999854</v>
      </c>
      <c r="N12" s="271">
        <f t="shared" si="13"/>
        <v>5746.0000000000073</v>
      </c>
      <c r="O12" s="271">
        <f t="shared" si="13"/>
        <v>6856.9353137007784</v>
      </c>
      <c r="P12" s="271">
        <f t="shared" si="13"/>
        <v>7221.7443087347947</v>
      </c>
      <c r="Q12" s="271">
        <f t="shared" si="13"/>
        <v>7444.0855517300442</v>
      </c>
      <c r="R12" s="271">
        <f t="shared" si="13"/>
        <v>7635.4308732918998</v>
      </c>
      <c r="S12" s="271">
        <f t="shared" si="13"/>
        <v>7917.5036323736185</v>
      </c>
      <c r="T12" s="271">
        <f t="shared" si="13"/>
        <v>7784.9586509267428</v>
      </c>
      <c r="U12" s="271">
        <f t="shared" ref="U12" si="14">U10+U11</f>
        <v>8098.467387234472</v>
      </c>
    </row>
    <row r="13" spans="1:21" outlineLevel="1" x14ac:dyDescent="0.25">
      <c r="B13" s="33" t="s">
        <v>64</v>
      </c>
      <c r="E13" s="50">
        <f t="shared" ref="E13:U13" si="15">E413-E26</f>
        <v>-1916</v>
      </c>
      <c r="F13" s="50">
        <f t="shared" si="15"/>
        <v>-1963</v>
      </c>
      <c r="G13" s="50">
        <f t="shared" si="15"/>
        <v>-2061</v>
      </c>
      <c r="H13" s="50">
        <f t="shared" si="15"/>
        <v>-2294</v>
      </c>
      <c r="I13" s="50">
        <f t="shared" si="15"/>
        <v>-2549</v>
      </c>
      <c r="J13" s="50">
        <f t="shared" si="15"/>
        <v>-2869</v>
      </c>
      <c r="K13" s="50">
        <f t="shared" si="15"/>
        <v>-2792</v>
      </c>
      <c r="L13" s="50">
        <f t="shared" si="15"/>
        <v>-3522</v>
      </c>
      <c r="M13" s="50">
        <f t="shared" si="15"/>
        <v>-1948</v>
      </c>
      <c r="N13" s="50">
        <f t="shared" si="15"/>
        <v>-2120</v>
      </c>
      <c r="O13" s="50">
        <f t="shared" si="15"/>
        <v>-2303.8044557520229</v>
      </c>
      <c r="P13" s="50">
        <f t="shared" si="15"/>
        <v>-2408.2347887132169</v>
      </c>
      <c r="Q13" s="50">
        <f t="shared" si="15"/>
        <v>-2496.1600190628042</v>
      </c>
      <c r="R13" s="50">
        <f t="shared" si="15"/>
        <v>-2539.431766470484</v>
      </c>
      <c r="S13" s="50">
        <f t="shared" si="15"/>
        <v>-2641.682077579002</v>
      </c>
      <c r="T13" s="50">
        <f t="shared" si="15"/>
        <v>-2544.6388875097891</v>
      </c>
      <c r="U13" s="50">
        <f t="shared" si="15"/>
        <v>-2629.0110140639354</v>
      </c>
    </row>
    <row r="14" spans="1:21" outlineLevel="1" x14ac:dyDescent="0.25">
      <c r="B14" s="33" t="s">
        <v>65</v>
      </c>
      <c r="E14" s="50">
        <f t="shared" ref="E14:U14" si="16">E26</f>
        <v>0</v>
      </c>
      <c r="F14" s="50">
        <f t="shared" si="16"/>
        <v>-36.195500000000003</v>
      </c>
      <c r="G14" s="50">
        <f t="shared" si="16"/>
        <v>-75.706794415045209</v>
      </c>
      <c r="H14" s="50">
        <f t="shared" si="16"/>
        <v>-89.255650474894708</v>
      </c>
      <c r="I14" s="50">
        <f t="shared" si="16"/>
        <v>0</v>
      </c>
      <c r="J14" s="50">
        <f t="shared" si="16"/>
        <v>0</v>
      </c>
      <c r="K14" s="50">
        <f t="shared" si="16"/>
        <v>0</v>
      </c>
      <c r="L14" s="50">
        <f t="shared" si="16"/>
        <v>0</v>
      </c>
      <c r="M14" s="50">
        <f t="shared" si="16"/>
        <v>0</v>
      </c>
      <c r="N14" s="50">
        <f t="shared" si="16"/>
        <v>0</v>
      </c>
      <c r="O14" s="50">
        <f t="shared" si="16"/>
        <v>0</v>
      </c>
      <c r="P14" s="50">
        <f t="shared" si="16"/>
        <v>0</v>
      </c>
      <c r="Q14" s="50">
        <f t="shared" si="16"/>
        <v>0</v>
      </c>
      <c r="R14" s="50">
        <f t="shared" si="16"/>
        <v>0</v>
      </c>
      <c r="S14" s="50">
        <f t="shared" si="16"/>
        <v>0</v>
      </c>
      <c r="T14" s="50">
        <f t="shared" si="16"/>
        <v>0</v>
      </c>
      <c r="U14" s="50">
        <f t="shared" si="16"/>
        <v>0</v>
      </c>
    </row>
    <row r="15" spans="1:21" outlineLevel="1" x14ac:dyDescent="0.25">
      <c r="B15" s="88" t="s">
        <v>66</v>
      </c>
      <c r="C15" s="88"/>
      <c r="D15" s="88"/>
      <c r="E15" s="89">
        <f t="shared" ref="E15:T15" si="17">E12+E13+E14</f>
        <v>2922</v>
      </c>
      <c r="F15" s="271">
        <f t="shared" si="17"/>
        <v>4059</v>
      </c>
      <c r="G15" s="271">
        <f t="shared" si="17"/>
        <v>4564.9999999999936</v>
      </c>
      <c r="H15" s="271">
        <f t="shared" si="17"/>
        <v>3833.9999999999927</v>
      </c>
      <c r="I15" s="271">
        <f t="shared" si="17"/>
        <v>3442</v>
      </c>
      <c r="J15" s="271">
        <f t="shared" si="17"/>
        <v>-121.99999999999272</v>
      </c>
      <c r="K15" s="271">
        <f t="shared" si="17"/>
        <v>2651</v>
      </c>
      <c r="L15" s="271">
        <f t="shared" si="17"/>
        <v>4490</v>
      </c>
      <c r="M15" s="271">
        <f t="shared" si="17"/>
        <v>3720.9999999999854</v>
      </c>
      <c r="N15" s="271">
        <f t="shared" si="17"/>
        <v>3626.0000000000073</v>
      </c>
      <c r="O15" s="271">
        <f t="shared" si="17"/>
        <v>4553.1308579487559</v>
      </c>
      <c r="P15" s="271">
        <f t="shared" si="17"/>
        <v>4813.5095200215783</v>
      </c>
      <c r="Q15" s="271">
        <f t="shared" si="17"/>
        <v>4947.9255326672401</v>
      </c>
      <c r="R15" s="271">
        <f t="shared" si="17"/>
        <v>5095.9991068214158</v>
      </c>
      <c r="S15" s="271">
        <f t="shared" si="17"/>
        <v>5275.8215547946165</v>
      </c>
      <c r="T15" s="271">
        <f t="shared" si="17"/>
        <v>5240.3197634169537</v>
      </c>
      <c r="U15" s="271">
        <f t="shared" ref="U15" si="18">U12+U13+U14</f>
        <v>5469.4563731705366</v>
      </c>
    </row>
    <row r="16" spans="1:21" outlineLevel="1" x14ac:dyDescent="0.25">
      <c r="B16" s="33" t="s">
        <v>67</v>
      </c>
      <c r="E16" s="50">
        <f t="shared" ref="E16:T16" si="19">E440</f>
        <v>-812</v>
      </c>
      <c r="F16" s="50">
        <f t="shared" si="19"/>
        <v>-877</v>
      </c>
      <c r="G16" s="50">
        <f t="shared" si="19"/>
        <v>-961</v>
      </c>
      <c r="H16" s="50">
        <f t="shared" si="19"/>
        <v>-950</v>
      </c>
      <c r="I16" s="50">
        <f t="shared" si="19"/>
        <v>-1256</v>
      </c>
      <c r="J16" s="50">
        <f t="shared" si="19"/>
        <v>-1880</v>
      </c>
      <c r="K16" s="50">
        <f t="shared" si="19"/>
        <v>-1253</v>
      </c>
      <c r="L16" s="50">
        <f t="shared" si="19"/>
        <v>-2275</v>
      </c>
      <c r="M16" s="50">
        <f t="shared" si="19"/>
        <v>-1237</v>
      </c>
      <c r="N16" s="50">
        <f t="shared" si="19"/>
        <v>-1048</v>
      </c>
      <c r="O16" s="50">
        <f t="shared" si="19"/>
        <v>-1439.8777848450145</v>
      </c>
      <c r="P16" s="50">
        <f t="shared" si="19"/>
        <v>-1505.1467429457607</v>
      </c>
      <c r="Q16" s="50">
        <f t="shared" si="19"/>
        <v>-1560.1000119142527</v>
      </c>
      <c r="R16" s="50">
        <f t="shared" si="19"/>
        <v>-1587.1448540440524</v>
      </c>
      <c r="S16" s="50">
        <f t="shared" si="19"/>
        <v>-1651.0512984868762</v>
      </c>
      <c r="T16" s="50">
        <f t="shared" si="19"/>
        <v>-1590.3993046936182</v>
      </c>
      <c r="U16" s="50">
        <f t="shared" ref="U16" si="20">U440</f>
        <v>-1643.1318837899596</v>
      </c>
    </row>
    <row r="17" spans="2:21" outlineLevel="1" x14ac:dyDescent="0.25">
      <c r="B17" s="88" t="s">
        <v>68</v>
      </c>
      <c r="C17" s="88"/>
      <c r="D17" s="88"/>
      <c r="E17" s="89">
        <f t="shared" ref="E17:T17" si="21">E15+E16</f>
        <v>2110</v>
      </c>
      <c r="F17" s="271">
        <f t="shared" si="21"/>
        <v>3182</v>
      </c>
      <c r="G17" s="271">
        <f t="shared" si="21"/>
        <v>3603.9999999999936</v>
      </c>
      <c r="H17" s="271">
        <f t="shared" si="21"/>
        <v>2883.9999999999927</v>
      </c>
      <c r="I17" s="271">
        <f t="shared" si="21"/>
        <v>2186</v>
      </c>
      <c r="J17" s="271">
        <f t="shared" si="21"/>
        <v>-2001.9999999999927</v>
      </c>
      <c r="K17" s="271">
        <f t="shared" si="21"/>
        <v>1398</v>
      </c>
      <c r="L17" s="271">
        <f t="shared" si="21"/>
        <v>2215</v>
      </c>
      <c r="M17" s="271">
        <f t="shared" si="21"/>
        <v>2483.9999999999854</v>
      </c>
      <c r="N17" s="271">
        <f t="shared" si="21"/>
        <v>2578.0000000000073</v>
      </c>
      <c r="O17" s="271">
        <f t="shared" si="21"/>
        <v>3113.2530731037414</v>
      </c>
      <c r="P17" s="271">
        <f t="shared" si="21"/>
        <v>3308.3627770758176</v>
      </c>
      <c r="Q17" s="271">
        <f t="shared" si="21"/>
        <v>3387.8255207529874</v>
      </c>
      <c r="R17" s="271">
        <f t="shared" si="21"/>
        <v>3508.8542527773634</v>
      </c>
      <c r="S17" s="271">
        <f t="shared" si="21"/>
        <v>3624.7702563077401</v>
      </c>
      <c r="T17" s="271">
        <f t="shared" si="21"/>
        <v>3649.9204587233353</v>
      </c>
      <c r="U17" s="271">
        <f t="shared" ref="U17" si="22">U15+U16</f>
        <v>3826.3244893805768</v>
      </c>
    </row>
    <row r="18" spans="2:21" outlineLevel="1" x14ac:dyDescent="0.25"/>
    <row r="19" spans="2:21" ht="13" outlineLevel="1" x14ac:dyDescent="0.3">
      <c r="B19" s="49" t="s">
        <v>69</v>
      </c>
      <c r="C19" s="49"/>
      <c r="D19" s="49"/>
      <c r="E19" s="49"/>
      <c r="F19" s="49"/>
      <c r="G19" s="49"/>
      <c r="H19" s="49"/>
      <c r="I19" s="49"/>
      <c r="J19" s="49"/>
      <c r="K19" s="49"/>
      <c r="L19" s="49"/>
      <c r="M19" s="49"/>
      <c r="N19" s="49"/>
      <c r="O19" s="49"/>
      <c r="P19" s="49"/>
      <c r="Q19" s="49"/>
      <c r="R19" s="49"/>
      <c r="S19" s="49"/>
      <c r="T19" s="49"/>
      <c r="U19" s="49"/>
    </row>
    <row r="20" spans="2:21" ht="13" outlineLevel="1" x14ac:dyDescent="0.3">
      <c r="B20" s="1" t="s">
        <v>58</v>
      </c>
      <c r="O20"/>
      <c r="P20"/>
      <c r="Q20"/>
      <c r="R20"/>
      <c r="S20"/>
      <c r="T20"/>
      <c r="U20"/>
    </row>
    <row r="21" spans="2:21" outlineLevel="1" x14ac:dyDescent="0.25">
      <c r="E21" s="156">
        <v>2015</v>
      </c>
      <c r="F21" s="156">
        <f>+E21+1</f>
        <v>2016</v>
      </c>
      <c r="G21" s="156">
        <f t="shared" ref="G21:N21" si="23">+F21+1</f>
        <v>2017</v>
      </c>
      <c r="H21" s="156">
        <f t="shared" si="23"/>
        <v>2018</v>
      </c>
      <c r="I21" s="156">
        <f t="shared" si="23"/>
        <v>2019</v>
      </c>
      <c r="J21" s="156">
        <f t="shared" si="23"/>
        <v>2020</v>
      </c>
      <c r="K21" s="156">
        <f t="shared" si="23"/>
        <v>2021</v>
      </c>
      <c r="L21" s="156">
        <f t="shared" si="23"/>
        <v>2022</v>
      </c>
      <c r="M21" s="156">
        <f t="shared" si="23"/>
        <v>2023</v>
      </c>
      <c r="N21" s="156">
        <f t="shared" si="23"/>
        <v>2024</v>
      </c>
      <c r="O21"/>
      <c r="P21"/>
      <c r="Q21"/>
      <c r="R21"/>
      <c r="S21"/>
      <c r="T21"/>
      <c r="U21"/>
    </row>
    <row r="22" spans="2:21" ht="13.5" outlineLevel="1" thickBot="1" x14ac:dyDescent="0.35">
      <c r="B22" s="51"/>
      <c r="C22" s="51"/>
      <c r="D22" s="51"/>
      <c r="E22" s="158">
        <v>2015</v>
      </c>
      <c r="F22" s="158">
        <f>E22+1</f>
        <v>2016</v>
      </c>
      <c r="G22" s="158">
        <f t="shared" ref="G22:N22" si="24">F22+1</f>
        <v>2017</v>
      </c>
      <c r="H22" s="158">
        <f t="shared" si="24"/>
        <v>2018</v>
      </c>
      <c r="I22" s="158">
        <f t="shared" si="24"/>
        <v>2019</v>
      </c>
      <c r="J22" s="158">
        <f t="shared" si="24"/>
        <v>2020</v>
      </c>
      <c r="K22" s="158">
        <f t="shared" si="24"/>
        <v>2021</v>
      </c>
      <c r="L22" s="158">
        <f t="shared" si="24"/>
        <v>2022</v>
      </c>
      <c r="M22" s="158">
        <f t="shared" si="24"/>
        <v>2023</v>
      </c>
      <c r="N22" s="158">
        <f t="shared" si="24"/>
        <v>2024</v>
      </c>
      <c r="O22"/>
      <c r="P22"/>
      <c r="Q22"/>
      <c r="R22"/>
      <c r="S22"/>
      <c r="T22"/>
      <c r="U22"/>
    </row>
    <row r="23" spans="2:21" outlineLevel="1" x14ac:dyDescent="0.25">
      <c r="O23"/>
      <c r="P23"/>
      <c r="Q23"/>
      <c r="R23"/>
      <c r="S23"/>
      <c r="T23"/>
      <c r="U23"/>
    </row>
    <row r="24" spans="2:21" outlineLevel="1" x14ac:dyDescent="0.25">
      <c r="B24" s="33" t="s">
        <v>70</v>
      </c>
      <c r="E24" s="148">
        <f>E263</f>
        <v>0</v>
      </c>
      <c r="F24" s="148">
        <f t="shared" ref="F24:N24" si="25">F263</f>
        <v>42</v>
      </c>
      <c r="G24" s="148">
        <f t="shared" si="25"/>
        <v>85</v>
      </c>
      <c r="H24" s="148">
        <f t="shared" si="25"/>
        <v>101</v>
      </c>
      <c r="I24" s="148">
        <f t="shared" si="25"/>
        <v>0</v>
      </c>
      <c r="J24" s="148">
        <f t="shared" si="25"/>
        <v>0</v>
      </c>
      <c r="K24" s="148">
        <f t="shared" si="25"/>
        <v>0</v>
      </c>
      <c r="L24" s="148">
        <f t="shared" si="25"/>
        <v>0</v>
      </c>
      <c r="M24" s="148">
        <f t="shared" si="25"/>
        <v>0</v>
      </c>
      <c r="N24" s="148">
        <f t="shared" si="25"/>
        <v>0</v>
      </c>
      <c r="O24"/>
      <c r="P24"/>
      <c r="Q24"/>
      <c r="R24"/>
      <c r="S24"/>
      <c r="T24"/>
      <c r="U24"/>
    </row>
    <row r="25" spans="2:21" outlineLevel="1" x14ac:dyDescent="0.25">
      <c r="B25" s="33" t="s">
        <v>71</v>
      </c>
      <c r="E25" s="148">
        <f t="shared" ref="E25:N25" si="26">E264</f>
        <v>0</v>
      </c>
      <c r="F25" s="148">
        <f t="shared" si="26"/>
        <v>-5.8045</v>
      </c>
      <c r="G25" s="148">
        <f t="shared" si="26"/>
        <v>-9.2932055849547872</v>
      </c>
      <c r="H25" s="148">
        <f t="shared" si="26"/>
        <v>-11.744349525105292</v>
      </c>
      <c r="I25" s="148">
        <f t="shared" si="26"/>
        <v>0</v>
      </c>
      <c r="J25" s="148">
        <f t="shared" si="26"/>
        <v>0</v>
      </c>
      <c r="K25" s="148">
        <f t="shared" si="26"/>
        <v>0</v>
      </c>
      <c r="L25" s="148">
        <f t="shared" si="26"/>
        <v>0</v>
      </c>
      <c r="M25" s="148">
        <f t="shared" si="26"/>
        <v>0</v>
      </c>
      <c r="N25" s="148">
        <f t="shared" si="26"/>
        <v>0</v>
      </c>
      <c r="O25"/>
      <c r="P25"/>
      <c r="Q25"/>
      <c r="R25"/>
      <c r="S25"/>
      <c r="T25"/>
      <c r="U25"/>
    </row>
    <row r="26" spans="2:21" outlineLevel="1" x14ac:dyDescent="0.25">
      <c r="B26" s="33" t="s">
        <v>72</v>
      </c>
      <c r="E26" s="148">
        <f t="shared" ref="E26:N26" si="27">E265</f>
        <v>0</v>
      </c>
      <c r="F26" s="148">
        <f t="shared" si="27"/>
        <v>-36.195500000000003</v>
      </c>
      <c r="G26" s="148">
        <f t="shared" si="27"/>
        <v>-75.706794415045209</v>
      </c>
      <c r="H26" s="148">
        <f t="shared" si="27"/>
        <v>-89.255650474894708</v>
      </c>
      <c r="I26" s="148">
        <f t="shared" si="27"/>
        <v>0</v>
      </c>
      <c r="J26" s="148">
        <f t="shared" si="27"/>
        <v>0</v>
      </c>
      <c r="K26" s="148">
        <f t="shared" si="27"/>
        <v>0</v>
      </c>
      <c r="L26" s="148">
        <f t="shared" si="27"/>
        <v>0</v>
      </c>
      <c r="M26" s="148">
        <f t="shared" si="27"/>
        <v>0</v>
      </c>
      <c r="N26" s="148">
        <f t="shared" si="27"/>
        <v>0</v>
      </c>
    </row>
    <row r="27" spans="2:21" outlineLevel="1" x14ac:dyDescent="0.25"/>
    <row r="28" spans="2:21" ht="13" outlineLevel="1" x14ac:dyDescent="0.3">
      <c r="B28" s="49" t="s">
        <v>73</v>
      </c>
      <c r="C28" s="49"/>
      <c r="D28" s="49"/>
      <c r="E28" s="49"/>
      <c r="F28" s="49"/>
      <c r="G28" s="49"/>
      <c r="H28" s="49"/>
      <c r="I28" s="49"/>
      <c r="J28" s="49"/>
      <c r="K28" s="49"/>
      <c r="L28" s="49"/>
      <c r="M28" s="49"/>
      <c r="N28" s="49"/>
      <c r="O28" s="49"/>
      <c r="P28" s="49"/>
      <c r="Q28" s="49"/>
      <c r="R28" s="49"/>
      <c r="S28" s="49"/>
      <c r="T28" s="49"/>
      <c r="U28" s="49"/>
    </row>
    <row r="29" spans="2:21" ht="13" outlineLevel="1" x14ac:dyDescent="0.3">
      <c r="B29" s="1" t="s">
        <v>58</v>
      </c>
    </row>
    <row r="30" spans="2:21" outlineLevel="1" x14ac:dyDescent="0.25">
      <c r="E30" s="156">
        <v>2015</v>
      </c>
      <c r="F30" s="156">
        <f>+E30+1</f>
        <v>2016</v>
      </c>
      <c r="G30" s="156">
        <f t="shared" ref="G30:T30" si="28">+F30+1</f>
        <v>2017</v>
      </c>
      <c r="H30" s="156">
        <f t="shared" si="28"/>
        <v>2018</v>
      </c>
      <c r="I30" s="156">
        <f t="shared" si="28"/>
        <v>2019</v>
      </c>
      <c r="J30" s="156">
        <f t="shared" si="28"/>
        <v>2020</v>
      </c>
      <c r="K30" s="156">
        <f t="shared" si="28"/>
        <v>2021</v>
      </c>
      <c r="L30" s="156">
        <f t="shared" si="28"/>
        <v>2022</v>
      </c>
      <c r="M30" s="156">
        <f t="shared" si="28"/>
        <v>2023</v>
      </c>
      <c r="N30" s="156">
        <f t="shared" si="28"/>
        <v>2024</v>
      </c>
      <c r="O30" s="157">
        <f t="shared" si="28"/>
        <v>2025</v>
      </c>
      <c r="P30" s="157">
        <f t="shared" si="28"/>
        <v>2026</v>
      </c>
      <c r="Q30" s="157">
        <f t="shared" si="28"/>
        <v>2027</v>
      </c>
      <c r="R30" s="157">
        <f t="shared" si="28"/>
        <v>2028</v>
      </c>
      <c r="S30" s="157">
        <f t="shared" si="28"/>
        <v>2029</v>
      </c>
      <c r="T30" s="157">
        <f t="shared" si="28"/>
        <v>2030</v>
      </c>
      <c r="U30" s="157">
        <f t="shared" ref="U30" si="29">+T30+1</f>
        <v>2031</v>
      </c>
    </row>
    <row r="31" spans="2:21" ht="13.5" outlineLevel="1" thickBot="1" x14ac:dyDescent="0.35">
      <c r="B31" s="51"/>
      <c r="C31" s="51"/>
      <c r="D31" s="51"/>
      <c r="E31" s="158">
        <v>2015</v>
      </c>
      <c r="F31" s="158">
        <f>E31+1</f>
        <v>2016</v>
      </c>
      <c r="G31" s="158">
        <f t="shared" ref="G31:T31" si="30">F31+1</f>
        <v>2017</v>
      </c>
      <c r="H31" s="158">
        <f t="shared" si="30"/>
        <v>2018</v>
      </c>
      <c r="I31" s="158">
        <f t="shared" si="30"/>
        <v>2019</v>
      </c>
      <c r="J31" s="158">
        <f t="shared" si="30"/>
        <v>2020</v>
      </c>
      <c r="K31" s="158">
        <f t="shared" si="30"/>
        <v>2021</v>
      </c>
      <c r="L31" s="158">
        <f t="shared" si="30"/>
        <v>2022</v>
      </c>
      <c r="M31" s="158">
        <f t="shared" si="30"/>
        <v>2023</v>
      </c>
      <c r="N31" s="158">
        <f t="shared" si="30"/>
        <v>2024</v>
      </c>
      <c r="O31" s="159">
        <f t="shared" si="30"/>
        <v>2025</v>
      </c>
      <c r="P31" s="159">
        <f t="shared" si="30"/>
        <v>2026</v>
      </c>
      <c r="Q31" s="159">
        <f t="shared" si="30"/>
        <v>2027</v>
      </c>
      <c r="R31" s="159">
        <f t="shared" si="30"/>
        <v>2028</v>
      </c>
      <c r="S31" s="159">
        <f t="shared" si="30"/>
        <v>2029</v>
      </c>
      <c r="T31" s="159">
        <f t="shared" si="30"/>
        <v>2030</v>
      </c>
      <c r="U31" s="159">
        <f t="shared" ref="U31" si="31">T31+1</f>
        <v>2031</v>
      </c>
    </row>
    <row r="32" spans="2:21" outlineLevel="1" x14ac:dyDescent="0.25">
      <c r="B32" s="86" t="s">
        <v>74</v>
      </c>
      <c r="C32" s="86"/>
      <c r="D32" s="86"/>
      <c r="E32" s="87">
        <f>+E33+E34+E35+E36+E37</f>
        <v>43108</v>
      </c>
      <c r="F32" s="87">
        <f t="shared" ref="F32:T32" si="32">+F33+F34+F35+F36+F37</f>
        <v>48995</v>
      </c>
      <c r="G32" s="87">
        <f t="shared" si="32"/>
        <v>53552.999999999993</v>
      </c>
      <c r="H32" s="87">
        <f t="shared" si="32"/>
        <v>51379.999999999993</v>
      </c>
      <c r="I32" s="87">
        <f t="shared" si="32"/>
        <v>49132</v>
      </c>
      <c r="J32" s="87">
        <f t="shared" si="32"/>
        <v>37865.000000000007</v>
      </c>
      <c r="K32" s="87">
        <f t="shared" si="32"/>
        <v>40641</v>
      </c>
      <c r="L32" s="87">
        <f t="shared" si="32"/>
        <v>43121</v>
      </c>
      <c r="M32" s="87">
        <f t="shared" si="32"/>
        <v>48149.999999999985</v>
      </c>
      <c r="N32" s="87">
        <f t="shared" si="32"/>
        <v>50519.000000000007</v>
      </c>
      <c r="O32" s="87">
        <f t="shared" si="32"/>
        <v>50960.592780400293</v>
      </c>
      <c r="P32" s="87">
        <f t="shared" si="32"/>
        <v>53360.282327737914</v>
      </c>
      <c r="Q32" s="87">
        <f t="shared" si="32"/>
        <v>55450.356339233782</v>
      </c>
      <c r="R32" s="87">
        <f t="shared" si="32"/>
        <v>56470.106629907408</v>
      </c>
      <c r="S32" s="87">
        <f t="shared" si="32"/>
        <v>58645.757127027609</v>
      </c>
      <c r="T32" s="87">
        <f t="shared" si="32"/>
        <v>55814.075149874923</v>
      </c>
      <c r="U32" s="87">
        <f t="shared" ref="U32" si="33">+U33+U34+U35+U36+U37</f>
        <v>57490.338480075086</v>
      </c>
    </row>
    <row r="33" spans="2:21" outlineLevel="1" x14ac:dyDescent="0.25">
      <c r="B33" s="45" t="s">
        <v>75</v>
      </c>
      <c r="E33" s="50">
        <f>E316</f>
        <v>24772.651763699007</v>
      </c>
      <c r="F33" s="50">
        <f t="shared" ref="F33:T33" si="34">F316</f>
        <v>27791.58196457327</v>
      </c>
      <c r="G33" s="50">
        <f t="shared" si="34"/>
        <v>27208.610262720933</v>
      </c>
      <c r="H33" s="50">
        <f t="shared" si="34"/>
        <v>25406.856060108719</v>
      </c>
      <c r="I33" s="50">
        <f t="shared" si="34"/>
        <v>25468.602071063848</v>
      </c>
      <c r="J33" s="50">
        <f t="shared" si="34"/>
        <v>18539.589044065815</v>
      </c>
      <c r="K33" s="50">
        <f t="shared" si="34"/>
        <v>21529.683851177921</v>
      </c>
      <c r="L33" s="50">
        <f t="shared" si="34"/>
        <v>27629.194993064237</v>
      </c>
      <c r="M33" s="50">
        <f t="shared" si="34"/>
        <v>33585.485092454677</v>
      </c>
      <c r="N33" s="50">
        <f t="shared" si="34"/>
        <v>35960.099423222542</v>
      </c>
      <c r="O33" s="50">
        <f t="shared" si="34"/>
        <v>35881.167004988558</v>
      </c>
      <c r="P33" s="50">
        <f t="shared" si="34"/>
        <v>37765.179440919484</v>
      </c>
      <c r="Q33" s="50">
        <f t="shared" si="34"/>
        <v>39350.251999377862</v>
      </c>
      <c r="R33" s="50">
        <f t="shared" si="34"/>
        <v>39881.736178007457</v>
      </c>
      <c r="S33" s="50">
        <f t="shared" si="34"/>
        <v>41592.004611397038</v>
      </c>
      <c r="T33" s="50">
        <f t="shared" si="34"/>
        <v>38323.904530655585</v>
      </c>
      <c r="U33" s="50">
        <f t="shared" ref="U33" si="35">U316</f>
        <v>39598.557595345192</v>
      </c>
    </row>
    <row r="34" spans="2:21" outlineLevel="1" x14ac:dyDescent="0.25">
      <c r="B34" s="45" t="s">
        <v>76</v>
      </c>
      <c r="E34" s="50">
        <f>E321</f>
        <v>5466.7724703320764</v>
      </c>
      <c r="F34" s="50">
        <f t="shared" ref="F34:T34" si="36">F321</f>
        <v>5610.5500161030595</v>
      </c>
      <c r="G34" s="50">
        <f t="shared" si="36"/>
        <v>10432.404816098535</v>
      </c>
      <c r="H34" s="50">
        <f t="shared" si="36"/>
        <v>9888.9993576697943</v>
      </c>
      <c r="I34" s="50">
        <f t="shared" si="36"/>
        <v>9824.1277718148067</v>
      </c>
      <c r="J34" s="50">
        <f t="shared" si="36"/>
        <v>9537.0455468566597</v>
      </c>
      <c r="K34" s="50">
        <f t="shared" si="36"/>
        <v>9947.1840145438309</v>
      </c>
      <c r="L34" s="50">
        <f t="shared" si="36"/>
        <v>3231.8348403052623</v>
      </c>
      <c r="M34" s="50">
        <f t="shared" si="36"/>
        <v>4281.8274805340716</v>
      </c>
      <c r="N34" s="50">
        <f t="shared" si="36"/>
        <v>4235.6902477556778</v>
      </c>
      <c r="O34" s="50">
        <f t="shared" si="36"/>
        <v>4583.0354440076171</v>
      </c>
      <c r="P34" s="50">
        <f t="shared" si="36"/>
        <v>4926.3661669671474</v>
      </c>
      <c r="Q34" s="50">
        <f t="shared" si="36"/>
        <v>5260.4840958865534</v>
      </c>
      <c r="R34" s="50">
        <f t="shared" si="36"/>
        <v>5579.9606086622507</v>
      </c>
      <c r="S34" s="50">
        <f t="shared" si="36"/>
        <v>5879.2718735498611</v>
      </c>
      <c r="T34" s="50">
        <f t="shared" si="36"/>
        <v>6152.9483946508335</v>
      </c>
      <c r="U34" s="50">
        <f t="shared" ref="U34" si="37">U321</f>
        <v>6395.7338338810478</v>
      </c>
    </row>
    <row r="35" spans="2:21" outlineLevel="1" x14ac:dyDescent="0.25">
      <c r="B35" s="45" t="s">
        <v>77</v>
      </c>
      <c r="E35" s="50">
        <f>E326</f>
        <v>5525.2897840669357</v>
      </c>
      <c r="F35" s="50">
        <f t="shared" ref="F35:T35" si="38">F326</f>
        <v>7561.0363285024159</v>
      </c>
      <c r="G35" s="50">
        <f t="shared" si="38"/>
        <v>7579.4548919432336</v>
      </c>
      <c r="H35" s="50">
        <f t="shared" si="38"/>
        <v>5938.6615640676109</v>
      </c>
      <c r="I35" s="50">
        <f t="shared" si="38"/>
        <v>5932.1778500970895</v>
      </c>
      <c r="J35" s="50">
        <f t="shared" si="38"/>
        <v>4441.6773996086013</v>
      </c>
      <c r="K35" s="50">
        <f t="shared" si="38"/>
        <v>2272.6335074048702</v>
      </c>
      <c r="L35" s="50">
        <f t="shared" si="38"/>
        <v>2751.359575065901</v>
      </c>
      <c r="M35" s="50">
        <f t="shared" si="38"/>
        <v>2552.3360468067385</v>
      </c>
      <c r="N35" s="50">
        <f t="shared" si="38"/>
        <v>2739.3345620884888</v>
      </c>
      <c r="O35" s="50">
        <f t="shared" si="38"/>
        <v>2802.6953705095957</v>
      </c>
      <c r="P35" s="50">
        <f t="shared" si="38"/>
        <v>2867.521714429482</v>
      </c>
      <c r="Q35" s="50">
        <f t="shared" si="38"/>
        <v>2933.8474916842356</v>
      </c>
      <c r="R35" s="50">
        <f t="shared" si="38"/>
        <v>3001.7073841668926</v>
      </c>
      <c r="S35" s="50">
        <f t="shared" si="38"/>
        <v>3071.1368759626721</v>
      </c>
      <c r="T35" s="50">
        <f t="shared" si="38"/>
        <v>3142.1722719036884</v>
      </c>
      <c r="U35" s="50">
        <f t="shared" ref="U35" si="39">U326</f>
        <v>3214.8507165528208</v>
      </c>
    </row>
    <row r="36" spans="2:21" outlineLevel="1" x14ac:dyDescent="0.25">
      <c r="B36" s="45" t="s">
        <v>78</v>
      </c>
      <c r="E36" s="50">
        <f>E331</f>
        <v>1909.4170312781469</v>
      </c>
      <c r="F36" s="50">
        <f t="shared" ref="F36:T36" si="40">F331</f>
        <v>2576.473880837359</v>
      </c>
      <c r="G36" s="50">
        <f t="shared" si="40"/>
        <v>2788.5149264920506</v>
      </c>
      <c r="H36" s="50">
        <f t="shared" si="40"/>
        <v>4361.7301775483065</v>
      </c>
      <c r="I36" s="50">
        <f t="shared" si="40"/>
        <v>2350.3818401091389</v>
      </c>
      <c r="J36" s="50">
        <f t="shared" si="40"/>
        <v>2005.8000722229317</v>
      </c>
      <c r="K36" s="50">
        <f t="shared" si="40"/>
        <v>2926.1087123168991</v>
      </c>
      <c r="L36" s="50">
        <f t="shared" si="40"/>
        <v>3506.6588835564635</v>
      </c>
      <c r="M36" s="50">
        <f t="shared" si="40"/>
        <v>1924.1021648477993</v>
      </c>
      <c r="N36" s="50">
        <f t="shared" si="40"/>
        <v>2077.4784448509131</v>
      </c>
      <c r="O36" s="50">
        <f t="shared" si="40"/>
        <v>2171.4942784977616</v>
      </c>
      <c r="P36" s="50">
        <f t="shared" si="40"/>
        <v>2263.1656070665617</v>
      </c>
      <c r="Q36" s="50">
        <f t="shared" si="40"/>
        <v>2351.8291521566148</v>
      </c>
      <c r="R36" s="50">
        <f t="shared" si="40"/>
        <v>2436.819040809924</v>
      </c>
      <c r="S36" s="50">
        <f t="shared" si="40"/>
        <v>2517.4747824467436</v>
      </c>
      <c r="T36" s="50">
        <f t="shared" si="40"/>
        <v>2593.1495250103808</v>
      </c>
      <c r="U36" s="50">
        <f t="shared" ref="U36" si="41">U331</f>
        <v>2663.2184524142285</v>
      </c>
    </row>
    <row r="37" spans="2:21" outlineLevel="1" x14ac:dyDescent="0.25">
      <c r="B37" s="45" t="s">
        <v>79</v>
      </c>
      <c r="E37" s="50">
        <f>E336</f>
        <v>5433.8689506238325</v>
      </c>
      <c r="F37" s="50">
        <f t="shared" ref="F37:T37" si="42">F336</f>
        <v>5455.3578099838969</v>
      </c>
      <c r="G37" s="50">
        <f t="shared" si="42"/>
        <v>5544.0151027452421</v>
      </c>
      <c r="H37" s="50">
        <f t="shared" si="42"/>
        <v>5783.7528406055662</v>
      </c>
      <c r="I37" s="50">
        <f t="shared" si="42"/>
        <v>5556.7104669151122</v>
      </c>
      <c r="J37" s="50">
        <f t="shared" si="42"/>
        <v>3340.8879372459965</v>
      </c>
      <c r="K37" s="50">
        <f t="shared" si="42"/>
        <v>3965.3899145564765</v>
      </c>
      <c r="L37" s="50">
        <f t="shared" si="42"/>
        <v>6001.951708008135</v>
      </c>
      <c r="M37" s="50">
        <f t="shared" si="42"/>
        <v>5806.2492153566991</v>
      </c>
      <c r="N37" s="50">
        <f t="shared" si="42"/>
        <v>5506.3973220823818</v>
      </c>
      <c r="O37" s="50">
        <f t="shared" si="42"/>
        <v>5522.2006823967577</v>
      </c>
      <c r="P37" s="50">
        <f t="shared" si="42"/>
        <v>5538.049398355236</v>
      </c>
      <c r="Q37" s="50">
        <f t="shared" si="42"/>
        <v>5553.9436001285148</v>
      </c>
      <c r="R37" s="50">
        <f t="shared" si="42"/>
        <v>5569.8834182608834</v>
      </c>
      <c r="S37" s="50">
        <f t="shared" si="42"/>
        <v>5585.868983671292</v>
      </c>
      <c r="T37" s="50">
        <f t="shared" si="42"/>
        <v>5601.9004276544274</v>
      </c>
      <c r="U37" s="50">
        <f t="shared" ref="U37" si="43">U336</f>
        <v>5617.9778818817949</v>
      </c>
    </row>
    <row r="38" spans="2:21" outlineLevel="1" x14ac:dyDescent="0.25"/>
    <row r="39" spans="2:21" outlineLevel="1" x14ac:dyDescent="0.25">
      <c r="B39" s="86" t="s">
        <v>80</v>
      </c>
      <c r="C39" s="86"/>
      <c r="D39" s="86"/>
      <c r="E39" s="87">
        <f>E359</f>
        <v>2219</v>
      </c>
      <c r="F39" s="87">
        <f t="shared" ref="F39:T39" si="44">F359</f>
        <v>2248</v>
      </c>
      <c r="G39" s="87">
        <f t="shared" si="44"/>
        <v>2513</v>
      </c>
      <c r="H39" s="87">
        <f t="shared" si="44"/>
        <v>3208</v>
      </c>
      <c r="I39" s="87">
        <f t="shared" si="44"/>
        <v>3405</v>
      </c>
      <c r="J39" s="87">
        <f t="shared" si="44"/>
        <v>3138</v>
      </c>
      <c r="K39" s="87">
        <f t="shared" si="44"/>
        <v>2935</v>
      </c>
      <c r="L39" s="87">
        <f t="shared" si="44"/>
        <v>3235</v>
      </c>
      <c r="M39" s="87">
        <f t="shared" si="44"/>
        <v>4181</v>
      </c>
      <c r="N39" s="87">
        <f t="shared" si="44"/>
        <v>5644</v>
      </c>
      <c r="O39" s="87">
        <f t="shared" si="44"/>
        <v>6534.4686134002795</v>
      </c>
      <c r="P39" s="87">
        <f t="shared" si="44"/>
        <v>6707.5183900925012</v>
      </c>
      <c r="Q39" s="87">
        <f t="shared" si="44"/>
        <v>6787.961337336319</v>
      </c>
      <c r="R39" s="87">
        <f t="shared" si="44"/>
        <v>6816.8681718546895</v>
      </c>
      <c r="S39" s="87">
        <f t="shared" si="44"/>
        <v>7157.7115804474251</v>
      </c>
      <c r="T39" s="87">
        <f t="shared" si="44"/>
        <v>7515.5971594697967</v>
      </c>
      <c r="U39" s="87">
        <f t="shared" ref="U39" si="45">U359</f>
        <v>7891.3770174432884</v>
      </c>
    </row>
    <row r="40" spans="2:21" outlineLevel="1" x14ac:dyDescent="0.25"/>
    <row r="41" spans="2:21" outlineLevel="1" x14ac:dyDescent="0.25">
      <c r="B41" s="86" t="s">
        <v>81</v>
      </c>
      <c r="C41" s="86"/>
      <c r="D41" s="86"/>
      <c r="E41" s="87">
        <f>E381</f>
        <v>0</v>
      </c>
      <c r="F41" s="87">
        <f t="shared" ref="F41:T41" si="46">F381</f>
        <v>0</v>
      </c>
      <c r="G41" s="87">
        <f t="shared" si="46"/>
        <v>0</v>
      </c>
      <c r="H41" s="87">
        <f t="shared" si="46"/>
        <v>0</v>
      </c>
      <c r="I41" s="87">
        <f t="shared" si="46"/>
        <v>0</v>
      </c>
      <c r="J41" s="87">
        <f t="shared" si="46"/>
        <v>19</v>
      </c>
      <c r="K41" s="87">
        <f t="shared" si="46"/>
        <v>24</v>
      </c>
      <c r="L41" s="87">
        <f t="shared" si="46"/>
        <v>35</v>
      </c>
      <c r="M41" s="87">
        <f t="shared" si="46"/>
        <v>45</v>
      </c>
      <c r="N41" s="87">
        <f t="shared" si="46"/>
        <v>69</v>
      </c>
      <c r="O41" s="87">
        <f t="shared" si="46"/>
        <v>100.05</v>
      </c>
      <c r="P41" s="87">
        <f t="shared" si="46"/>
        <v>138.06899999999999</v>
      </c>
      <c r="Q41" s="87">
        <f t="shared" si="46"/>
        <v>165.68279999999999</v>
      </c>
      <c r="R41" s="87">
        <f t="shared" si="46"/>
        <v>198.81935999999999</v>
      </c>
      <c r="S41" s="87">
        <f t="shared" si="46"/>
        <v>238.58323199999998</v>
      </c>
      <c r="T41" s="87">
        <f t="shared" si="46"/>
        <v>286.29987839999995</v>
      </c>
      <c r="U41" s="87">
        <f t="shared" ref="U41" si="47">U381</f>
        <v>343.55985407999992</v>
      </c>
    </row>
    <row r="42" spans="2:21" outlineLevel="1" x14ac:dyDescent="0.25"/>
    <row r="43" spans="2:21" outlineLevel="1" x14ac:dyDescent="0.25"/>
    <row r="44" spans="2:21" ht="13" outlineLevel="1" x14ac:dyDescent="0.3">
      <c r="B44" s="49" t="s">
        <v>82</v>
      </c>
      <c r="C44" s="49"/>
      <c r="D44" s="49"/>
      <c r="E44" s="49"/>
      <c r="F44" s="49"/>
      <c r="G44" s="49"/>
      <c r="H44" s="49"/>
      <c r="I44" s="49"/>
      <c r="J44" s="49"/>
      <c r="K44" s="49"/>
      <c r="L44" s="49"/>
      <c r="M44" s="49"/>
      <c r="N44" s="49"/>
      <c r="O44" s="49"/>
      <c r="P44" s="49"/>
      <c r="Q44" s="49"/>
      <c r="R44" s="49"/>
      <c r="S44" s="49"/>
      <c r="T44" s="49"/>
      <c r="U44" s="49"/>
    </row>
    <row r="45" spans="2:21" ht="13" outlineLevel="1" x14ac:dyDescent="0.3">
      <c r="B45" s="1" t="s">
        <v>58</v>
      </c>
    </row>
    <row r="46" spans="2:21" outlineLevel="1" x14ac:dyDescent="0.25">
      <c r="E46" s="156">
        <v>2015</v>
      </c>
      <c r="F46" s="156">
        <f>+E46+1</f>
        <v>2016</v>
      </c>
      <c r="G46" s="156">
        <f t="shared" ref="G46:N46" si="48">+F46+1</f>
        <v>2017</v>
      </c>
      <c r="H46" s="156">
        <f t="shared" si="48"/>
        <v>2018</v>
      </c>
      <c r="I46" s="156">
        <f t="shared" si="48"/>
        <v>2019</v>
      </c>
      <c r="J46" s="156">
        <f t="shared" si="48"/>
        <v>2020</v>
      </c>
      <c r="K46" s="156">
        <f t="shared" si="48"/>
        <v>2021</v>
      </c>
      <c r="L46" s="156">
        <f t="shared" si="48"/>
        <v>2022</v>
      </c>
      <c r="M46" s="156">
        <f t="shared" si="48"/>
        <v>2023</v>
      </c>
      <c r="N46" s="156">
        <f t="shared" si="48"/>
        <v>2024</v>
      </c>
      <c r="O46"/>
      <c r="P46"/>
      <c r="Q46"/>
      <c r="R46"/>
      <c r="S46"/>
      <c r="T46"/>
    </row>
    <row r="47" spans="2:21" ht="13.5" outlineLevel="1" thickBot="1" x14ac:dyDescent="0.35">
      <c r="B47" s="51"/>
      <c r="C47" s="51"/>
      <c r="D47" s="51"/>
      <c r="E47" s="158">
        <v>2015</v>
      </c>
      <c r="F47" s="158">
        <f>E47+1</f>
        <v>2016</v>
      </c>
      <c r="G47" s="158">
        <f t="shared" ref="G47:N47" si="49">F47+1</f>
        <v>2017</v>
      </c>
      <c r="H47" s="158">
        <f t="shared" si="49"/>
        <v>2018</v>
      </c>
      <c r="I47" s="158">
        <f t="shared" si="49"/>
        <v>2019</v>
      </c>
      <c r="J47" s="158">
        <f t="shared" si="49"/>
        <v>2020</v>
      </c>
      <c r="K47" s="158">
        <f t="shared" si="49"/>
        <v>2021</v>
      </c>
      <c r="L47" s="158">
        <f t="shared" si="49"/>
        <v>2022</v>
      </c>
      <c r="M47" s="158">
        <f t="shared" si="49"/>
        <v>2023</v>
      </c>
      <c r="N47" s="158">
        <f t="shared" si="49"/>
        <v>2024</v>
      </c>
      <c r="O47"/>
      <c r="P47"/>
      <c r="Q47"/>
      <c r="R47"/>
      <c r="S47"/>
      <c r="T47"/>
    </row>
    <row r="48" spans="2:21" ht="13" outlineLevel="1" x14ac:dyDescent="0.3">
      <c r="B48" s="41" t="s">
        <v>59</v>
      </c>
      <c r="C48" s="41"/>
      <c r="D48" s="41"/>
      <c r="E48" s="54">
        <v>45327</v>
      </c>
      <c r="F48" s="54">
        <v>51243</v>
      </c>
      <c r="G48" s="54">
        <v>58770</v>
      </c>
      <c r="H48" s="54">
        <v>57419</v>
      </c>
      <c r="I48" s="54">
        <v>55537</v>
      </c>
      <c r="J48" s="54">
        <v>43474</v>
      </c>
      <c r="K48" s="54">
        <v>46213</v>
      </c>
      <c r="L48" s="54">
        <v>46391</v>
      </c>
      <c r="M48" s="54">
        <v>52376</v>
      </c>
      <c r="N48" s="54">
        <v>56232</v>
      </c>
      <c r="O48"/>
      <c r="P48"/>
      <c r="Q48"/>
      <c r="R48"/>
      <c r="S48"/>
      <c r="T48"/>
    </row>
    <row r="49" spans="2:20" ht="13" outlineLevel="1" x14ac:dyDescent="0.3">
      <c r="B49" s="41" t="s">
        <v>83</v>
      </c>
      <c r="C49" s="41"/>
      <c r="D49" s="41"/>
      <c r="E49" s="54">
        <v>-36113</v>
      </c>
      <c r="F49" s="54">
        <v>-40256</v>
      </c>
      <c r="G49" s="54">
        <v>-46477</v>
      </c>
      <c r="H49" s="54">
        <v>-45417</v>
      </c>
      <c r="I49" s="54">
        <v>-44665</v>
      </c>
      <c r="J49" s="54">
        <v>-36257</v>
      </c>
      <c r="K49" s="54">
        <v>-37526</v>
      </c>
      <c r="L49" s="54">
        <v>-37145</v>
      </c>
      <c r="M49" s="54">
        <v>-41414</v>
      </c>
      <c r="N49" s="54">
        <v>-44500</v>
      </c>
      <c r="O49"/>
      <c r="P49"/>
      <c r="Q49"/>
      <c r="R49"/>
      <c r="S49"/>
      <c r="T49"/>
    </row>
    <row r="50" spans="2:20" outlineLevel="1" x14ac:dyDescent="0.25">
      <c r="B50" s="33" t="s">
        <v>84</v>
      </c>
      <c r="E50" s="55">
        <v>-2075</v>
      </c>
      <c r="F50" s="55">
        <v>-2370</v>
      </c>
      <c r="G50" s="55">
        <v>-2590</v>
      </c>
      <c r="H50" s="55">
        <v>-2598</v>
      </c>
      <c r="I50" s="55">
        <v>-2658</v>
      </c>
      <c r="J50" s="55">
        <v>-2569</v>
      </c>
      <c r="K50" s="55">
        <v>-2365</v>
      </c>
      <c r="L50" s="55">
        <v>-2125</v>
      </c>
      <c r="M50" s="55">
        <v>-2144</v>
      </c>
      <c r="N50" s="55">
        <v>-2274</v>
      </c>
      <c r="O50"/>
      <c r="P50"/>
      <c r="Q50"/>
      <c r="R50"/>
      <c r="S50"/>
      <c r="T50"/>
    </row>
    <row r="51" spans="2:20" outlineLevel="1" x14ac:dyDescent="0.25">
      <c r="B51" s="33" t="s">
        <v>85</v>
      </c>
      <c r="E51" s="55">
        <v>-4819</v>
      </c>
      <c r="F51" s="55">
        <v>-5335</v>
      </c>
      <c r="G51" s="55">
        <v>-5849</v>
      </c>
      <c r="H51" s="55">
        <v>-5792</v>
      </c>
      <c r="I51" s="55">
        <v>-5552</v>
      </c>
      <c r="J51" s="55">
        <v>-4985</v>
      </c>
      <c r="K51" s="55">
        <v>-4659</v>
      </c>
      <c r="L51" s="55">
        <v>-4526</v>
      </c>
      <c r="M51" s="55">
        <v>-4701</v>
      </c>
      <c r="N51" s="55">
        <v>-5195</v>
      </c>
      <c r="O51"/>
      <c r="P51"/>
      <c r="Q51"/>
      <c r="R51"/>
      <c r="S51"/>
      <c r="T51"/>
    </row>
    <row r="52" spans="2:20" outlineLevel="1" x14ac:dyDescent="0.25">
      <c r="B52" s="88" t="s">
        <v>86</v>
      </c>
      <c r="C52" s="88"/>
      <c r="D52" s="88"/>
      <c r="E52" s="89">
        <f t="shared" ref="E52:N52" si="50">E48+E49+E50+E51</f>
        <v>2320</v>
      </c>
      <c r="F52" s="89">
        <f t="shared" si="50"/>
        <v>3282</v>
      </c>
      <c r="G52" s="89">
        <f t="shared" si="50"/>
        <v>3854</v>
      </c>
      <c r="H52" s="89">
        <f t="shared" si="50"/>
        <v>3612</v>
      </c>
      <c r="I52" s="89">
        <f t="shared" si="50"/>
        <v>2662</v>
      </c>
      <c r="J52" s="89">
        <f t="shared" si="50"/>
        <v>-337</v>
      </c>
      <c r="K52" s="89">
        <f t="shared" si="50"/>
        <v>1663</v>
      </c>
      <c r="L52" s="89">
        <f t="shared" si="50"/>
        <v>2595</v>
      </c>
      <c r="M52" s="89">
        <f t="shared" si="50"/>
        <v>4117</v>
      </c>
      <c r="N52" s="89">
        <f t="shared" si="50"/>
        <v>4263</v>
      </c>
    </row>
    <row r="53" spans="2:20" ht="13" outlineLevel="1" x14ac:dyDescent="0.3">
      <c r="B53" s="41" t="s">
        <v>87</v>
      </c>
      <c r="C53" s="41"/>
      <c r="D53" s="41"/>
      <c r="E53" s="56">
        <f>+E54+E55</f>
        <v>-199</v>
      </c>
      <c r="F53" s="56">
        <f t="shared" ref="F53:N53" si="51">+F54+F55</f>
        <v>1</v>
      </c>
      <c r="G53" s="56">
        <f t="shared" si="51"/>
        <v>-48</v>
      </c>
      <c r="H53" s="56">
        <f t="shared" si="51"/>
        <v>-625</v>
      </c>
      <c r="I53" s="56">
        <f t="shared" si="51"/>
        <v>-557</v>
      </c>
      <c r="J53" s="56">
        <f t="shared" si="51"/>
        <v>-1662</v>
      </c>
      <c r="K53" s="56">
        <f t="shared" si="51"/>
        <v>-265</v>
      </c>
      <c r="L53" s="56">
        <f t="shared" si="51"/>
        <v>-379</v>
      </c>
      <c r="M53" s="56">
        <f t="shared" si="51"/>
        <v>-1632</v>
      </c>
      <c r="N53" s="56">
        <f t="shared" si="51"/>
        <v>-1687</v>
      </c>
    </row>
    <row r="54" spans="2:20" outlineLevel="1" x14ac:dyDescent="0.25">
      <c r="B54" s="45" t="s">
        <v>88</v>
      </c>
      <c r="E54" s="55">
        <v>77</v>
      </c>
      <c r="F54" s="55">
        <v>727</v>
      </c>
      <c r="G54" s="55">
        <v>214</v>
      </c>
      <c r="H54" s="55">
        <v>149</v>
      </c>
      <c r="I54" s="55">
        <v>80</v>
      </c>
      <c r="J54" s="55">
        <v>181</v>
      </c>
      <c r="K54" s="55">
        <v>728</v>
      </c>
      <c r="L54" s="55">
        <v>425</v>
      </c>
      <c r="M54" s="55">
        <v>430</v>
      </c>
      <c r="N54" s="55">
        <v>798</v>
      </c>
    </row>
    <row r="55" spans="2:20" outlineLevel="1" x14ac:dyDescent="0.25">
      <c r="B55" s="45" t="s">
        <v>89</v>
      </c>
      <c r="E55" s="55">
        <v>-276</v>
      </c>
      <c r="F55" s="55">
        <v>-726</v>
      </c>
      <c r="G55" s="55">
        <v>-262</v>
      </c>
      <c r="H55" s="55">
        <v>-774</v>
      </c>
      <c r="I55" s="55">
        <v>-637</v>
      </c>
      <c r="J55" s="55">
        <v>-1843</v>
      </c>
      <c r="K55" s="55">
        <v>-993</v>
      </c>
      <c r="L55" s="55">
        <v>-804</v>
      </c>
      <c r="M55" s="55">
        <v>-2062</v>
      </c>
      <c r="N55" s="55">
        <v>-2485</v>
      </c>
    </row>
    <row r="56" spans="2:20" outlineLevel="1" x14ac:dyDescent="0.25">
      <c r="B56" s="88" t="s">
        <v>90</v>
      </c>
      <c r="C56" s="88"/>
      <c r="D56" s="88"/>
      <c r="E56" s="89">
        <f>E52+E53</f>
        <v>2121</v>
      </c>
      <c r="F56" s="89">
        <f t="shared" ref="F56:N56" si="52">F52+F53</f>
        <v>3283</v>
      </c>
      <c r="G56" s="89">
        <f t="shared" si="52"/>
        <v>3806</v>
      </c>
      <c r="H56" s="89">
        <f t="shared" si="52"/>
        <v>2987</v>
      </c>
      <c r="I56" s="89">
        <f t="shared" si="52"/>
        <v>2105</v>
      </c>
      <c r="J56" s="89">
        <f t="shared" si="52"/>
        <v>-1999</v>
      </c>
      <c r="K56" s="89">
        <f t="shared" si="52"/>
        <v>1398</v>
      </c>
      <c r="L56" s="89">
        <f t="shared" si="52"/>
        <v>2216</v>
      </c>
      <c r="M56" s="89">
        <f t="shared" si="52"/>
        <v>2485</v>
      </c>
      <c r="N56" s="89">
        <f t="shared" si="52"/>
        <v>2576</v>
      </c>
    </row>
    <row r="57" spans="2:20" ht="13" outlineLevel="1" x14ac:dyDescent="0.3">
      <c r="B57" s="41" t="s">
        <v>91</v>
      </c>
      <c r="C57" s="41"/>
      <c r="D57" s="41"/>
      <c r="E57" s="56">
        <f>E58+E59+E60</f>
        <v>-221</v>
      </c>
      <c r="F57" s="56">
        <f t="shared" ref="F57:N57" si="53">F58+F59+F60</f>
        <v>-323</v>
      </c>
      <c r="G57" s="56">
        <f t="shared" si="53"/>
        <v>-504</v>
      </c>
      <c r="H57" s="56">
        <f t="shared" si="53"/>
        <v>-353</v>
      </c>
      <c r="I57" s="56">
        <f t="shared" si="53"/>
        <v>-442</v>
      </c>
      <c r="J57" s="56">
        <f t="shared" si="53"/>
        <v>-482</v>
      </c>
      <c r="K57" s="56">
        <f t="shared" si="53"/>
        <v>-350</v>
      </c>
      <c r="L57" s="56">
        <f t="shared" si="53"/>
        <v>-486</v>
      </c>
      <c r="M57" s="56">
        <f t="shared" si="53"/>
        <v>-527</v>
      </c>
      <c r="N57" s="56">
        <f t="shared" si="53"/>
        <v>-517</v>
      </c>
    </row>
    <row r="58" spans="2:20" outlineLevel="1" x14ac:dyDescent="0.25">
      <c r="B58" s="45" t="s">
        <v>92</v>
      </c>
      <c r="E58" s="55">
        <v>-387</v>
      </c>
      <c r="F58" s="55">
        <v>-385</v>
      </c>
      <c r="G58" s="55">
        <v>-441</v>
      </c>
      <c r="H58" s="55">
        <v>-373</v>
      </c>
      <c r="I58" s="55">
        <v>-386</v>
      </c>
      <c r="J58" s="55">
        <v>-355</v>
      </c>
      <c r="K58" s="55">
        <v>-381</v>
      </c>
      <c r="L58" s="55">
        <v>-349</v>
      </c>
      <c r="M58" s="55">
        <v>-326</v>
      </c>
      <c r="N58" s="55">
        <v>-336</v>
      </c>
    </row>
    <row r="59" spans="2:20" outlineLevel="1" x14ac:dyDescent="0.25">
      <c r="B59" s="45" t="s">
        <v>93</v>
      </c>
      <c r="E59" s="55">
        <v>162</v>
      </c>
      <c r="F59" s="55">
        <v>101</v>
      </c>
      <c r="G59" s="55">
        <v>72</v>
      </c>
      <c r="H59" s="55">
        <v>65</v>
      </c>
      <c r="I59" s="55">
        <v>75</v>
      </c>
      <c r="J59" s="55">
        <v>18</v>
      </c>
      <c r="K59" s="55">
        <v>73</v>
      </c>
      <c r="L59" s="55">
        <v>168</v>
      </c>
      <c r="M59" s="55">
        <v>414</v>
      </c>
      <c r="N59" s="55">
        <v>440</v>
      </c>
    </row>
    <row r="60" spans="2:20" outlineLevel="1" x14ac:dyDescent="0.25">
      <c r="B60" s="45" t="s">
        <v>94</v>
      </c>
      <c r="E60" s="55">
        <v>4</v>
      </c>
      <c r="F60" s="55">
        <v>-39</v>
      </c>
      <c r="G60" s="55">
        <v>-135</v>
      </c>
      <c r="H60" s="55">
        <v>-45</v>
      </c>
      <c r="I60" s="55">
        <v>-131</v>
      </c>
      <c r="J60" s="55">
        <v>-145</v>
      </c>
      <c r="K60" s="55">
        <v>-42</v>
      </c>
      <c r="L60" s="55">
        <v>-305</v>
      </c>
      <c r="M60" s="55">
        <v>-615</v>
      </c>
      <c r="N60" s="55">
        <v>-621</v>
      </c>
    </row>
    <row r="61" spans="2:20" ht="13" outlineLevel="1" x14ac:dyDescent="0.3">
      <c r="B61" s="41" t="s">
        <v>95</v>
      </c>
      <c r="E61" s="56">
        <f>E62+E63+E64</f>
        <v>1371</v>
      </c>
      <c r="F61" s="56">
        <f t="shared" ref="F61:N61" si="54">F62+F63+F64</f>
        <v>1638</v>
      </c>
      <c r="G61" s="56">
        <f t="shared" si="54"/>
        <v>2799</v>
      </c>
      <c r="H61" s="56">
        <f t="shared" si="54"/>
        <v>1540</v>
      </c>
      <c r="I61" s="56">
        <f t="shared" si="54"/>
        <v>-190</v>
      </c>
      <c r="J61" s="56">
        <f t="shared" si="54"/>
        <v>-5145</v>
      </c>
      <c r="K61" s="56">
        <f t="shared" si="54"/>
        <v>515</v>
      </c>
      <c r="L61" s="56">
        <f t="shared" si="54"/>
        <v>423</v>
      </c>
      <c r="M61" s="56">
        <f t="shared" si="54"/>
        <v>880</v>
      </c>
      <c r="N61" s="56">
        <f t="shared" si="54"/>
        <v>-521</v>
      </c>
    </row>
    <row r="62" spans="2:20" outlineLevel="1" x14ac:dyDescent="0.25">
      <c r="B62" s="45" t="s">
        <v>96</v>
      </c>
      <c r="E62" s="55">
        <v>1976</v>
      </c>
      <c r="F62" s="55">
        <v>1741</v>
      </c>
      <c r="G62" s="55">
        <v>2791</v>
      </c>
      <c r="H62" s="55">
        <v>1509</v>
      </c>
      <c r="I62" s="55">
        <v>242</v>
      </c>
      <c r="J62" s="55">
        <v>-4970</v>
      </c>
      <c r="K62" s="55">
        <v>380</v>
      </c>
      <c r="L62" s="55">
        <v>526</v>
      </c>
      <c r="M62" s="55">
        <v>797</v>
      </c>
      <c r="N62" s="55">
        <v>-483</v>
      </c>
    </row>
    <row r="63" spans="2:20" outlineLevel="1" x14ac:dyDescent="0.25">
      <c r="B63" s="45" t="s">
        <v>97</v>
      </c>
      <c r="E63" s="55">
        <v>0</v>
      </c>
      <c r="F63" s="55">
        <v>0</v>
      </c>
      <c r="G63" s="55">
        <v>0</v>
      </c>
      <c r="H63" s="55">
        <v>0</v>
      </c>
      <c r="I63" s="55">
        <v>0</v>
      </c>
      <c r="J63" s="55">
        <v>0</v>
      </c>
      <c r="K63" s="55">
        <v>0</v>
      </c>
      <c r="L63" s="55">
        <v>0</v>
      </c>
      <c r="M63" s="55">
        <v>0</v>
      </c>
      <c r="N63" s="55">
        <v>0</v>
      </c>
    </row>
    <row r="64" spans="2:20" outlineLevel="1" x14ac:dyDescent="0.25">
      <c r="B64" s="45" t="s">
        <v>98</v>
      </c>
      <c r="E64" s="55">
        <v>-605</v>
      </c>
      <c r="F64" s="55">
        <v>-103</v>
      </c>
      <c r="G64" s="55">
        <v>8</v>
      </c>
      <c r="H64" s="55">
        <v>31</v>
      </c>
      <c r="I64" s="55">
        <v>-432</v>
      </c>
      <c r="J64" s="55">
        <v>-175</v>
      </c>
      <c r="K64" s="55">
        <v>135</v>
      </c>
      <c r="L64" s="55">
        <v>-103</v>
      </c>
      <c r="M64" s="55">
        <v>83</v>
      </c>
      <c r="N64" s="55">
        <v>-38</v>
      </c>
    </row>
    <row r="65" spans="2:14" outlineLevel="1" x14ac:dyDescent="0.25">
      <c r="B65" s="88" t="s">
        <v>99</v>
      </c>
      <c r="C65" s="88"/>
      <c r="D65" s="88"/>
      <c r="E65" s="89">
        <f>E56+E57+E61</f>
        <v>3271</v>
      </c>
      <c r="F65" s="89">
        <f t="shared" ref="F65:N65" si="55">F56+F57+F61</f>
        <v>4598</v>
      </c>
      <c r="G65" s="89">
        <f t="shared" si="55"/>
        <v>6101</v>
      </c>
      <c r="H65" s="89">
        <f t="shared" si="55"/>
        <v>4174</v>
      </c>
      <c r="I65" s="89">
        <f t="shared" si="55"/>
        <v>1473</v>
      </c>
      <c r="J65" s="89">
        <f t="shared" si="55"/>
        <v>-7626</v>
      </c>
      <c r="K65" s="89">
        <f t="shared" si="55"/>
        <v>1563</v>
      </c>
      <c r="L65" s="89">
        <f t="shared" si="55"/>
        <v>2153</v>
      </c>
      <c r="M65" s="89">
        <f t="shared" si="55"/>
        <v>2838</v>
      </c>
      <c r="N65" s="89">
        <f t="shared" si="55"/>
        <v>1538</v>
      </c>
    </row>
    <row r="66" spans="2:14" outlineLevel="1" x14ac:dyDescent="0.25">
      <c r="B66" s="33" t="s">
        <v>100</v>
      </c>
      <c r="E66" s="55">
        <v>-311</v>
      </c>
      <c r="F66" s="55">
        <v>-1055</v>
      </c>
      <c r="G66" s="55">
        <v>-891</v>
      </c>
      <c r="H66" s="55">
        <v>-723</v>
      </c>
      <c r="I66" s="55">
        <v>-1454</v>
      </c>
      <c r="J66" s="55">
        <v>-420</v>
      </c>
      <c r="K66" s="55">
        <v>-596</v>
      </c>
      <c r="L66" s="55">
        <v>-533</v>
      </c>
      <c r="M66" s="55">
        <v>-523</v>
      </c>
      <c r="N66" s="55">
        <v>-647</v>
      </c>
    </row>
    <row r="67" spans="2:14" outlineLevel="1" x14ac:dyDescent="0.25">
      <c r="B67" s="88" t="s">
        <v>101</v>
      </c>
      <c r="C67" s="88"/>
      <c r="D67" s="88"/>
      <c r="E67" s="89">
        <f>E65+E66</f>
        <v>2960</v>
      </c>
      <c r="F67" s="89">
        <f t="shared" ref="F67:N67" si="56">F65+F66</f>
        <v>3543</v>
      </c>
      <c r="G67" s="89">
        <f t="shared" si="56"/>
        <v>5210</v>
      </c>
      <c r="H67" s="89">
        <f t="shared" si="56"/>
        <v>3451</v>
      </c>
      <c r="I67" s="89">
        <f t="shared" si="56"/>
        <v>19</v>
      </c>
      <c r="J67" s="89">
        <f t="shared" si="56"/>
        <v>-8046</v>
      </c>
      <c r="K67" s="89">
        <f t="shared" si="56"/>
        <v>967</v>
      </c>
      <c r="L67" s="89">
        <f t="shared" si="56"/>
        <v>1620</v>
      </c>
      <c r="M67" s="89">
        <f t="shared" si="56"/>
        <v>2315</v>
      </c>
      <c r="N67" s="89">
        <f t="shared" si="56"/>
        <v>891</v>
      </c>
    </row>
    <row r="68" spans="2:14" ht="13" outlineLevel="1" x14ac:dyDescent="0.3">
      <c r="B68" s="57" t="s">
        <v>102</v>
      </c>
      <c r="C68" s="41"/>
      <c r="D68" s="41"/>
      <c r="E68" s="56">
        <f>+E69+E70</f>
        <v>0</v>
      </c>
      <c r="F68" s="56">
        <f t="shared" ref="F68:N68" si="57">+F69+F70</f>
        <v>0</v>
      </c>
      <c r="G68" s="56">
        <f t="shared" si="57"/>
        <v>0</v>
      </c>
      <c r="H68" s="56">
        <f t="shared" si="57"/>
        <v>0</v>
      </c>
      <c r="I68" s="56">
        <f t="shared" si="57"/>
        <v>0</v>
      </c>
      <c r="J68" s="56">
        <f t="shared" si="57"/>
        <v>0</v>
      </c>
      <c r="K68" s="56">
        <f t="shared" si="57"/>
        <v>0</v>
      </c>
      <c r="L68" s="56">
        <f t="shared" si="57"/>
        <v>-2320</v>
      </c>
      <c r="M68" s="56">
        <f t="shared" si="57"/>
        <v>0</v>
      </c>
      <c r="N68" s="56">
        <f t="shared" si="57"/>
        <v>0</v>
      </c>
    </row>
    <row r="69" spans="2:14" outlineLevel="1" x14ac:dyDescent="0.25">
      <c r="B69" s="45" t="s">
        <v>103</v>
      </c>
      <c r="E69" s="55">
        <v>0</v>
      </c>
      <c r="F69" s="55">
        <v>0</v>
      </c>
      <c r="G69" s="55">
        <v>0</v>
      </c>
      <c r="H69" s="55">
        <v>0</v>
      </c>
      <c r="I69" s="55">
        <v>0</v>
      </c>
      <c r="J69" s="55">
        <v>0</v>
      </c>
      <c r="K69" s="55">
        <v>0</v>
      </c>
      <c r="L69" s="55">
        <v>-1988</v>
      </c>
      <c r="M69" s="55">
        <v>0</v>
      </c>
      <c r="N69" s="55">
        <v>0</v>
      </c>
    </row>
    <row r="70" spans="2:14" outlineLevel="1" x14ac:dyDescent="0.25">
      <c r="B70" s="45" t="s">
        <v>104</v>
      </c>
      <c r="E70" s="55">
        <v>0</v>
      </c>
      <c r="F70" s="55">
        <v>0</v>
      </c>
      <c r="G70" s="55">
        <v>0</v>
      </c>
      <c r="H70" s="55">
        <v>0</v>
      </c>
      <c r="I70" s="55">
        <v>0</v>
      </c>
      <c r="J70" s="55">
        <v>0</v>
      </c>
      <c r="K70" s="55">
        <v>0</v>
      </c>
      <c r="L70" s="55">
        <v>-332</v>
      </c>
      <c r="M70" s="55">
        <v>0</v>
      </c>
      <c r="N70" s="55">
        <v>0</v>
      </c>
    </row>
    <row r="71" spans="2:14" outlineLevel="1" x14ac:dyDescent="0.25">
      <c r="B71" s="88" t="s">
        <v>105</v>
      </c>
      <c r="C71" s="88"/>
      <c r="D71" s="88"/>
      <c r="E71" s="89">
        <f>E67+E68</f>
        <v>2960</v>
      </c>
      <c r="F71" s="89">
        <f t="shared" ref="F71:N71" si="58">F67+F68</f>
        <v>3543</v>
      </c>
      <c r="G71" s="89">
        <f t="shared" si="58"/>
        <v>5210</v>
      </c>
      <c r="H71" s="89">
        <f t="shared" si="58"/>
        <v>3451</v>
      </c>
      <c r="I71" s="89">
        <f t="shared" si="58"/>
        <v>19</v>
      </c>
      <c r="J71" s="89">
        <f t="shared" si="58"/>
        <v>-8046</v>
      </c>
      <c r="K71" s="89">
        <f t="shared" si="58"/>
        <v>967</v>
      </c>
      <c r="L71" s="89">
        <f t="shared" si="58"/>
        <v>-700</v>
      </c>
      <c r="M71" s="89">
        <f t="shared" si="58"/>
        <v>2315</v>
      </c>
      <c r="N71" s="89">
        <f t="shared" si="58"/>
        <v>891</v>
      </c>
    </row>
    <row r="72" spans="2:14" outlineLevel="1" x14ac:dyDescent="0.25">
      <c r="B72" s="33" t="s">
        <v>106</v>
      </c>
      <c r="E72" s="50">
        <v>-137</v>
      </c>
      <c r="F72" s="50">
        <v>-124</v>
      </c>
      <c r="G72" s="50">
        <v>-96</v>
      </c>
      <c r="H72" s="50">
        <v>-149</v>
      </c>
      <c r="I72" s="50">
        <v>-160</v>
      </c>
      <c r="J72" s="50">
        <v>38</v>
      </c>
      <c r="K72" s="50">
        <v>-79</v>
      </c>
      <c r="L72" s="50">
        <v>362</v>
      </c>
      <c r="M72" s="50">
        <v>-117</v>
      </c>
      <c r="N72" s="50">
        <v>-139</v>
      </c>
    </row>
    <row r="73" spans="2:14" outlineLevel="1" x14ac:dyDescent="0.25">
      <c r="B73" s="88" t="s">
        <v>107</v>
      </c>
      <c r="C73" s="88"/>
      <c r="D73" s="88"/>
      <c r="E73" s="89">
        <f>E71+E72</f>
        <v>2823</v>
      </c>
      <c r="F73" s="89">
        <f t="shared" ref="F73:N73" si="59">F71+F72</f>
        <v>3419</v>
      </c>
      <c r="G73" s="89">
        <f t="shared" si="59"/>
        <v>5114</v>
      </c>
      <c r="H73" s="89">
        <f t="shared" si="59"/>
        <v>3302</v>
      </c>
      <c r="I73" s="89">
        <f t="shared" si="59"/>
        <v>-141</v>
      </c>
      <c r="J73" s="89">
        <f t="shared" si="59"/>
        <v>-8008</v>
      </c>
      <c r="K73" s="89">
        <f t="shared" si="59"/>
        <v>888</v>
      </c>
      <c r="L73" s="89">
        <f t="shared" si="59"/>
        <v>-338</v>
      </c>
      <c r="M73" s="89">
        <f t="shared" si="59"/>
        <v>2198</v>
      </c>
      <c r="N73" s="89">
        <f t="shared" si="59"/>
        <v>752</v>
      </c>
    </row>
    <row r="74" spans="2:14" outlineLevel="1" x14ac:dyDescent="0.25">
      <c r="B74" s="33" t="s">
        <v>108</v>
      </c>
      <c r="E74" s="50"/>
      <c r="F74" s="50"/>
      <c r="G74" s="50"/>
      <c r="H74" s="50"/>
      <c r="I74" s="50"/>
      <c r="J74" s="50"/>
      <c r="K74" s="50"/>
      <c r="L74" s="50"/>
      <c r="M74" s="50"/>
      <c r="N74" s="50"/>
    </row>
    <row r="75" spans="2:14" ht="13" outlineLevel="1" x14ac:dyDescent="0.3">
      <c r="B75" s="44" t="s">
        <v>109</v>
      </c>
      <c r="E75" s="58">
        <v>10.35</v>
      </c>
      <c r="F75" s="58">
        <v>12.57</v>
      </c>
      <c r="G75" s="58">
        <v>18.87</v>
      </c>
      <c r="H75" s="58">
        <v>12.24</v>
      </c>
      <c r="I75" s="58">
        <v>-0.52</v>
      </c>
      <c r="J75" s="58">
        <v>-29.51</v>
      </c>
      <c r="K75" s="58">
        <v>3.26</v>
      </c>
      <c r="L75" s="59">
        <f>L76+L77</f>
        <v>-1.2399999999999993</v>
      </c>
      <c r="M75" s="59">
        <f t="shared" ref="M75" si="60">M76+M77</f>
        <v>8.11</v>
      </c>
      <c r="N75" s="58">
        <v>2.76</v>
      </c>
    </row>
    <row r="76" spans="2:14" outlineLevel="1" x14ac:dyDescent="0.25">
      <c r="B76" s="60" t="s">
        <v>110</v>
      </c>
      <c r="E76" s="50">
        <v>0</v>
      </c>
      <c r="F76" s="50">
        <v>0</v>
      </c>
      <c r="G76" s="50">
        <v>0</v>
      </c>
      <c r="H76" s="50">
        <v>0</v>
      </c>
      <c r="I76" s="50">
        <v>0</v>
      </c>
      <c r="J76" s="50">
        <v>0</v>
      </c>
      <c r="K76" s="50">
        <v>0</v>
      </c>
      <c r="L76" s="61">
        <v>6.07</v>
      </c>
      <c r="M76" s="61">
        <v>8.11</v>
      </c>
      <c r="N76" s="50">
        <v>0</v>
      </c>
    </row>
    <row r="77" spans="2:14" outlineLevel="1" x14ac:dyDescent="0.25">
      <c r="B77" s="60" t="s">
        <v>111</v>
      </c>
      <c r="E77" s="50">
        <v>0</v>
      </c>
      <c r="F77" s="50">
        <v>0</v>
      </c>
      <c r="G77" s="50">
        <v>0</v>
      </c>
      <c r="H77" s="50">
        <v>0</v>
      </c>
      <c r="I77" s="50">
        <v>0</v>
      </c>
      <c r="J77" s="50">
        <v>0</v>
      </c>
      <c r="K77" s="50">
        <v>0</v>
      </c>
      <c r="L77" s="61">
        <v>-7.31</v>
      </c>
      <c r="M77" s="61">
        <v>0</v>
      </c>
      <c r="N77" s="50">
        <v>0</v>
      </c>
    </row>
    <row r="78" spans="2:14" ht="13" outlineLevel="1" x14ac:dyDescent="0.3">
      <c r="B78" s="44" t="s">
        <v>112</v>
      </c>
      <c r="E78" s="58">
        <v>10.29</v>
      </c>
      <c r="F78" s="58">
        <v>12.46</v>
      </c>
      <c r="G78" s="58">
        <v>18.68</v>
      </c>
      <c r="H78" s="58">
        <v>12.13</v>
      </c>
      <c r="I78" s="58">
        <v>0.52</v>
      </c>
      <c r="J78" s="58">
        <v>29.51</v>
      </c>
      <c r="K78" s="58">
        <v>3.24</v>
      </c>
      <c r="L78" s="59">
        <f>L79+L80</f>
        <v>-1.2399999999999993</v>
      </c>
      <c r="M78" s="59">
        <f t="shared" ref="M78" si="61">M79+M80</f>
        <v>7.99</v>
      </c>
      <c r="N78" s="58">
        <v>2.72</v>
      </c>
    </row>
    <row r="79" spans="2:14" outlineLevel="1" x14ac:dyDescent="0.25">
      <c r="B79" s="60" t="s">
        <v>110</v>
      </c>
      <c r="E79" s="62">
        <v>0</v>
      </c>
      <c r="F79" s="62">
        <v>0</v>
      </c>
      <c r="G79" s="62">
        <v>0</v>
      </c>
      <c r="H79" s="62">
        <v>0</v>
      </c>
      <c r="I79" s="62">
        <v>0</v>
      </c>
      <c r="J79" s="62">
        <v>0</v>
      </c>
      <c r="K79" s="62">
        <v>0</v>
      </c>
      <c r="L79" s="61">
        <v>6.07</v>
      </c>
      <c r="M79" s="61">
        <v>7.99</v>
      </c>
      <c r="N79" s="62">
        <v>0</v>
      </c>
    </row>
    <row r="80" spans="2:14" outlineLevel="1" x14ac:dyDescent="0.25">
      <c r="B80" s="60" t="s">
        <v>111</v>
      </c>
      <c r="E80" s="62">
        <v>0</v>
      </c>
      <c r="F80" s="62">
        <v>0</v>
      </c>
      <c r="G80" s="62">
        <v>0</v>
      </c>
      <c r="H80" s="62">
        <v>0</v>
      </c>
      <c r="I80" s="62">
        <v>0</v>
      </c>
      <c r="J80" s="62">
        <v>0</v>
      </c>
      <c r="K80" s="62">
        <v>0</v>
      </c>
      <c r="L80" s="61">
        <v>-7.31</v>
      </c>
      <c r="M80" s="61">
        <v>0</v>
      </c>
      <c r="N80" s="62">
        <v>0</v>
      </c>
    </row>
    <row r="81" spans="1:21" ht="13" outlineLevel="1" x14ac:dyDescent="0.3">
      <c r="B81" s="41" t="s">
        <v>113</v>
      </c>
      <c r="E81" s="50"/>
      <c r="F81" s="50"/>
      <c r="G81" s="50"/>
      <c r="H81" s="50"/>
      <c r="I81" s="50"/>
      <c r="J81" s="50"/>
      <c r="K81" s="50"/>
      <c r="L81" s="50"/>
      <c r="M81" s="50"/>
      <c r="N81" s="50"/>
    </row>
    <row r="82" spans="1:21" outlineLevel="1" x14ac:dyDescent="0.25">
      <c r="B82" s="45" t="s">
        <v>109</v>
      </c>
      <c r="E82" s="63">
        <v>272.70800000000003</v>
      </c>
      <c r="F82" s="63">
        <v>271.96800000000002</v>
      </c>
      <c r="G82" s="63">
        <v>271.08</v>
      </c>
      <c r="H82" s="63">
        <v>269.85000000000002</v>
      </c>
      <c r="I82" s="63">
        <v>271.63900000000001</v>
      </c>
      <c r="J82" s="63">
        <v>271.34899999999999</v>
      </c>
      <c r="K82" s="63">
        <v>272.10199999999998</v>
      </c>
      <c r="L82" s="63">
        <v>272.09699999999998</v>
      </c>
      <c r="M82" s="63">
        <v>271.00900000000001</v>
      </c>
      <c r="N82" s="63">
        <v>272.37400000000002</v>
      </c>
    </row>
    <row r="83" spans="1:21" outlineLevel="1" x14ac:dyDescent="0.25">
      <c r="B83" s="45" t="s">
        <v>112</v>
      </c>
      <c r="E83" s="63">
        <v>274.31400000000002</v>
      </c>
      <c r="F83" s="63">
        <v>274.33100000000002</v>
      </c>
      <c r="G83" s="63">
        <v>273.74900000000002</v>
      </c>
      <c r="H83" s="63">
        <v>272.22199999999998</v>
      </c>
      <c r="I83" s="63">
        <v>273.56900000000002</v>
      </c>
      <c r="J83" s="63">
        <v>271.34899999999999</v>
      </c>
      <c r="K83" s="63">
        <v>273.86799999999999</v>
      </c>
      <c r="L83" s="63">
        <v>274.25099999999998</v>
      </c>
      <c r="M83" s="63">
        <v>275.14100000000002</v>
      </c>
      <c r="N83" s="63">
        <v>276.88299999999998</v>
      </c>
    </row>
    <row r="84" spans="1:21" outlineLevel="1" x14ac:dyDescent="0.25">
      <c r="B84" s="45"/>
      <c r="E84" s="63"/>
      <c r="F84" s="63"/>
      <c r="G84" s="63"/>
      <c r="H84" s="63"/>
      <c r="I84" s="63"/>
      <c r="J84" s="63"/>
      <c r="K84" s="63"/>
      <c r="L84" s="63"/>
      <c r="M84" s="63"/>
      <c r="N84" s="63"/>
    </row>
    <row r="85" spans="1:21" x14ac:dyDescent="0.25">
      <c r="B85" s="45"/>
      <c r="E85" s="63"/>
      <c r="F85" s="63"/>
      <c r="G85" s="63"/>
      <c r="H85" s="63"/>
      <c r="I85" s="63"/>
      <c r="J85" s="63"/>
      <c r="K85" s="63"/>
      <c r="L85" s="63"/>
      <c r="M85" s="63"/>
      <c r="N85" s="63"/>
    </row>
    <row r="86" spans="1:21" ht="18" x14ac:dyDescent="0.4">
      <c r="A86" s="33" t="s">
        <v>22</v>
      </c>
      <c r="B86" s="47" t="s">
        <v>114</v>
      </c>
      <c r="C86" s="47"/>
      <c r="D86" s="47"/>
      <c r="E86" s="47"/>
      <c r="F86" s="47"/>
      <c r="G86" s="47"/>
      <c r="H86" s="47"/>
      <c r="I86" s="47"/>
      <c r="J86" s="47"/>
      <c r="K86" s="47"/>
      <c r="L86" s="47"/>
      <c r="M86" s="47"/>
      <c r="N86" s="47"/>
      <c r="O86" s="47"/>
      <c r="P86" s="47"/>
      <c r="Q86" s="47"/>
      <c r="R86" s="47"/>
      <c r="S86" s="47"/>
      <c r="T86" s="47"/>
      <c r="U86" s="47"/>
    </row>
    <row r="87" spans="1:21" outlineLevel="1" x14ac:dyDescent="0.25">
      <c r="B87" s="45"/>
      <c r="E87" s="63"/>
      <c r="F87" s="63"/>
      <c r="G87" s="63"/>
      <c r="H87" s="63"/>
      <c r="I87" s="63"/>
      <c r="J87" s="63"/>
      <c r="K87" s="63"/>
      <c r="L87" s="63"/>
      <c r="M87" s="63"/>
      <c r="N87" s="63"/>
    </row>
    <row r="88" spans="1:21" ht="13" outlineLevel="1" x14ac:dyDescent="0.3">
      <c r="B88" s="49" t="s">
        <v>115</v>
      </c>
      <c r="C88" s="49"/>
      <c r="D88" s="49"/>
      <c r="E88" s="49"/>
      <c r="F88" s="49"/>
      <c r="G88" s="49"/>
      <c r="H88" s="49"/>
      <c r="I88" s="49"/>
      <c r="J88" s="49"/>
      <c r="K88" s="49"/>
      <c r="L88" s="49"/>
      <c r="M88" s="49"/>
      <c r="N88" s="49"/>
      <c r="O88" s="49"/>
      <c r="P88" s="49"/>
      <c r="Q88" s="49"/>
      <c r="R88" s="49"/>
      <c r="S88" s="49"/>
      <c r="T88" s="49"/>
      <c r="U88" s="49"/>
    </row>
    <row r="89" spans="1:21" ht="13" outlineLevel="1" x14ac:dyDescent="0.3">
      <c r="B89" s="1" t="s">
        <v>58</v>
      </c>
      <c r="E89" s="63"/>
      <c r="F89" s="63"/>
      <c r="G89" s="63"/>
      <c r="H89" s="63"/>
      <c r="I89" s="63"/>
      <c r="J89" s="63"/>
      <c r="K89" s="63"/>
      <c r="L89" s="63"/>
      <c r="M89" s="63"/>
      <c r="N89" s="63"/>
    </row>
    <row r="90" spans="1:21" ht="13" outlineLevel="1" x14ac:dyDescent="0.3">
      <c r="B90" s="41"/>
      <c r="C90" s="41"/>
      <c r="D90" s="41"/>
      <c r="E90" s="156">
        <v>2015</v>
      </c>
      <c r="F90" s="156">
        <f>+E90+1</f>
        <v>2016</v>
      </c>
      <c r="G90" s="156">
        <f t="shared" ref="G90" si="62">+F90+1</f>
        <v>2017</v>
      </c>
      <c r="H90" s="156">
        <f t="shared" ref="H90" si="63">+G90+1</f>
        <v>2018</v>
      </c>
      <c r="I90" s="156">
        <f t="shared" ref="I90" si="64">+H90+1</f>
        <v>2019</v>
      </c>
      <c r="J90" s="156">
        <f t="shared" ref="J90" si="65">+I90+1</f>
        <v>2020</v>
      </c>
      <c r="K90" s="156">
        <f t="shared" ref="K90" si="66">+J90+1</f>
        <v>2021</v>
      </c>
      <c r="L90" s="156">
        <f t="shared" ref="L90" si="67">+K90+1</f>
        <v>2022</v>
      </c>
      <c r="M90" s="156">
        <f t="shared" ref="M90" si="68">+L90+1</f>
        <v>2023</v>
      </c>
      <c r="N90" s="156">
        <f t="shared" ref="N90" si="69">+M90+1</f>
        <v>2024</v>
      </c>
      <c r="O90" s="157">
        <f t="shared" ref="O90" si="70">+N90+1</f>
        <v>2025</v>
      </c>
      <c r="P90" s="157">
        <f t="shared" ref="P90" si="71">+O90+1</f>
        <v>2026</v>
      </c>
      <c r="Q90" s="157">
        <f t="shared" ref="Q90" si="72">+P90+1</f>
        <v>2027</v>
      </c>
      <c r="R90" s="157">
        <f t="shared" ref="R90" si="73">+Q90+1</f>
        <v>2028</v>
      </c>
      <c r="S90" s="157">
        <f t="shared" ref="S90" si="74">+R90+1</f>
        <v>2029</v>
      </c>
      <c r="T90" s="157">
        <f t="shared" ref="T90" si="75">+S90+1</f>
        <v>2030</v>
      </c>
      <c r="U90" s="157">
        <f t="shared" ref="U90" si="76">+T90+1</f>
        <v>2031</v>
      </c>
    </row>
    <row r="91" spans="1:21" ht="13.5" outlineLevel="1" thickBot="1" x14ac:dyDescent="0.35">
      <c r="B91" s="73"/>
      <c r="C91" s="73"/>
      <c r="D91" s="73"/>
      <c r="E91" s="158">
        <v>2015</v>
      </c>
      <c r="F91" s="158">
        <f>E91+1</f>
        <v>2016</v>
      </c>
      <c r="G91" s="158">
        <f t="shared" ref="G91" si="77">F91+1</f>
        <v>2017</v>
      </c>
      <c r="H91" s="158">
        <f t="shared" ref="H91" si="78">G91+1</f>
        <v>2018</v>
      </c>
      <c r="I91" s="158">
        <f t="shared" ref="I91" si="79">H91+1</f>
        <v>2019</v>
      </c>
      <c r="J91" s="158">
        <f t="shared" ref="J91" si="80">I91+1</f>
        <v>2020</v>
      </c>
      <c r="K91" s="158">
        <f t="shared" ref="K91" si="81">J91+1</f>
        <v>2021</v>
      </c>
      <c r="L91" s="158">
        <f t="shared" ref="L91" si="82">K91+1</f>
        <v>2022</v>
      </c>
      <c r="M91" s="158">
        <f t="shared" ref="M91" si="83">L91+1</f>
        <v>2023</v>
      </c>
      <c r="N91" s="158">
        <f t="shared" ref="N91" si="84">M91+1</f>
        <v>2024</v>
      </c>
      <c r="O91" s="159">
        <f t="shared" ref="O91" si="85">N91+1</f>
        <v>2025</v>
      </c>
      <c r="P91" s="159">
        <f t="shared" ref="P91" si="86">O91+1</f>
        <v>2026</v>
      </c>
      <c r="Q91" s="159">
        <f t="shared" ref="Q91" si="87">P91+1</f>
        <v>2027</v>
      </c>
      <c r="R91" s="159">
        <f t="shared" ref="R91" si="88">Q91+1</f>
        <v>2028</v>
      </c>
      <c r="S91" s="159">
        <f t="shared" ref="S91" si="89">R91+1</f>
        <v>2029</v>
      </c>
      <c r="T91" s="159">
        <f t="shared" ref="T91" si="90">S91+1</f>
        <v>2030</v>
      </c>
      <c r="U91" s="159">
        <f t="shared" ref="U91" si="91">T91+1</f>
        <v>2031</v>
      </c>
    </row>
    <row r="92" spans="1:21" ht="13" outlineLevel="1" x14ac:dyDescent="0.3">
      <c r="B92" s="175" t="s">
        <v>116</v>
      </c>
      <c r="C92" s="153"/>
      <c r="D92" s="153"/>
      <c r="E92" s="155">
        <f t="shared" ref="E92:M92" si="92">E93+E94+E95</f>
        <v>15872</v>
      </c>
      <c r="F92" s="155">
        <f t="shared" si="92"/>
        <v>19649.442556806585</v>
      </c>
      <c r="G92" s="155">
        <f t="shared" si="92"/>
        <v>20756.759554259799</v>
      </c>
      <c r="H92" s="155">
        <f t="shared" si="92"/>
        <v>22305.350727814195</v>
      </c>
      <c r="I92" s="155">
        <f t="shared" si="92"/>
        <v>25073</v>
      </c>
      <c r="J92" s="155">
        <f t="shared" si="92"/>
        <v>24438</v>
      </c>
      <c r="K92" s="155">
        <f t="shared" si="92"/>
        <v>23531</v>
      </c>
      <c r="L92" s="155">
        <f t="shared" si="92"/>
        <v>17343</v>
      </c>
      <c r="M92" s="155">
        <f t="shared" si="92"/>
        <v>17661</v>
      </c>
      <c r="N92" s="155">
        <f t="shared" ref="N92:T92" si="93">N93+N94+N95</f>
        <v>20078</v>
      </c>
      <c r="O92" s="155">
        <f t="shared" si="93"/>
        <v>21987.818151327228</v>
      </c>
      <c r="P92" s="155">
        <f t="shared" si="93"/>
        <v>23917.111087288136</v>
      </c>
      <c r="Q92" s="155">
        <f t="shared" si="93"/>
        <v>25948.688987857142</v>
      </c>
      <c r="R92" s="155">
        <f t="shared" si="93"/>
        <v>28011.955691718766</v>
      </c>
      <c r="S92" s="155">
        <f t="shared" si="93"/>
        <v>30215.560422556449</v>
      </c>
      <c r="T92" s="155">
        <f t="shared" si="93"/>
        <v>32290.498115302507</v>
      </c>
      <c r="U92" s="155">
        <f t="shared" ref="U92" si="94">U93+U94+U95</f>
        <v>34530.454360448886</v>
      </c>
    </row>
    <row r="93" spans="1:21" outlineLevel="1" x14ac:dyDescent="0.25">
      <c r="B93" s="60" t="str">
        <f t="shared" ref="B93" si="95">B165</f>
        <v>Intangible assets and goodwill</v>
      </c>
      <c r="E93" s="181">
        <f t="shared" ref="E93:N93" si="96">E165+E150</f>
        <v>3570</v>
      </c>
      <c r="F93" s="181">
        <f t="shared" si="96"/>
        <v>5295.4425568065863</v>
      </c>
      <c r="G93" s="181">
        <f t="shared" si="96"/>
        <v>5739.7595542597992</v>
      </c>
      <c r="H93" s="181">
        <f t="shared" si="96"/>
        <v>6516.3507278141942</v>
      </c>
      <c r="I93" s="181">
        <f t="shared" si="96"/>
        <v>6949</v>
      </c>
      <c r="J93" s="181">
        <f t="shared" si="96"/>
        <v>6347</v>
      </c>
      <c r="K93" s="181">
        <f t="shared" si="96"/>
        <v>6398</v>
      </c>
      <c r="L93" s="181">
        <f t="shared" si="96"/>
        <v>4700</v>
      </c>
      <c r="M93" s="181">
        <f t="shared" si="96"/>
        <v>4626</v>
      </c>
      <c r="N93" s="181">
        <f t="shared" si="96"/>
        <v>5164</v>
      </c>
      <c r="O93" s="181">
        <f t="shared" ref="O93:T93" si="97">O442</f>
        <v>5798.7009225442052</v>
      </c>
      <c r="P93" s="181">
        <f t="shared" si="97"/>
        <v>6460.8188071382465</v>
      </c>
      <c r="Q93" s="181">
        <f t="shared" si="97"/>
        <v>7161.8146730973494</v>
      </c>
      <c r="R93" s="181">
        <f t="shared" si="97"/>
        <v>7883.3700742480596</v>
      </c>
      <c r="S93" s="181">
        <f t="shared" si="97"/>
        <v>8645.0336546788785</v>
      </c>
      <c r="T93" s="181">
        <f t="shared" si="97"/>
        <v>9396.0973493377005</v>
      </c>
      <c r="U93" s="181">
        <f t="shared" ref="U93" si="98">U442</f>
        <v>10175.546774488841</v>
      </c>
    </row>
    <row r="94" spans="1:21" outlineLevel="1" x14ac:dyDescent="0.25">
      <c r="B94" s="60" t="str">
        <f>B166</f>
        <v>Property, plant and equipment</v>
      </c>
      <c r="E94" s="181">
        <f t="shared" ref="E94:M94" si="99">E166</f>
        <v>11171</v>
      </c>
      <c r="F94" s="181">
        <f t="shared" si="99"/>
        <v>12988</v>
      </c>
      <c r="G94" s="181">
        <f t="shared" si="99"/>
        <v>13582</v>
      </c>
      <c r="H94" s="181">
        <f t="shared" si="99"/>
        <v>14304</v>
      </c>
      <c r="I94" s="181">
        <f t="shared" si="99"/>
        <v>16900</v>
      </c>
      <c r="J94" s="181">
        <f t="shared" si="99"/>
        <v>17135</v>
      </c>
      <c r="K94" s="181">
        <f t="shared" si="99"/>
        <v>16167</v>
      </c>
      <c r="L94" s="181">
        <f t="shared" si="99"/>
        <v>11705</v>
      </c>
      <c r="M94" s="181">
        <f t="shared" si="99"/>
        <v>12251</v>
      </c>
      <c r="N94" s="181">
        <f>N166</f>
        <v>13861</v>
      </c>
      <c r="O94" s="181">
        <f t="shared" ref="O94:T94" si="100">O415</f>
        <v>15037.21500090701</v>
      </c>
      <c r="P94" s="181">
        <f t="shared" si="100"/>
        <v>16252.17488579328</v>
      </c>
      <c r="Q94" s="181">
        <f t="shared" si="100"/>
        <v>17538.794305228392</v>
      </c>
      <c r="R94" s="181">
        <f t="shared" si="100"/>
        <v>18858.869734235464</v>
      </c>
      <c r="S94" s="181">
        <f t="shared" si="100"/>
        <v>20249.685729088069</v>
      </c>
      <c r="T94" s="181">
        <f t="shared" si="100"/>
        <v>21622.08132220991</v>
      </c>
      <c r="U94" s="181">
        <f t="shared" ref="U94" si="101">U415</f>
        <v>23040.402078928084</v>
      </c>
    </row>
    <row r="95" spans="1:21" outlineLevel="1" x14ac:dyDescent="0.25">
      <c r="B95" s="60" t="str">
        <f>B172</f>
        <v>Other non-current assets</v>
      </c>
      <c r="E95" s="181">
        <f>E172</f>
        <v>1131</v>
      </c>
      <c r="F95" s="181">
        <f t="shared" ref="F95:M95" si="102">F172</f>
        <v>1366</v>
      </c>
      <c r="G95" s="181">
        <f t="shared" si="102"/>
        <v>1435</v>
      </c>
      <c r="H95" s="181">
        <f t="shared" si="102"/>
        <v>1485</v>
      </c>
      <c r="I95" s="181">
        <f t="shared" si="102"/>
        <v>1224</v>
      </c>
      <c r="J95" s="181">
        <f t="shared" si="102"/>
        <v>956</v>
      </c>
      <c r="K95" s="181">
        <f t="shared" si="102"/>
        <v>966</v>
      </c>
      <c r="L95" s="181">
        <f t="shared" si="102"/>
        <v>938</v>
      </c>
      <c r="M95" s="181">
        <f t="shared" si="102"/>
        <v>784</v>
      </c>
      <c r="N95" s="181">
        <f t="shared" ref="N95" si="103">N172</f>
        <v>1053</v>
      </c>
      <c r="O95" s="181">
        <f t="shared" ref="O95:T95" si="104">O446</f>
        <v>1151.9022278760115</v>
      </c>
      <c r="P95" s="181">
        <f t="shared" si="104"/>
        <v>1204.1173943566084</v>
      </c>
      <c r="Q95" s="181">
        <f t="shared" si="104"/>
        <v>1248.0800095314021</v>
      </c>
      <c r="R95" s="181">
        <f t="shared" si="104"/>
        <v>1269.715883235242</v>
      </c>
      <c r="S95" s="181">
        <f t="shared" si="104"/>
        <v>1320.841038789501</v>
      </c>
      <c r="T95" s="181">
        <f t="shared" si="104"/>
        <v>1272.3194437548946</v>
      </c>
      <c r="U95" s="181">
        <f t="shared" ref="U95" si="105">U446</f>
        <v>1314.5055070319677</v>
      </c>
    </row>
    <row r="96" spans="1:21" outlineLevel="1" x14ac:dyDescent="0.25">
      <c r="B96" s="45"/>
      <c r="E96" s="181"/>
      <c r="F96" s="181"/>
      <c r="G96" s="181"/>
      <c r="H96" s="181"/>
      <c r="I96" s="181"/>
      <c r="J96" s="181"/>
      <c r="K96" s="181"/>
      <c r="L96" s="181"/>
      <c r="M96" s="181"/>
      <c r="N96" s="181"/>
    </row>
    <row r="97" spans="2:21" ht="13" outlineLevel="1" x14ac:dyDescent="0.3">
      <c r="B97" s="175" t="s">
        <v>117</v>
      </c>
      <c r="C97" s="153"/>
      <c r="D97" s="153"/>
      <c r="E97" s="155">
        <f t="shared" ref="E97:M97" ca="1" si="106">E98+E99+E100+E101+E102+E103+E104</f>
        <v>12649</v>
      </c>
      <c r="F97" s="155">
        <f t="shared" ca="1" si="106"/>
        <v>14523</v>
      </c>
      <c r="G97" s="155">
        <f t="shared" ca="1" si="106"/>
        <v>14450</v>
      </c>
      <c r="H97" s="155">
        <f t="shared" ca="1" si="106"/>
        <v>14279</v>
      </c>
      <c r="I97" s="155">
        <f t="shared" ca="1" si="106"/>
        <v>14645</v>
      </c>
      <c r="J97" s="155">
        <f t="shared" ca="1" si="106"/>
        <v>15582.230318781716</v>
      </c>
      <c r="K97" s="155">
        <f t="shared" ca="1" si="106"/>
        <v>15370.4802220399</v>
      </c>
      <c r="L97" s="155">
        <f t="shared" ca="1" si="106"/>
        <v>17868.385426336725</v>
      </c>
      <c r="M97" s="155">
        <f t="shared" ca="1" si="106"/>
        <v>18922</v>
      </c>
      <c r="N97" s="155">
        <f t="shared" ref="N97:T97" ca="1" si="107">N98+N99+N100+N101+N102+N103+N104</f>
        <v>18272.409621983592</v>
      </c>
      <c r="O97" s="155">
        <f t="shared" si="107"/>
        <v>18047.10115279688</v>
      </c>
      <c r="P97" s="155">
        <f t="shared" si="107"/>
        <v>18880.600208116848</v>
      </c>
      <c r="Q97" s="155">
        <f t="shared" si="107"/>
        <v>19545.750923947526</v>
      </c>
      <c r="R97" s="155">
        <f t="shared" si="107"/>
        <v>19873.869988007486</v>
      </c>
      <c r="S97" s="155">
        <f t="shared" si="107"/>
        <v>20669.538486232199</v>
      </c>
      <c r="T97" s="155">
        <f t="shared" si="107"/>
        <v>19981.009931824352</v>
      </c>
      <c r="U97" s="155">
        <f t="shared" ref="U97" si="108">U98+U99+U100+U101+U102+U103+U104</f>
        <v>20647.894785459139</v>
      </c>
    </row>
    <row r="98" spans="2:21" outlineLevel="1" x14ac:dyDescent="0.25">
      <c r="B98" s="60" t="str">
        <f>B175</f>
        <v>Inventories</v>
      </c>
      <c r="E98" s="181">
        <f t="shared" ref="E98:M98" si="109">E175</f>
        <v>4128</v>
      </c>
      <c r="F98" s="181">
        <f t="shared" si="109"/>
        <v>5821</v>
      </c>
      <c r="G98" s="181">
        <f t="shared" si="109"/>
        <v>6328</v>
      </c>
      <c r="H98" s="181">
        <f t="shared" si="109"/>
        <v>5879</v>
      </c>
      <c r="I98" s="181">
        <f t="shared" si="109"/>
        <v>5780</v>
      </c>
      <c r="J98" s="181">
        <f t="shared" si="109"/>
        <v>5640</v>
      </c>
      <c r="K98" s="181">
        <f t="shared" si="109"/>
        <v>4792</v>
      </c>
      <c r="L98" s="181">
        <f t="shared" si="109"/>
        <v>5213</v>
      </c>
      <c r="M98" s="181">
        <f t="shared" si="109"/>
        <v>4924</v>
      </c>
      <c r="N98" s="181">
        <f t="shared" ref="N98" si="110">N175</f>
        <v>5468</v>
      </c>
      <c r="O98" s="181">
        <f t="shared" ref="O98:T100" si="111">O467</f>
        <v>5579.564182183226</v>
      </c>
      <c r="P98" s="181">
        <f t="shared" si="111"/>
        <v>5794.7883779599688</v>
      </c>
      <c r="Q98" s="181">
        <f t="shared" si="111"/>
        <v>6021.7649991949102</v>
      </c>
      <c r="R98" s="181">
        <f t="shared" si="111"/>
        <v>6132.5072380856727</v>
      </c>
      <c r="S98" s="181">
        <f t="shared" si="111"/>
        <v>6368.777243888494</v>
      </c>
      <c r="T98" s="181">
        <f t="shared" si="111"/>
        <v>6061.2639194555513</v>
      </c>
      <c r="U98" s="181">
        <f t="shared" ref="U98" si="112">U467</f>
        <v>6243.3017730895272</v>
      </c>
    </row>
    <row r="99" spans="2:21" outlineLevel="1" x14ac:dyDescent="0.25">
      <c r="B99" s="60" t="s">
        <v>118</v>
      </c>
      <c r="E99" s="181">
        <f t="shared" ref="E99:M99" si="113">E176</f>
        <v>28605</v>
      </c>
      <c r="F99" s="181">
        <f t="shared" si="113"/>
        <v>34358</v>
      </c>
      <c r="G99" s="181">
        <f t="shared" si="113"/>
        <v>39334</v>
      </c>
      <c r="H99" s="181">
        <f t="shared" si="113"/>
        <v>42067</v>
      </c>
      <c r="I99" s="181">
        <f t="shared" si="113"/>
        <v>45374</v>
      </c>
      <c r="J99" s="181">
        <f t="shared" si="113"/>
        <v>40820</v>
      </c>
      <c r="K99" s="181">
        <f t="shared" si="113"/>
        <v>39498</v>
      </c>
      <c r="L99" s="181">
        <f t="shared" si="113"/>
        <v>44247</v>
      </c>
      <c r="M99" s="181">
        <f t="shared" si="113"/>
        <v>49615</v>
      </c>
      <c r="N99" s="181">
        <f t="shared" ref="N99" si="114">N176</f>
        <v>54355</v>
      </c>
      <c r="O99" s="181">
        <f t="shared" si="111"/>
        <v>53650.240750389574</v>
      </c>
      <c r="P99" s="181">
        <f t="shared" si="111"/>
        <v>56082.180011129705</v>
      </c>
      <c r="Q99" s="181">
        <f t="shared" si="111"/>
        <v>58129.753868585845</v>
      </c>
      <c r="R99" s="181">
        <f t="shared" si="111"/>
        <v>59137.45209588798</v>
      </c>
      <c r="S99" s="181">
        <f t="shared" si="111"/>
        <v>61518.623724442507</v>
      </c>
      <c r="T99" s="181">
        <f t="shared" si="111"/>
        <v>59258.713818721109</v>
      </c>
      <c r="U99" s="181">
        <f t="shared" ref="U99" si="115">U468</f>
        <v>61223.544163132734</v>
      </c>
    </row>
    <row r="100" spans="2:21" outlineLevel="1" x14ac:dyDescent="0.25">
      <c r="B100" s="60" t="s">
        <v>119</v>
      </c>
      <c r="E100" s="215">
        <f t="shared" ref="E100:M100" si="116">E177+E184</f>
        <v>4330</v>
      </c>
      <c r="F100" s="215">
        <f t="shared" si="116"/>
        <v>5526</v>
      </c>
      <c r="G100" s="215">
        <f t="shared" si="116"/>
        <v>5767</v>
      </c>
      <c r="H100" s="215">
        <f t="shared" si="116"/>
        <v>5178</v>
      </c>
      <c r="I100" s="215">
        <f t="shared" si="116"/>
        <v>5340</v>
      </c>
      <c r="J100" s="215">
        <f t="shared" si="116"/>
        <v>4784</v>
      </c>
      <c r="K100" s="215">
        <f t="shared" si="116"/>
        <v>4476</v>
      </c>
      <c r="L100" s="215">
        <f t="shared" si="116"/>
        <v>5095</v>
      </c>
      <c r="M100" s="215">
        <f t="shared" si="116"/>
        <v>5647</v>
      </c>
      <c r="N100" s="215">
        <f>N177+N184</f>
        <v>6137</v>
      </c>
      <c r="O100" s="181">
        <f t="shared" si="111"/>
        <v>6311.7930294575963</v>
      </c>
      <c r="P100" s="181">
        <f t="shared" si="111"/>
        <v>6597.9035307211416</v>
      </c>
      <c r="Q100" s="181">
        <f t="shared" si="111"/>
        <v>6838.7945727748056</v>
      </c>
      <c r="R100" s="181">
        <f t="shared" si="111"/>
        <v>6957.3473053985854</v>
      </c>
      <c r="S100" s="181">
        <f t="shared" si="111"/>
        <v>7237.4851440520597</v>
      </c>
      <c r="T100" s="181">
        <f t="shared" si="111"/>
        <v>6971.6133904377775</v>
      </c>
      <c r="U100" s="181">
        <f t="shared" ref="U100" si="117">U469</f>
        <v>7202.7699015450271</v>
      </c>
    </row>
    <row r="101" spans="2:21" outlineLevel="1" x14ac:dyDescent="0.25">
      <c r="B101" s="60" t="str">
        <f>B180</f>
        <v>Derivatives of financing operations by the Automotive segment</v>
      </c>
      <c r="E101" s="181">
        <f t="shared" ref="E101:M101" si="118">E180</f>
        <v>488</v>
      </c>
      <c r="F101" s="181">
        <f t="shared" si="118"/>
        <v>539</v>
      </c>
      <c r="G101" s="181">
        <f t="shared" si="118"/>
        <v>263</v>
      </c>
      <c r="H101" s="181">
        <f t="shared" si="118"/>
        <v>378</v>
      </c>
      <c r="I101" s="181">
        <f t="shared" si="118"/>
        <v>216</v>
      </c>
      <c r="J101" s="181">
        <f t="shared" si="118"/>
        <v>298</v>
      </c>
      <c r="K101" s="181">
        <f t="shared" si="118"/>
        <v>181</v>
      </c>
      <c r="L101" s="181">
        <f t="shared" si="118"/>
        <v>410</v>
      </c>
      <c r="M101" s="181">
        <f t="shared" si="118"/>
        <v>119</v>
      </c>
      <c r="N101" s="181">
        <f t="shared" ref="N101" si="119">N180</f>
        <v>356</v>
      </c>
      <c r="O101" s="181">
        <f t="shared" ref="O101:T102" si="120">O473</f>
        <v>324.8</v>
      </c>
      <c r="P101" s="181">
        <f t="shared" si="120"/>
        <v>324.8</v>
      </c>
      <c r="Q101" s="181">
        <f t="shared" si="120"/>
        <v>324.8</v>
      </c>
      <c r="R101" s="181">
        <f t="shared" si="120"/>
        <v>324.8</v>
      </c>
      <c r="S101" s="181">
        <f t="shared" si="120"/>
        <v>324.8</v>
      </c>
      <c r="T101" s="181">
        <f t="shared" si="120"/>
        <v>324.8</v>
      </c>
      <c r="U101" s="181">
        <f t="shared" ref="U101" si="121">U473</f>
        <v>324.8</v>
      </c>
    </row>
    <row r="102" spans="2:21" outlineLevel="1" x14ac:dyDescent="0.25">
      <c r="B102" s="60" t="str">
        <f>B186</f>
        <v>Operating Cash</v>
      </c>
      <c r="E102" s="181">
        <f t="shared" ref="E102:M102" ca="1" si="122">E186</f>
        <v>14133</v>
      </c>
      <c r="F102" s="181">
        <f t="shared" ca="1" si="122"/>
        <v>13853</v>
      </c>
      <c r="G102" s="181">
        <f t="shared" ca="1" si="122"/>
        <v>14057</v>
      </c>
      <c r="H102" s="181">
        <f t="shared" ca="1" si="122"/>
        <v>14777</v>
      </c>
      <c r="I102" s="181">
        <f t="shared" ca="1" si="122"/>
        <v>14982</v>
      </c>
      <c r="J102" s="181">
        <f t="shared" ca="1" si="122"/>
        <v>19864.230318781712</v>
      </c>
      <c r="K102" s="181">
        <f t="shared" ca="1" si="122"/>
        <v>19521.4802220399</v>
      </c>
      <c r="L102" s="181">
        <f t="shared" ca="1" si="122"/>
        <v>20307.385426336725</v>
      </c>
      <c r="M102" s="181">
        <f t="shared" ca="1" si="122"/>
        <v>20677</v>
      </c>
      <c r="N102" s="181">
        <f t="shared" ref="N102" ca="1" si="123">N186</f>
        <v>22203.409621983592</v>
      </c>
      <c r="O102" s="181">
        <f t="shared" si="120"/>
        <v>22185.952498543455</v>
      </c>
      <c r="P102" s="181">
        <f t="shared" si="120"/>
        <v>23191.630910484815</v>
      </c>
      <c r="Q102" s="181">
        <f t="shared" si="120"/>
        <v>24038.362923303441</v>
      </c>
      <c r="R102" s="181">
        <f t="shared" si="120"/>
        <v>24455.075778476028</v>
      </c>
      <c r="S102" s="181">
        <f t="shared" si="120"/>
        <v>25439.760281342991</v>
      </c>
      <c r="T102" s="181">
        <f t="shared" si="120"/>
        <v>24505.221067388789</v>
      </c>
      <c r="U102" s="181">
        <f t="shared" ref="U102" si="124">U474</f>
        <v>25317.73620393077</v>
      </c>
    </row>
    <row r="103" spans="2:21" outlineLevel="1" x14ac:dyDescent="0.25">
      <c r="B103" s="60" t="str">
        <f>B219</f>
        <v>Sales financing debts</v>
      </c>
      <c r="E103" s="181">
        <f t="shared" ref="E103:M103" si="125">-E219</f>
        <v>-30740</v>
      </c>
      <c r="F103" s="181">
        <f t="shared" si="125"/>
        <v>-36041</v>
      </c>
      <c r="G103" s="181">
        <f t="shared" si="125"/>
        <v>-41395</v>
      </c>
      <c r="H103" s="181">
        <f t="shared" si="125"/>
        <v>-44495</v>
      </c>
      <c r="I103" s="181">
        <f t="shared" si="125"/>
        <v>-47465</v>
      </c>
      <c r="J103" s="181">
        <f t="shared" si="125"/>
        <v>-47547</v>
      </c>
      <c r="K103" s="181">
        <f t="shared" si="125"/>
        <v>-45123</v>
      </c>
      <c r="L103" s="181">
        <f t="shared" si="125"/>
        <v>-48999</v>
      </c>
      <c r="M103" s="181">
        <f t="shared" si="125"/>
        <v>-54095</v>
      </c>
      <c r="N103" s="181">
        <f t="shared" ref="N103" si="126">-N219</f>
        <v>-60438</v>
      </c>
      <c r="O103" s="181">
        <f t="shared" ref="O103:T103" si="127">O471</f>
        <v>-59962.033779847166</v>
      </c>
      <c r="P103" s="181">
        <f t="shared" si="127"/>
        <v>-62680.083541850843</v>
      </c>
      <c r="Q103" s="181">
        <f t="shared" si="127"/>
        <v>-64968.548441360646</v>
      </c>
      <c r="R103" s="181">
        <f t="shared" si="127"/>
        <v>-66094.799401286567</v>
      </c>
      <c r="S103" s="181">
        <f t="shared" si="127"/>
        <v>-68756.108868494557</v>
      </c>
      <c r="T103" s="181">
        <f t="shared" si="127"/>
        <v>-66230.327209158888</v>
      </c>
      <c r="U103" s="181">
        <f t="shared" ref="U103" si="128">U471</f>
        <v>-68426.314064677761</v>
      </c>
    </row>
    <row r="104" spans="2:21" outlineLevel="1" x14ac:dyDescent="0.25">
      <c r="B104" s="60" t="s">
        <v>120</v>
      </c>
      <c r="E104" s="181">
        <f t="shared" ref="E104:M104" si="129">-E220</f>
        <v>-8295</v>
      </c>
      <c r="F104" s="181">
        <f t="shared" si="129"/>
        <v>-9533</v>
      </c>
      <c r="G104" s="181">
        <f t="shared" si="129"/>
        <v>-9904</v>
      </c>
      <c r="H104" s="181">
        <f t="shared" si="129"/>
        <v>-9505</v>
      </c>
      <c r="I104" s="181">
        <f t="shared" si="129"/>
        <v>-9582</v>
      </c>
      <c r="J104" s="181">
        <f t="shared" si="129"/>
        <v>-8277</v>
      </c>
      <c r="K104" s="181">
        <f t="shared" si="129"/>
        <v>-7975</v>
      </c>
      <c r="L104" s="181">
        <f t="shared" si="129"/>
        <v>-8405</v>
      </c>
      <c r="M104" s="181">
        <f t="shared" si="129"/>
        <v>-7965</v>
      </c>
      <c r="N104" s="181">
        <f t="shared" ref="N104" si="130">-N220</f>
        <v>-9809</v>
      </c>
      <c r="O104" s="181">
        <f t="shared" ref="O104:T104" si="131">O470</f>
        <v>-10043.215527929808</v>
      </c>
      <c r="P104" s="181">
        <f t="shared" si="131"/>
        <v>-10430.619080327944</v>
      </c>
      <c r="Q104" s="181">
        <f t="shared" si="131"/>
        <v>-10839.176998550838</v>
      </c>
      <c r="R104" s="181">
        <f t="shared" si="131"/>
        <v>-11038.513028554211</v>
      </c>
      <c r="S104" s="181">
        <f t="shared" si="131"/>
        <v>-11463.799038999288</v>
      </c>
      <c r="T104" s="181">
        <f t="shared" si="131"/>
        <v>-10910.275055019993</v>
      </c>
      <c r="U104" s="181">
        <f t="shared" ref="U104" si="132">U470</f>
        <v>-11237.943191561149</v>
      </c>
    </row>
    <row r="105" spans="2:21" outlineLevel="1" x14ac:dyDescent="0.25">
      <c r="B105" s="60"/>
      <c r="E105" s="181"/>
      <c r="F105" s="181"/>
      <c r="G105" s="181"/>
      <c r="H105" s="181"/>
      <c r="I105" s="181"/>
      <c r="J105" s="181"/>
      <c r="K105" s="181"/>
      <c r="L105" s="181"/>
      <c r="M105" s="181"/>
      <c r="N105" s="181"/>
      <c r="O105" s="181"/>
      <c r="P105" s="181"/>
      <c r="Q105" s="181"/>
      <c r="R105" s="181"/>
      <c r="S105" s="181"/>
      <c r="T105" s="181"/>
      <c r="U105" s="181"/>
    </row>
    <row r="106" spans="2:21" ht="13" outlineLevel="1" x14ac:dyDescent="0.3">
      <c r="B106" s="175" t="s">
        <v>121</v>
      </c>
      <c r="C106" s="153"/>
      <c r="D106" s="153"/>
      <c r="E106" s="155">
        <f t="shared" ref="E106:M106" si="133">+E107+E109+E110+E108</f>
        <v>-12331</v>
      </c>
      <c r="F106" s="155">
        <f t="shared" si="133"/>
        <v>-14549</v>
      </c>
      <c r="G106" s="155">
        <f t="shared" si="133"/>
        <v>-15247</v>
      </c>
      <c r="H106" s="155">
        <f t="shared" si="133"/>
        <v>-15894</v>
      </c>
      <c r="I106" s="155">
        <f t="shared" si="133"/>
        <v>-17170</v>
      </c>
      <c r="J106" s="155">
        <f t="shared" si="133"/>
        <v>-16061</v>
      </c>
      <c r="K106" s="155">
        <f t="shared" si="133"/>
        <v>-14775</v>
      </c>
      <c r="L106" s="155">
        <f t="shared" si="133"/>
        <v>-14592</v>
      </c>
      <c r="M106" s="155">
        <f t="shared" si="133"/>
        <v>-15025</v>
      </c>
      <c r="N106" s="155">
        <f t="shared" ref="N106:T106" si="134">+N107+N109+N110+N108</f>
        <v>-15980</v>
      </c>
      <c r="O106" s="155">
        <f t="shared" si="134"/>
        <v>-16239.517608596012</v>
      </c>
      <c r="P106" s="155">
        <f t="shared" si="134"/>
        <v>-16975.647025639464</v>
      </c>
      <c r="Q106" s="155">
        <f t="shared" si="134"/>
        <v>-17595.431974373707</v>
      </c>
      <c r="R106" s="155">
        <f t="shared" si="134"/>
        <v>-17900.454521850443</v>
      </c>
      <c r="S106" s="155">
        <f t="shared" si="134"/>
        <v>-18621.21696485439</v>
      </c>
      <c r="T106" s="155">
        <f t="shared" si="134"/>
        <v>-17937.159518056505</v>
      </c>
      <c r="U106" s="155">
        <f t="shared" ref="U106" si="135">+U107+U109+U110+U108</f>
        <v>-18531.898638136681</v>
      </c>
    </row>
    <row r="107" spans="2:21" outlineLevel="1" x14ac:dyDescent="0.25">
      <c r="B107" s="60" t="s">
        <v>122</v>
      </c>
      <c r="E107" s="181">
        <f t="shared" ref="E107:M107" si="136">E153</f>
        <v>-807</v>
      </c>
      <c r="F107" s="181">
        <f t="shared" si="136"/>
        <v>-697</v>
      </c>
      <c r="G107" s="181">
        <f t="shared" si="136"/>
        <v>-1053</v>
      </c>
      <c r="H107" s="181">
        <f t="shared" si="136"/>
        <v>-1437</v>
      </c>
      <c r="I107" s="181">
        <f t="shared" si="136"/>
        <v>-1695</v>
      </c>
      <c r="J107" s="181">
        <f t="shared" si="136"/>
        <v>-1402</v>
      </c>
      <c r="K107" s="181">
        <f t="shared" si="136"/>
        <v>-1495</v>
      </c>
      <c r="L107" s="181">
        <f t="shared" si="136"/>
        <v>-1527</v>
      </c>
      <c r="M107" s="181">
        <f t="shared" si="136"/>
        <v>-1410</v>
      </c>
      <c r="N107" s="181">
        <f>N153</f>
        <v>-1269</v>
      </c>
      <c r="O107" s="181">
        <f t="shared" ref="O107:T110" si="137">O492</f>
        <v>-1290.1304952211331</v>
      </c>
      <c r="P107" s="181">
        <f t="shared" si="137"/>
        <v>-1348.6114816794015</v>
      </c>
      <c r="Q107" s="181">
        <f t="shared" si="137"/>
        <v>-1397.8496106751702</v>
      </c>
      <c r="R107" s="181">
        <f t="shared" si="137"/>
        <v>-1422.0817892234711</v>
      </c>
      <c r="S107" s="181">
        <f t="shared" si="137"/>
        <v>-1479.3419634442414</v>
      </c>
      <c r="T107" s="181">
        <f t="shared" si="137"/>
        <v>-1424.997777005482</v>
      </c>
      <c r="U107" s="181">
        <f t="shared" ref="U107" si="138">U492</f>
        <v>-1472.2461678758041</v>
      </c>
    </row>
    <row r="108" spans="2:21" outlineLevel="1" x14ac:dyDescent="0.25">
      <c r="B108" s="60" t="s">
        <v>123</v>
      </c>
      <c r="E108" s="181">
        <f t="shared" ref="E108:M108" si="139">-E221</f>
        <v>-219</v>
      </c>
      <c r="F108" s="181">
        <f t="shared" si="139"/>
        <v>-321</v>
      </c>
      <c r="G108" s="181">
        <f t="shared" si="139"/>
        <v>-246</v>
      </c>
      <c r="H108" s="181">
        <f t="shared" si="139"/>
        <v>-289</v>
      </c>
      <c r="I108" s="181">
        <f t="shared" si="139"/>
        <v>-223</v>
      </c>
      <c r="J108" s="181">
        <f t="shared" si="139"/>
        <v>-221</v>
      </c>
      <c r="K108" s="181">
        <f t="shared" si="139"/>
        <v>-266</v>
      </c>
      <c r="L108" s="181">
        <f t="shared" si="139"/>
        <v>-312</v>
      </c>
      <c r="M108" s="181">
        <f t="shared" si="139"/>
        <v>-359</v>
      </c>
      <c r="N108" s="181">
        <f>-N221</f>
        <v>-370</v>
      </c>
      <c r="O108" s="181">
        <f t="shared" si="137"/>
        <v>-354.78588618581153</v>
      </c>
      <c r="P108" s="181">
        <f t="shared" si="137"/>
        <v>-370.86815746183538</v>
      </c>
      <c r="Q108" s="181">
        <f t="shared" si="137"/>
        <v>-384.40864293567182</v>
      </c>
      <c r="R108" s="181">
        <f t="shared" si="137"/>
        <v>-391.07249203645455</v>
      </c>
      <c r="S108" s="181">
        <f t="shared" si="137"/>
        <v>-406.81903994716635</v>
      </c>
      <c r="T108" s="181">
        <f t="shared" si="137"/>
        <v>-391.87438867650752</v>
      </c>
      <c r="U108" s="181">
        <f t="shared" ref="U108" si="140">U493</f>
        <v>-404.86769616584604</v>
      </c>
    </row>
    <row r="109" spans="2:21" outlineLevel="1" x14ac:dyDescent="0.25">
      <c r="B109" s="60" t="s">
        <v>124</v>
      </c>
      <c r="E109" s="181">
        <f t="shared" ref="E109:M109" si="141">(E215+E206)*(-1)</f>
        <v>-2175</v>
      </c>
      <c r="F109" s="181">
        <f t="shared" si="141"/>
        <v>-2562</v>
      </c>
      <c r="G109" s="181">
        <f t="shared" si="141"/>
        <v>-2429</v>
      </c>
      <c r="H109" s="181">
        <f t="shared" si="141"/>
        <v>-2668</v>
      </c>
      <c r="I109" s="181">
        <f t="shared" si="141"/>
        <v>-2717</v>
      </c>
      <c r="J109" s="181">
        <f t="shared" si="141"/>
        <v>-3111</v>
      </c>
      <c r="K109" s="181">
        <f t="shared" si="141"/>
        <v>-3064</v>
      </c>
      <c r="L109" s="181">
        <f t="shared" si="141"/>
        <v>-2683</v>
      </c>
      <c r="M109" s="181">
        <f t="shared" si="141"/>
        <v>-2610</v>
      </c>
      <c r="N109" s="181">
        <f>(N215+N206)*(-1)</f>
        <v>-2630</v>
      </c>
      <c r="O109" s="181">
        <f>O494</f>
        <v>-2741.5273023449081</v>
      </c>
      <c r="P109" s="181">
        <f t="shared" si="137"/>
        <v>-2865.7993985687285</v>
      </c>
      <c r="Q109" s="181">
        <f t="shared" si="137"/>
        <v>-2970.4304226847371</v>
      </c>
      <c r="R109" s="181">
        <f t="shared" si="137"/>
        <v>-3021.9238020998764</v>
      </c>
      <c r="S109" s="181">
        <f t="shared" si="137"/>
        <v>-3143.6016723190128</v>
      </c>
      <c r="T109" s="181">
        <f t="shared" si="137"/>
        <v>-3028.1202761366494</v>
      </c>
      <c r="U109" s="181">
        <f t="shared" ref="U109" si="142">U494</f>
        <v>-3128.5231067360837</v>
      </c>
    </row>
    <row r="110" spans="2:21" outlineLevel="1" x14ac:dyDescent="0.25">
      <c r="B110" s="60" t="s">
        <v>125</v>
      </c>
      <c r="E110" s="181">
        <f t="shared" ref="E110:M110" si="143">(E210+E222)*(-1)</f>
        <v>-9130</v>
      </c>
      <c r="F110" s="181">
        <f t="shared" si="143"/>
        <v>-10969</v>
      </c>
      <c r="G110" s="181">
        <f t="shared" si="143"/>
        <v>-11519</v>
      </c>
      <c r="H110" s="181">
        <f t="shared" si="143"/>
        <v>-11500</v>
      </c>
      <c r="I110" s="181">
        <f t="shared" si="143"/>
        <v>-12535</v>
      </c>
      <c r="J110" s="181">
        <f t="shared" si="143"/>
        <v>-11327</v>
      </c>
      <c r="K110" s="181">
        <f t="shared" si="143"/>
        <v>-9950</v>
      </c>
      <c r="L110" s="181">
        <f t="shared" si="143"/>
        <v>-10070</v>
      </c>
      <c r="M110" s="181">
        <f t="shared" si="143"/>
        <v>-10646</v>
      </c>
      <c r="N110" s="181">
        <f>(N210+N222)*(-1)</f>
        <v>-11711</v>
      </c>
      <c r="O110" s="181">
        <f t="shared" si="137"/>
        <v>-11853.073924844159</v>
      </c>
      <c r="P110" s="181">
        <f t="shared" si="137"/>
        <v>-12390.367987929501</v>
      </c>
      <c r="Q110" s="181">
        <f t="shared" si="137"/>
        <v>-12842.743298078127</v>
      </c>
      <c r="R110" s="181">
        <f t="shared" si="137"/>
        <v>-13065.376438490641</v>
      </c>
      <c r="S110" s="181">
        <f t="shared" si="137"/>
        <v>-13591.454289143967</v>
      </c>
      <c r="T110" s="181">
        <f t="shared" si="137"/>
        <v>-13092.167076237865</v>
      </c>
      <c r="U110" s="181">
        <f t="shared" ref="U110" si="144">U495</f>
        <v>-13526.261667358949</v>
      </c>
    </row>
    <row r="111" spans="2:21" outlineLevel="1" x14ac:dyDescent="0.25">
      <c r="B111" s="60"/>
      <c r="E111" s="181"/>
      <c r="F111" s="181"/>
      <c r="G111" s="181"/>
      <c r="H111" s="181"/>
      <c r="I111" s="181"/>
      <c r="J111" s="181"/>
      <c r="K111" s="181"/>
      <c r="L111" s="181"/>
      <c r="M111" s="181"/>
      <c r="N111" s="181"/>
      <c r="O111" s="181"/>
      <c r="P111" s="181"/>
      <c r="Q111" s="181"/>
      <c r="R111" s="181"/>
      <c r="S111" s="181"/>
      <c r="T111" s="181"/>
      <c r="U111" s="181"/>
    </row>
    <row r="112" spans="2:21" ht="13" outlineLevel="1" x14ac:dyDescent="0.3">
      <c r="B112" s="180" t="s">
        <v>126</v>
      </c>
      <c r="C112" s="153"/>
      <c r="D112" s="153"/>
      <c r="E112" s="155">
        <f ca="1">E106+E97+E92</f>
        <v>16190</v>
      </c>
      <c r="F112" s="155">
        <f t="shared" ref="F112:M112" ca="1" si="145">F106+F97+F92</f>
        <v>19623.442556806585</v>
      </c>
      <c r="G112" s="155">
        <f t="shared" ca="1" si="145"/>
        <v>19959.759554259799</v>
      </c>
      <c r="H112" s="155">
        <f t="shared" ca="1" si="145"/>
        <v>20690.350727814195</v>
      </c>
      <c r="I112" s="155">
        <f t="shared" ca="1" si="145"/>
        <v>22548</v>
      </c>
      <c r="J112" s="155">
        <f t="shared" ca="1" si="145"/>
        <v>23959.230318781716</v>
      </c>
      <c r="K112" s="155">
        <f t="shared" ca="1" si="145"/>
        <v>24126.4802220399</v>
      </c>
      <c r="L112" s="155">
        <f t="shared" ca="1" si="145"/>
        <v>20619.385426336725</v>
      </c>
      <c r="M112" s="155">
        <f t="shared" ca="1" si="145"/>
        <v>21558</v>
      </c>
      <c r="N112" s="155">
        <f t="shared" ref="N112:T112" ca="1" si="146">N106+N97+N92</f>
        <v>22370.409621983592</v>
      </c>
      <c r="O112" s="155">
        <f t="shared" si="146"/>
        <v>23795.401695528097</v>
      </c>
      <c r="P112" s="155">
        <f t="shared" si="146"/>
        <v>25822.06426976552</v>
      </c>
      <c r="Q112" s="155">
        <f t="shared" si="146"/>
        <v>27899.007937430961</v>
      </c>
      <c r="R112" s="155">
        <f t="shared" si="146"/>
        <v>29985.371157875808</v>
      </c>
      <c r="S112" s="155">
        <f t="shared" si="146"/>
        <v>32263.881943934259</v>
      </c>
      <c r="T112" s="155">
        <f t="shared" si="146"/>
        <v>34334.348529070354</v>
      </c>
      <c r="U112" s="155">
        <f t="shared" ref="U112" si="147">U106+U97+U92</f>
        <v>36646.45050777134</v>
      </c>
    </row>
    <row r="113" spans="2:21" outlineLevel="1" x14ac:dyDescent="0.25">
      <c r="B113" s="60"/>
      <c r="E113" s="345"/>
      <c r="F113" s="345"/>
      <c r="G113" s="345"/>
      <c r="H113" s="345"/>
      <c r="I113" s="345"/>
      <c r="J113" s="345"/>
      <c r="K113" s="345"/>
      <c r="L113" s="345"/>
      <c r="M113" s="345"/>
      <c r="N113" s="345"/>
      <c r="O113" s="345"/>
      <c r="P113" s="345"/>
      <c r="Q113" s="345"/>
      <c r="R113" s="345"/>
      <c r="S113" s="345"/>
      <c r="T113" s="345"/>
      <c r="U113" s="345"/>
    </row>
    <row r="114" spans="2:21" ht="13" outlineLevel="1" x14ac:dyDescent="0.3">
      <c r="B114" s="175" t="s">
        <v>127</v>
      </c>
      <c r="C114" s="153"/>
      <c r="D114" s="153"/>
      <c r="E114" s="155">
        <f t="shared" ref="E114:N114" ca="1" si="148">E115+E116+E117+E118+E119+E120</f>
        <v>23474</v>
      </c>
      <c r="F114" s="155">
        <f t="shared" ca="1" si="148"/>
        <v>23073</v>
      </c>
      <c r="G114" s="155">
        <f t="shared" ca="1" si="148"/>
        <v>24373</v>
      </c>
      <c r="H114" s="155">
        <f t="shared" ca="1" si="148"/>
        <v>25847</v>
      </c>
      <c r="I114" s="155">
        <f t="shared" ca="1" si="148"/>
        <v>25565</v>
      </c>
      <c r="J114" s="155">
        <f t="shared" ca="1" si="148"/>
        <v>19977.769681218288</v>
      </c>
      <c r="K114" s="155">
        <f t="shared" ca="1" si="148"/>
        <v>21945.5197779601</v>
      </c>
      <c r="L114" s="155">
        <f t="shared" ca="1" si="148"/>
        <v>26027.614573663275</v>
      </c>
      <c r="M114" s="155">
        <f t="shared" ca="1" si="148"/>
        <v>23334</v>
      </c>
      <c r="N114" s="155">
        <f t="shared" ca="1" si="148"/>
        <v>20829.590378016408</v>
      </c>
      <c r="O114"/>
      <c r="P114"/>
      <c r="Q114"/>
      <c r="R114"/>
      <c r="S114"/>
      <c r="T114"/>
      <c r="U114"/>
    </row>
    <row r="115" spans="2:21" outlineLevel="1" x14ac:dyDescent="0.25">
      <c r="B115" s="60" t="str">
        <f>B167</f>
        <v>Investments in associates and joint ventures</v>
      </c>
      <c r="E115" s="181">
        <f t="shared" ref="E115:M115" si="149">E167</f>
        <v>19356</v>
      </c>
      <c r="F115" s="181">
        <f t="shared" si="149"/>
        <v>19026</v>
      </c>
      <c r="G115" s="181">
        <f t="shared" si="149"/>
        <v>19811</v>
      </c>
      <c r="H115" s="181">
        <f t="shared" si="149"/>
        <v>21439</v>
      </c>
      <c r="I115" s="181">
        <f t="shared" si="149"/>
        <v>21232</v>
      </c>
      <c r="J115" s="181">
        <f t="shared" si="149"/>
        <v>15120</v>
      </c>
      <c r="K115" s="181">
        <f t="shared" si="149"/>
        <v>16955</v>
      </c>
      <c r="L115" s="181">
        <f t="shared" si="149"/>
        <v>18210</v>
      </c>
      <c r="M115" s="181">
        <f t="shared" si="149"/>
        <v>16554</v>
      </c>
      <c r="N115" s="181">
        <f t="shared" ref="N115" si="150">N167</f>
        <v>17063</v>
      </c>
      <c r="O115"/>
      <c r="P115"/>
      <c r="Q115"/>
      <c r="R115"/>
      <c r="S115"/>
      <c r="T115"/>
      <c r="U115"/>
    </row>
    <row r="116" spans="2:21" outlineLevel="1" x14ac:dyDescent="0.25">
      <c r="B116" s="60" t="s">
        <v>128</v>
      </c>
      <c r="E116" s="181">
        <f t="shared" ref="E116:M116" si="151">E170+E179+E181</f>
        <v>2750</v>
      </c>
      <c r="F116" s="181">
        <f t="shared" si="151"/>
        <v>2761</v>
      </c>
      <c r="G116" s="181">
        <f t="shared" si="151"/>
        <v>3064</v>
      </c>
      <c r="H116" s="181">
        <f t="shared" si="151"/>
        <v>2513</v>
      </c>
      <c r="I116" s="181">
        <f t="shared" si="151"/>
        <v>3072</v>
      </c>
      <c r="J116" s="181">
        <f t="shared" si="151"/>
        <v>2136</v>
      </c>
      <c r="K116" s="181">
        <f t="shared" si="151"/>
        <v>1572</v>
      </c>
      <c r="L116" s="181">
        <f t="shared" si="151"/>
        <v>1419</v>
      </c>
      <c r="M116" s="181">
        <f t="shared" si="151"/>
        <v>1800</v>
      </c>
      <c r="N116" s="181">
        <f>N170+N179+N181</f>
        <v>2458</v>
      </c>
      <c r="O116"/>
      <c r="P116"/>
      <c r="Q116"/>
      <c r="R116"/>
      <c r="S116"/>
      <c r="T116"/>
      <c r="U116"/>
    </row>
    <row r="117" spans="2:21" outlineLevel="1" x14ac:dyDescent="0.25">
      <c r="B117" s="60" t="s">
        <v>129</v>
      </c>
      <c r="E117" s="181">
        <f t="shared" ref="E117:M117" si="152">E154</f>
        <v>1306</v>
      </c>
      <c r="F117" s="181">
        <f t="shared" si="152"/>
        <v>1242</v>
      </c>
      <c r="G117" s="181">
        <f t="shared" si="152"/>
        <v>1407</v>
      </c>
      <c r="H117" s="181">
        <f t="shared" si="152"/>
        <v>1784</v>
      </c>
      <c r="I117" s="181">
        <f t="shared" si="152"/>
        <v>1175</v>
      </c>
      <c r="J117" s="181">
        <f t="shared" si="152"/>
        <v>736</v>
      </c>
      <c r="K117" s="181">
        <f t="shared" si="152"/>
        <v>755</v>
      </c>
      <c r="L117" s="181">
        <f t="shared" si="152"/>
        <v>917</v>
      </c>
      <c r="M117" s="181">
        <f t="shared" si="152"/>
        <v>734</v>
      </c>
      <c r="N117" s="181">
        <f>N154</f>
        <v>692</v>
      </c>
      <c r="O117"/>
      <c r="P117"/>
      <c r="Q117"/>
      <c r="R117"/>
      <c r="S117"/>
      <c r="T117"/>
      <c r="U117"/>
    </row>
    <row r="118" spans="2:21" outlineLevel="1" x14ac:dyDescent="0.25">
      <c r="B118" s="60" t="s">
        <v>130</v>
      </c>
      <c r="E118" s="181">
        <f t="shared" ref="E118:M118" si="153">E183</f>
        <v>62</v>
      </c>
      <c r="F118" s="181">
        <f t="shared" si="153"/>
        <v>44</v>
      </c>
      <c r="G118" s="181">
        <f t="shared" si="153"/>
        <v>91</v>
      </c>
      <c r="H118" s="181">
        <f t="shared" si="153"/>
        <v>111</v>
      </c>
      <c r="I118" s="181">
        <f t="shared" si="153"/>
        <v>86</v>
      </c>
      <c r="J118" s="181">
        <f t="shared" si="153"/>
        <v>153</v>
      </c>
      <c r="K118" s="181">
        <f t="shared" si="153"/>
        <v>128</v>
      </c>
      <c r="L118" s="181">
        <f t="shared" si="153"/>
        <v>154</v>
      </c>
      <c r="M118" s="181">
        <f t="shared" si="153"/>
        <v>224</v>
      </c>
      <c r="N118" s="181">
        <f>N183</f>
        <v>278</v>
      </c>
      <c r="O118"/>
      <c r="P118"/>
      <c r="Q118"/>
      <c r="R118"/>
      <c r="S118"/>
      <c r="T118"/>
      <c r="U118"/>
    </row>
    <row r="119" spans="2:21" outlineLevel="1" x14ac:dyDescent="0.25">
      <c r="B119" s="60" t="str">
        <f>B187</f>
        <v>Excess Cash</v>
      </c>
      <c r="E119" s="181">
        <f t="shared" ref="E119:M119" ca="1" si="154">E187</f>
        <v>0</v>
      </c>
      <c r="F119" s="181">
        <f t="shared" ca="1" si="154"/>
        <v>0</v>
      </c>
      <c r="G119" s="181">
        <f t="shared" ca="1" si="154"/>
        <v>0</v>
      </c>
      <c r="H119" s="181">
        <f t="shared" ca="1" si="154"/>
        <v>0</v>
      </c>
      <c r="I119" s="181">
        <f t="shared" ca="1" si="154"/>
        <v>0</v>
      </c>
      <c r="J119" s="181">
        <f t="shared" ca="1" si="154"/>
        <v>1832.7696812182876</v>
      </c>
      <c r="K119" s="181">
        <f t="shared" ca="1" si="154"/>
        <v>2406.5197779601003</v>
      </c>
      <c r="L119" s="181">
        <f t="shared" ca="1" si="154"/>
        <v>1466.6145736632752</v>
      </c>
      <c r="M119" s="181">
        <f t="shared" ca="1" si="154"/>
        <v>0</v>
      </c>
      <c r="N119" s="181">
        <f ca="1">N187</f>
        <v>338.59037801640807</v>
      </c>
      <c r="O119"/>
      <c r="P119"/>
      <c r="Q119"/>
      <c r="R119"/>
      <c r="S119"/>
      <c r="T119"/>
      <c r="U119"/>
    </row>
    <row r="120" spans="2:21" outlineLevel="1" x14ac:dyDescent="0.25">
      <c r="B120" s="60" t="s">
        <v>131</v>
      </c>
      <c r="E120" s="181">
        <f t="shared" ref="E120:M120" si="155">E189</f>
        <v>0</v>
      </c>
      <c r="F120" s="181">
        <f t="shared" si="155"/>
        <v>0</v>
      </c>
      <c r="G120" s="181">
        <f t="shared" si="155"/>
        <v>0</v>
      </c>
      <c r="H120" s="181">
        <f t="shared" si="155"/>
        <v>0</v>
      </c>
      <c r="I120" s="181">
        <f t="shared" si="155"/>
        <v>0</v>
      </c>
      <c r="J120" s="181">
        <f t="shared" si="155"/>
        <v>0</v>
      </c>
      <c r="K120" s="181">
        <f t="shared" si="155"/>
        <v>129</v>
      </c>
      <c r="L120" s="181">
        <f t="shared" si="155"/>
        <v>3861</v>
      </c>
      <c r="M120" s="181">
        <f t="shared" si="155"/>
        <v>4022</v>
      </c>
      <c r="N120" s="181">
        <f>N189</f>
        <v>0</v>
      </c>
      <c r="O120"/>
      <c r="P120"/>
      <c r="Q120"/>
      <c r="R120"/>
      <c r="S120"/>
      <c r="T120"/>
      <c r="U120"/>
    </row>
    <row r="121" spans="2:21" outlineLevel="1" x14ac:dyDescent="0.25">
      <c r="B121" s="60"/>
      <c r="E121" s="181"/>
      <c r="F121" s="181"/>
      <c r="G121" s="181"/>
      <c r="H121" s="181"/>
      <c r="I121" s="181"/>
      <c r="J121" s="181"/>
      <c r="K121" s="181"/>
      <c r="L121" s="181"/>
      <c r="M121" s="181"/>
      <c r="N121" s="181"/>
      <c r="O121"/>
      <c r="P121"/>
      <c r="Q121"/>
      <c r="R121"/>
      <c r="S121"/>
      <c r="T121"/>
      <c r="U121"/>
    </row>
    <row r="122" spans="2:21" ht="13" outlineLevel="1" x14ac:dyDescent="0.3">
      <c r="B122" s="175" t="s">
        <v>132</v>
      </c>
      <c r="C122" s="153"/>
      <c r="D122" s="153"/>
      <c r="E122" s="155">
        <f t="shared" ref="E122:M122" si="156">E123+E125+E124</f>
        <v>-1340</v>
      </c>
      <c r="F122" s="155">
        <f t="shared" si="156"/>
        <v>-1518</v>
      </c>
      <c r="G122" s="155">
        <f t="shared" si="156"/>
        <v>-1198</v>
      </c>
      <c r="H122" s="155">
        <f t="shared" si="156"/>
        <v>-1117</v>
      </c>
      <c r="I122" s="155">
        <f t="shared" si="156"/>
        <v>-1208</v>
      </c>
      <c r="J122" s="155">
        <f t="shared" si="156"/>
        <v>-1252</v>
      </c>
      <c r="K122" s="155">
        <f t="shared" si="156"/>
        <v>-1341</v>
      </c>
      <c r="L122" s="155">
        <f t="shared" si="156"/>
        <v>-1765</v>
      </c>
      <c r="M122" s="155">
        <f t="shared" si="156"/>
        <v>-1854</v>
      </c>
      <c r="N122" s="155">
        <f>N123+N125+N124</f>
        <v>-846</v>
      </c>
      <c r="O122"/>
      <c r="P122"/>
      <c r="Q122"/>
      <c r="R122"/>
      <c r="S122"/>
      <c r="T122"/>
      <c r="U122"/>
    </row>
    <row r="123" spans="2:21" outlineLevel="1" x14ac:dyDescent="0.25">
      <c r="B123" s="60" t="s">
        <v>133</v>
      </c>
      <c r="E123" s="181">
        <f t="shared" ref="E123:M123" si="157">(E205+E214)*(-1)</f>
        <v>-1600</v>
      </c>
      <c r="F123" s="181">
        <f t="shared" si="157"/>
        <v>-1771</v>
      </c>
      <c r="G123" s="181">
        <f t="shared" si="157"/>
        <v>-1635</v>
      </c>
      <c r="H123" s="181">
        <f t="shared" si="157"/>
        <v>-1587</v>
      </c>
      <c r="I123" s="181">
        <f t="shared" si="157"/>
        <v>-1700</v>
      </c>
      <c r="J123" s="181">
        <f t="shared" si="157"/>
        <v>-1647</v>
      </c>
      <c r="K123" s="181">
        <f t="shared" si="157"/>
        <v>-1440</v>
      </c>
      <c r="L123" s="181">
        <f t="shared" si="157"/>
        <v>-1074</v>
      </c>
      <c r="M123" s="181">
        <f t="shared" si="157"/>
        <v>-1208</v>
      </c>
      <c r="N123" s="181">
        <f>(N205+N214)*(-1)</f>
        <v>-1130</v>
      </c>
      <c r="O123"/>
      <c r="P123"/>
      <c r="Q123"/>
      <c r="R123"/>
      <c r="S123"/>
      <c r="T123"/>
      <c r="U123"/>
    </row>
    <row r="124" spans="2:21" outlineLevel="1" x14ac:dyDescent="0.25">
      <c r="B124" s="60" t="s">
        <v>134</v>
      </c>
      <c r="E124" s="181">
        <f t="shared" ref="E124:M124" si="158">-E223</f>
        <v>0</v>
      </c>
      <c r="F124" s="181">
        <f t="shared" si="158"/>
        <v>0</v>
      </c>
      <c r="G124" s="181">
        <f t="shared" si="158"/>
        <v>0</v>
      </c>
      <c r="H124" s="181">
        <f t="shared" si="158"/>
        <v>0</v>
      </c>
      <c r="I124" s="181">
        <f t="shared" si="158"/>
        <v>0</v>
      </c>
      <c r="J124" s="181">
        <f t="shared" si="158"/>
        <v>0</v>
      </c>
      <c r="K124" s="181">
        <f t="shared" si="158"/>
        <v>-182</v>
      </c>
      <c r="L124" s="181">
        <f t="shared" si="158"/>
        <v>-873</v>
      </c>
      <c r="M124" s="181">
        <f t="shared" si="158"/>
        <v>-1075</v>
      </c>
      <c r="N124" s="181">
        <f>-N223</f>
        <v>0</v>
      </c>
      <c r="O124"/>
      <c r="P124"/>
      <c r="Q124"/>
      <c r="R124"/>
      <c r="S124"/>
      <c r="T124"/>
      <c r="U124"/>
    </row>
    <row r="125" spans="2:21" outlineLevel="1" x14ac:dyDescent="0.25">
      <c r="B125" s="60" t="s">
        <v>135</v>
      </c>
      <c r="E125" s="181">
        <f t="shared" ref="E125:M125" si="159">E155</f>
        <v>260</v>
      </c>
      <c r="F125" s="181">
        <f t="shared" si="159"/>
        <v>253</v>
      </c>
      <c r="G125" s="181">
        <f t="shared" si="159"/>
        <v>437</v>
      </c>
      <c r="H125" s="181">
        <f t="shared" si="159"/>
        <v>470</v>
      </c>
      <c r="I125" s="181">
        <f t="shared" si="159"/>
        <v>492</v>
      </c>
      <c r="J125" s="181">
        <f t="shared" si="159"/>
        <v>395</v>
      </c>
      <c r="K125" s="181">
        <f t="shared" si="159"/>
        <v>281</v>
      </c>
      <c r="L125" s="181">
        <f t="shared" si="159"/>
        <v>182</v>
      </c>
      <c r="M125" s="181">
        <f t="shared" si="159"/>
        <v>429</v>
      </c>
      <c r="N125" s="181">
        <f>N155</f>
        <v>284</v>
      </c>
      <c r="O125"/>
      <c r="P125"/>
      <c r="Q125"/>
      <c r="R125"/>
      <c r="S125"/>
      <c r="T125"/>
      <c r="U125"/>
    </row>
    <row r="126" spans="2:21" outlineLevel="1" x14ac:dyDescent="0.25">
      <c r="B126" s="60"/>
      <c r="E126" s="181"/>
      <c r="F126" s="181"/>
      <c r="G126" s="181"/>
      <c r="H126" s="181"/>
      <c r="I126" s="181"/>
      <c r="J126" s="181"/>
      <c r="K126" s="181"/>
      <c r="L126" s="181"/>
      <c r="M126" s="181"/>
      <c r="N126" s="181"/>
      <c r="O126"/>
      <c r="P126"/>
      <c r="Q126"/>
      <c r="R126"/>
      <c r="S126"/>
      <c r="T126"/>
      <c r="U126"/>
    </row>
    <row r="127" spans="2:21" ht="13" outlineLevel="1" x14ac:dyDescent="0.3">
      <c r="B127" s="179" t="s">
        <v>136</v>
      </c>
      <c r="C127" s="176"/>
      <c r="D127" s="176"/>
      <c r="E127" s="204">
        <f t="shared" ref="E127:N127" ca="1" si="160">E112+E114+E122</f>
        <v>38324</v>
      </c>
      <c r="F127" s="204">
        <f t="shared" ca="1" si="160"/>
        <v>41178.442556806585</v>
      </c>
      <c r="G127" s="204">
        <f t="shared" ca="1" si="160"/>
        <v>43134.759554259799</v>
      </c>
      <c r="H127" s="204">
        <f t="shared" ca="1" si="160"/>
        <v>45420.350727814191</v>
      </c>
      <c r="I127" s="204">
        <f t="shared" ca="1" si="160"/>
        <v>46905</v>
      </c>
      <c r="J127" s="204">
        <f t="shared" ca="1" si="160"/>
        <v>42685</v>
      </c>
      <c r="K127" s="204">
        <f t="shared" ca="1" si="160"/>
        <v>44731</v>
      </c>
      <c r="L127" s="204">
        <f t="shared" ca="1" si="160"/>
        <v>44882</v>
      </c>
      <c r="M127" s="204">
        <f t="shared" ca="1" si="160"/>
        <v>43038</v>
      </c>
      <c r="N127" s="204">
        <f t="shared" ca="1" si="160"/>
        <v>42354</v>
      </c>
      <c r="O127"/>
      <c r="P127"/>
      <c r="Q127"/>
      <c r="R127"/>
      <c r="S127"/>
      <c r="T127"/>
      <c r="U127"/>
    </row>
    <row r="128" spans="2:21" outlineLevel="1" x14ac:dyDescent="0.25">
      <c r="B128" s="45"/>
      <c r="E128" s="63"/>
      <c r="F128" s="63"/>
      <c r="G128" s="63"/>
      <c r="H128" s="63"/>
      <c r="I128" s="63"/>
      <c r="J128" s="63"/>
      <c r="K128" s="63"/>
      <c r="L128" s="63"/>
      <c r="M128" s="63"/>
      <c r="N128" s="63"/>
      <c r="O128"/>
      <c r="P128"/>
      <c r="Q128"/>
      <c r="R128"/>
      <c r="S128"/>
      <c r="T128"/>
      <c r="U128"/>
    </row>
    <row r="129" spans="2:21" ht="13" outlineLevel="1" x14ac:dyDescent="0.3">
      <c r="B129" s="175" t="s">
        <v>137</v>
      </c>
      <c r="C129" s="153"/>
      <c r="D129" s="153"/>
      <c r="E129" s="153"/>
      <c r="F129" s="153"/>
      <c r="G129" s="153"/>
      <c r="H129" s="153"/>
      <c r="I129" s="153"/>
      <c r="J129" s="153"/>
      <c r="K129" s="153"/>
      <c r="L129" s="153"/>
      <c r="M129" s="153"/>
      <c r="N129" s="153"/>
      <c r="O129"/>
      <c r="P129"/>
      <c r="Q129"/>
      <c r="R129"/>
      <c r="S129"/>
      <c r="T129"/>
      <c r="U129"/>
    </row>
    <row r="130" spans="2:21" ht="13" outlineLevel="1" x14ac:dyDescent="0.3">
      <c r="B130" s="169" t="s">
        <v>138</v>
      </c>
      <c r="C130" s="41"/>
      <c r="D130" s="41"/>
      <c r="E130" s="185">
        <f>E131+E139</f>
        <v>28474</v>
      </c>
      <c r="F130" s="185">
        <f t="shared" ref="F130:N130" si="161">F131+F139</f>
        <v>30895</v>
      </c>
      <c r="G130" s="185">
        <f t="shared" si="161"/>
        <v>33442</v>
      </c>
      <c r="H130" s="185">
        <f t="shared" si="161"/>
        <v>36145</v>
      </c>
      <c r="I130" s="185">
        <f t="shared" si="161"/>
        <v>35331</v>
      </c>
      <c r="J130" s="185">
        <f t="shared" si="161"/>
        <v>25338</v>
      </c>
      <c r="K130" s="185">
        <f t="shared" si="161"/>
        <v>27894</v>
      </c>
      <c r="L130" s="185">
        <f t="shared" si="161"/>
        <v>29539</v>
      </c>
      <c r="M130" s="185">
        <f t="shared" si="161"/>
        <v>30634</v>
      </c>
      <c r="N130" s="185">
        <f t="shared" si="161"/>
        <v>31102</v>
      </c>
      <c r="O130"/>
      <c r="P130"/>
      <c r="Q130"/>
      <c r="R130"/>
      <c r="S130"/>
      <c r="T130"/>
      <c r="U130"/>
    </row>
    <row r="131" spans="2:21" ht="13" outlineLevel="1" x14ac:dyDescent="0.3">
      <c r="B131" s="170" t="str">
        <f t="shared" ref="B131:B139" si="162">B192</f>
        <v>Shareholders' equity - parent-company shareholders' share</v>
      </c>
      <c r="C131" s="41"/>
      <c r="D131" s="41"/>
      <c r="E131" s="185">
        <f>SUM(E132:E138)</f>
        <v>27992</v>
      </c>
      <c r="F131" s="185">
        <f t="shared" ref="F131:N131" si="163">SUM(F132:F138)</f>
        <v>30743</v>
      </c>
      <c r="G131" s="185">
        <f t="shared" si="163"/>
        <v>33148</v>
      </c>
      <c r="H131" s="185">
        <f t="shared" si="163"/>
        <v>35546</v>
      </c>
      <c r="I131" s="185">
        <f t="shared" si="163"/>
        <v>34564</v>
      </c>
      <c r="J131" s="185">
        <f t="shared" si="163"/>
        <v>24772</v>
      </c>
      <c r="K131" s="185">
        <f t="shared" si="163"/>
        <v>27320</v>
      </c>
      <c r="L131" s="185">
        <f t="shared" si="163"/>
        <v>28798</v>
      </c>
      <c r="M131" s="185">
        <f t="shared" si="163"/>
        <v>29752</v>
      </c>
      <c r="N131" s="185">
        <f t="shared" si="163"/>
        <v>30309</v>
      </c>
      <c r="O131"/>
      <c r="P131"/>
      <c r="Q131"/>
      <c r="R131"/>
      <c r="S131"/>
      <c r="T131"/>
      <c r="U131"/>
    </row>
    <row r="132" spans="2:21" outlineLevel="1" x14ac:dyDescent="0.25">
      <c r="B132" s="168" t="str">
        <f t="shared" si="162"/>
        <v>Share capital</v>
      </c>
      <c r="E132" s="181">
        <f t="shared" ref="E132:E139" si="164">E193</f>
        <v>1127</v>
      </c>
      <c r="F132" s="181">
        <f t="shared" ref="F132:N132" si="165">F193</f>
        <v>1127</v>
      </c>
      <c r="G132" s="181">
        <f t="shared" si="165"/>
        <v>1127</v>
      </c>
      <c r="H132" s="181">
        <f t="shared" si="165"/>
        <v>1127</v>
      </c>
      <c r="I132" s="181">
        <f t="shared" si="165"/>
        <v>1127</v>
      </c>
      <c r="J132" s="181">
        <f t="shared" si="165"/>
        <v>1127</v>
      </c>
      <c r="K132" s="181">
        <f t="shared" si="165"/>
        <v>1127</v>
      </c>
      <c r="L132" s="181">
        <f t="shared" si="165"/>
        <v>1127</v>
      </c>
      <c r="M132" s="181">
        <f t="shared" si="165"/>
        <v>1127</v>
      </c>
      <c r="N132" s="181">
        <f t="shared" si="165"/>
        <v>1127</v>
      </c>
      <c r="O132"/>
      <c r="P132"/>
      <c r="Q132"/>
      <c r="R132"/>
      <c r="S132"/>
      <c r="T132"/>
      <c r="U132"/>
    </row>
    <row r="133" spans="2:21" outlineLevel="1" x14ac:dyDescent="0.25">
      <c r="B133" s="168" t="str">
        <f t="shared" si="162"/>
        <v>Share premium</v>
      </c>
      <c r="E133" s="181">
        <f t="shared" si="164"/>
        <v>3785</v>
      </c>
      <c r="F133" s="181">
        <f t="shared" ref="F133:N133" si="166">F194</f>
        <v>3785</v>
      </c>
      <c r="G133" s="181">
        <f t="shared" si="166"/>
        <v>3785</v>
      </c>
      <c r="H133" s="181">
        <f t="shared" si="166"/>
        <v>3785</v>
      </c>
      <c r="I133" s="181">
        <f t="shared" si="166"/>
        <v>3785</v>
      </c>
      <c r="J133" s="181">
        <f t="shared" si="166"/>
        <v>3785</v>
      </c>
      <c r="K133" s="181">
        <f t="shared" si="166"/>
        <v>3785</v>
      </c>
      <c r="L133" s="181">
        <f t="shared" si="166"/>
        <v>3785</v>
      </c>
      <c r="M133" s="181">
        <f t="shared" si="166"/>
        <v>3785</v>
      </c>
      <c r="N133" s="181">
        <f t="shared" si="166"/>
        <v>3785</v>
      </c>
      <c r="O133"/>
      <c r="P133"/>
      <c r="Q133"/>
      <c r="R133"/>
      <c r="S133"/>
      <c r="T133"/>
      <c r="U133"/>
    </row>
    <row r="134" spans="2:21" outlineLevel="1" x14ac:dyDescent="0.25">
      <c r="B134" s="168" t="str">
        <f t="shared" si="162"/>
        <v>Treasury shares</v>
      </c>
      <c r="E134" s="181">
        <f t="shared" si="164"/>
        <v>-227</v>
      </c>
      <c r="F134" s="181">
        <f t="shared" ref="F134:N134" si="167">F195</f>
        <v>-321</v>
      </c>
      <c r="G134" s="181">
        <f t="shared" si="167"/>
        <v>-494</v>
      </c>
      <c r="H134" s="181">
        <f t="shared" si="167"/>
        <v>-400</v>
      </c>
      <c r="I134" s="181">
        <f t="shared" si="167"/>
        <v>-344</v>
      </c>
      <c r="J134" s="181">
        <f t="shared" si="167"/>
        <v>-284</v>
      </c>
      <c r="K134" s="181">
        <f t="shared" si="167"/>
        <v>-237</v>
      </c>
      <c r="L134" s="181">
        <f t="shared" si="167"/>
        <v>-208</v>
      </c>
      <c r="M134" s="181">
        <f t="shared" si="167"/>
        <v>-212</v>
      </c>
      <c r="N134" s="181">
        <f t="shared" si="167"/>
        <v>-281</v>
      </c>
      <c r="O134"/>
      <c r="P134"/>
      <c r="Q134"/>
      <c r="R134"/>
      <c r="S134"/>
      <c r="T134"/>
      <c r="U134"/>
    </row>
    <row r="135" spans="2:21" outlineLevel="1" x14ac:dyDescent="0.25">
      <c r="B135" s="168" t="str">
        <f t="shared" si="162"/>
        <v>Revaluation of financial instruments</v>
      </c>
      <c r="E135" s="181">
        <f t="shared" si="164"/>
        <v>890</v>
      </c>
      <c r="F135" s="181">
        <f t="shared" ref="F135:N135" si="168">F196</f>
        <v>758</v>
      </c>
      <c r="G135" s="181">
        <f t="shared" si="168"/>
        <v>809</v>
      </c>
      <c r="H135" s="181">
        <f t="shared" si="168"/>
        <v>236</v>
      </c>
      <c r="I135" s="181">
        <f t="shared" si="168"/>
        <v>232</v>
      </c>
      <c r="J135" s="181">
        <f t="shared" si="168"/>
        <v>384</v>
      </c>
      <c r="K135" s="181">
        <f t="shared" si="168"/>
        <v>5</v>
      </c>
      <c r="L135" s="181">
        <f t="shared" si="168"/>
        <v>208</v>
      </c>
      <c r="M135" s="181">
        <f t="shared" si="168"/>
        <v>-111</v>
      </c>
      <c r="N135" s="181">
        <f t="shared" si="168"/>
        <v>-93</v>
      </c>
      <c r="O135"/>
      <c r="P135"/>
      <c r="Q135"/>
      <c r="R135"/>
      <c r="S135"/>
      <c r="T135"/>
      <c r="U135"/>
    </row>
    <row r="136" spans="2:21" outlineLevel="1" x14ac:dyDescent="0.25">
      <c r="B136" s="168" t="str">
        <f t="shared" si="162"/>
        <v>Translation adjustment</v>
      </c>
      <c r="E136" s="181">
        <f t="shared" si="164"/>
        <v>-2059</v>
      </c>
      <c r="F136" s="181">
        <f t="shared" ref="F136:N136" si="169">F197</f>
        <v>-1668</v>
      </c>
      <c r="G136" s="181">
        <f t="shared" si="169"/>
        <v>-3376</v>
      </c>
      <c r="H136" s="181">
        <f t="shared" si="169"/>
        <v>-2826</v>
      </c>
      <c r="I136" s="181">
        <f t="shared" si="169"/>
        <v>-2584</v>
      </c>
      <c r="J136" s="181">
        <f t="shared" si="169"/>
        <v>-4108</v>
      </c>
      <c r="K136" s="181">
        <f t="shared" si="169"/>
        <v>-3407</v>
      </c>
      <c r="L136" s="181">
        <f t="shared" si="169"/>
        <v>-2146</v>
      </c>
      <c r="M136" s="181">
        <f t="shared" si="169"/>
        <v>-3140</v>
      </c>
      <c r="N136" s="181">
        <f t="shared" si="169"/>
        <v>-2833</v>
      </c>
      <c r="O136"/>
      <c r="P136"/>
      <c r="Q136"/>
      <c r="R136"/>
      <c r="S136"/>
      <c r="T136"/>
      <c r="U136"/>
    </row>
    <row r="137" spans="2:21" outlineLevel="1" x14ac:dyDescent="0.25">
      <c r="B137" s="168" t="str">
        <f t="shared" si="162"/>
        <v>Reserves</v>
      </c>
      <c r="E137" s="181">
        <f t="shared" si="164"/>
        <v>21653</v>
      </c>
      <c r="F137" s="181">
        <f t="shared" ref="F137:N137" si="170">F198</f>
        <v>23643</v>
      </c>
      <c r="G137" s="181">
        <f t="shared" si="170"/>
        <v>26183</v>
      </c>
      <c r="H137" s="181">
        <f t="shared" si="170"/>
        <v>30322</v>
      </c>
      <c r="I137" s="181">
        <f t="shared" si="170"/>
        <v>32489</v>
      </c>
      <c r="J137" s="181">
        <f t="shared" si="170"/>
        <v>31876</v>
      </c>
      <c r="K137" s="181">
        <f t="shared" si="170"/>
        <v>25159</v>
      </c>
      <c r="L137" s="181">
        <f t="shared" si="170"/>
        <v>26370</v>
      </c>
      <c r="M137" s="181">
        <f t="shared" si="170"/>
        <v>26105</v>
      </c>
      <c r="N137" s="181">
        <f t="shared" si="170"/>
        <v>27852</v>
      </c>
      <c r="O137"/>
      <c r="P137"/>
      <c r="Q137"/>
      <c r="R137"/>
      <c r="S137"/>
      <c r="T137"/>
      <c r="U137"/>
    </row>
    <row r="138" spans="2:21" outlineLevel="1" x14ac:dyDescent="0.25">
      <c r="B138" s="168" t="str">
        <f t="shared" si="162"/>
        <v>Net income - parent-company shareholders' share</v>
      </c>
      <c r="E138" s="181">
        <f t="shared" si="164"/>
        <v>2823</v>
      </c>
      <c r="F138" s="181">
        <f t="shared" ref="F138:N138" si="171">F199</f>
        <v>3419</v>
      </c>
      <c r="G138" s="181">
        <f t="shared" si="171"/>
        <v>5114</v>
      </c>
      <c r="H138" s="181">
        <f t="shared" si="171"/>
        <v>3302</v>
      </c>
      <c r="I138" s="181">
        <f t="shared" si="171"/>
        <v>-141</v>
      </c>
      <c r="J138" s="181">
        <f t="shared" si="171"/>
        <v>-8008</v>
      </c>
      <c r="K138" s="181">
        <f t="shared" si="171"/>
        <v>888</v>
      </c>
      <c r="L138" s="181">
        <f t="shared" si="171"/>
        <v>-338</v>
      </c>
      <c r="M138" s="181">
        <f t="shared" si="171"/>
        <v>2198</v>
      </c>
      <c r="N138" s="181">
        <f t="shared" si="171"/>
        <v>752</v>
      </c>
      <c r="O138"/>
      <c r="P138"/>
      <c r="Q138"/>
      <c r="R138"/>
      <c r="S138"/>
      <c r="T138"/>
      <c r="U138"/>
    </row>
    <row r="139" spans="2:21" outlineLevel="1" x14ac:dyDescent="0.25">
      <c r="B139" s="167" t="str">
        <f t="shared" si="162"/>
        <v>Shareholders' equity - non-controlling interests' share</v>
      </c>
      <c r="E139" s="181">
        <f t="shared" si="164"/>
        <v>482</v>
      </c>
      <c r="F139" s="181">
        <f t="shared" ref="F139:N139" si="172">F200</f>
        <v>152</v>
      </c>
      <c r="G139" s="181">
        <f t="shared" si="172"/>
        <v>294</v>
      </c>
      <c r="H139" s="181">
        <f t="shared" si="172"/>
        <v>599</v>
      </c>
      <c r="I139" s="181">
        <f t="shared" si="172"/>
        <v>767</v>
      </c>
      <c r="J139" s="181">
        <f t="shared" si="172"/>
        <v>566</v>
      </c>
      <c r="K139" s="181">
        <f t="shared" si="172"/>
        <v>574</v>
      </c>
      <c r="L139" s="181">
        <f t="shared" si="172"/>
        <v>741</v>
      </c>
      <c r="M139" s="181">
        <f t="shared" si="172"/>
        <v>882</v>
      </c>
      <c r="N139" s="181">
        <f t="shared" si="172"/>
        <v>793</v>
      </c>
      <c r="O139"/>
      <c r="P139"/>
      <c r="Q139"/>
      <c r="R139"/>
      <c r="S139"/>
      <c r="T139"/>
      <c r="U139"/>
    </row>
    <row r="140" spans="2:21" outlineLevel="1" x14ac:dyDescent="0.25">
      <c r="B140" s="167"/>
      <c r="E140" s="181"/>
      <c r="F140" s="181"/>
      <c r="G140" s="181"/>
      <c r="H140" s="181"/>
      <c r="I140" s="181"/>
      <c r="J140" s="181"/>
      <c r="K140" s="181"/>
      <c r="L140" s="181"/>
      <c r="M140" s="181"/>
      <c r="N140" s="181"/>
      <c r="O140"/>
      <c r="P140"/>
      <c r="Q140"/>
      <c r="R140"/>
      <c r="S140"/>
      <c r="T140"/>
      <c r="U140"/>
    </row>
    <row r="141" spans="2:21" ht="13" outlineLevel="1" x14ac:dyDescent="0.3">
      <c r="B141" s="169" t="s">
        <v>139</v>
      </c>
      <c r="C141" s="41"/>
      <c r="D141" s="41"/>
      <c r="E141" s="185">
        <f t="shared" ref="E141:N141" si="173">E142+E143</f>
        <v>9850</v>
      </c>
      <c r="F141" s="185">
        <f t="shared" si="173"/>
        <v>10283.442556806587</v>
      </c>
      <c r="G141" s="185">
        <f t="shared" si="173"/>
        <v>9692.7595542597992</v>
      </c>
      <c r="H141" s="185">
        <f t="shared" si="173"/>
        <v>9275.3507278141933</v>
      </c>
      <c r="I141" s="185">
        <f t="shared" si="173"/>
        <v>11574</v>
      </c>
      <c r="J141" s="185">
        <f t="shared" si="173"/>
        <v>17347</v>
      </c>
      <c r="K141" s="185">
        <f t="shared" si="173"/>
        <v>16837</v>
      </c>
      <c r="L141" s="185">
        <f t="shared" si="173"/>
        <v>15343</v>
      </c>
      <c r="M141" s="185">
        <f t="shared" si="173"/>
        <v>12404</v>
      </c>
      <c r="N141" s="185">
        <f t="shared" si="173"/>
        <v>11252</v>
      </c>
      <c r="O141"/>
      <c r="P141"/>
      <c r="Q141"/>
      <c r="R141"/>
      <c r="S141"/>
      <c r="T141"/>
      <c r="U141"/>
    </row>
    <row r="142" spans="2:21" outlineLevel="1" x14ac:dyDescent="0.25">
      <c r="B142" s="167" t="s">
        <v>140</v>
      </c>
      <c r="E142" s="181">
        <f t="shared" ref="E142:N142" si="174">E209+E218+E151</f>
        <v>9850</v>
      </c>
      <c r="F142" s="181">
        <f t="shared" si="174"/>
        <v>10283.442556806587</v>
      </c>
      <c r="G142" s="181">
        <f t="shared" si="174"/>
        <v>9692.7595542597992</v>
      </c>
      <c r="H142" s="181">
        <f t="shared" si="174"/>
        <v>9275.3507278141933</v>
      </c>
      <c r="I142" s="181">
        <f t="shared" si="174"/>
        <v>11574</v>
      </c>
      <c r="J142" s="181">
        <f t="shared" si="174"/>
        <v>17347</v>
      </c>
      <c r="K142" s="181">
        <f t="shared" si="174"/>
        <v>16837</v>
      </c>
      <c r="L142" s="181">
        <f t="shared" si="174"/>
        <v>15343</v>
      </c>
      <c r="M142" s="181">
        <f t="shared" si="174"/>
        <v>12404</v>
      </c>
      <c r="N142" s="181">
        <f t="shared" si="174"/>
        <v>11252</v>
      </c>
      <c r="O142"/>
      <c r="P142"/>
      <c r="Q142"/>
      <c r="R142"/>
      <c r="S142"/>
      <c r="T142"/>
      <c r="U142"/>
    </row>
    <row r="143" spans="2:21" ht="13" outlineLevel="1" x14ac:dyDescent="0.3">
      <c r="B143" s="379"/>
      <c r="E143" s="181"/>
      <c r="F143" s="348"/>
      <c r="G143" s="348"/>
      <c r="H143" s="348"/>
      <c r="I143" s="348"/>
      <c r="J143" s="348"/>
      <c r="K143" s="348"/>
      <c r="L143" s="348"/>
      <c r="M143" s="348"/>
      <c r="N143" s="348"/>
      <c r="O143"/>
      <c r="P143"/>
      <c r="Q143"/>
      <c r="R143"/>
      <c r="S143"/>
      <c r="T143"/>
      <c r="U143"/>
    </row>
    <row r="144" spans="2:21" outlineLevel="1" x14ac:dyDescent="0.25">
      <c r="B144" s="60"/>
      <c r="E144" s="181"/>
      <c r="F144" s="181"/>
      <c r="G144" s="181"/>
      <c r="H144" s="181"/>
      <c r="I144" s="181"/>
      <c r="J144" s="181"/>
      <c r="K144" s="181"/>
      <c r="L144" s="181"/>
      <c r="M144" s="181"/>
      <c r="N144" s="181"/>
      <c r="O144"/>
      <c r="P144"/>
      <c r="Q144"/>
      <c r="R144"/>
      <c r="S144"/>
      <c r="T144"/>
      <c r="U144"/>
    </row>
    <row r="145" spans="2:21" ht="13" outlineLevel="1" x14ac:dyDescent="0.3">
      <c r="B145" s="179" t="s">
        <v>136</v>
      </c>
      <c r="C145" s="176"/>
      <c r="D145" s="176"/>
      <c r="E145" s="204">
        <f t="shared" ref="E145:N145" si="175">E141+E130</f>
        <v>38324</v>
      </c>
      <c r="F145" s="204">
        <f t="shared" si="175"/>
        <v>41178.442556806585</v>
      </c>
      <c r="G145" s="204">
        <f t="shared" si="175"/>
        <v>43134.759554259799</v>
      </c>
      <c r="H145" s="204">
        <f t="shared" si="175"/>
        <v>45420.350727814191</v>
      </c>
      <c r="I145" s="204">
        <f t="shared" si="175"/>
        <v>46905</v>
      </c>
      <c r="J145" s="204">
        <f t="shared" si="175"/>
        <v>42685</v>
      </c>
      <c r="K145" s="204">
        <f t="shared" si="175"/>
        <v>44731</v>
      </c>
      <c r="L145" s="204">
        <f t="shared" si="175"/>
        <v>44882</v>
      </c>
      <c r="M145" s="204">
        <f t="shared" si="175"/>
        <v>43038</v>
      </c>
      <c r="N145" s="204">
        <f t="shared" si="175"/>
        <v>42354</v>
      </c>
      <c r="O145"/>
      <c r="P145"/>
      <c r="Q145"/>
      <c r="R145"/>
      <c r="S145"/>
      <c r="T145"/>
      <c r="U145"/>
    </row>
    <row r="146" spans="2:21" outlineLevel="1" x14ac:dyDescent="0.25">
      <c r="D146" s="33" t="s">
        <v>141</v>
      </c>
      <c r="E146" s="206">
        <f t="shared" ref="E146:M146" ca="1" si="176">E127-E145</f>
        <v>0</v>
      </c>
      <c r="F146" s="206">
        <f t="shared" ca="1" si="176"/>
        <v>0</v>
      </c>
      <c r="G146" s="206">
        <f t="shared" ca="1" si="176"/>
        <v>0</v>
      </c>
      <c r="H146" s="206">
        <f t="shared" ca="1" si="176"/>
        <v>0</v>
      </c>
      <c r="I146" s="206">
        <f t="shared" ca="1" si="176"/>
        <v>0</v>
      </c>
      <c r="J146" s="206">
        <f t="shared" ca="1" si="176"/>
        <v>0</v>
      </c>
      <c r="K146" s="206">
        <f t="shared" ca="1" si="176"/>
        <v>0</v>
      </c>
      <c r="L146" s="206">
        <f t="shared" ca="1" si="176"/>
        <v>0</v>
      </c>
      <c r="M146" s="206">
        <f t="shared" ca="1" si="176"/>
        <v>0</v>
      </c>
      <c r="N146" s="206">
        <f ca="1">N127-N145</f>
        <v>0</v>
      </c>
      <c r="O146" s="206"/>
    </row>
    <row r="147" spans="2:21" outlineLevel="1" x14ac:dyDescent="0.25">
      <c r="E147" s="63"/>
      <c r="F147" s="63"/>
      <c r="G147" s="63"/>
      <c r="H147" s="63"/>
      <c r="I147" s="63"/>
      <c r="J147" s="63"/>
      <c r="K147" s="63"/>
      <c r="L147" s="63"/>
      <c r="M147" s="63"/>
      <c r="N147" s="63"/>
    </row>
    <row r="148" spans="2:21" ht="13" outlineLevel="1" x14ac:dyDescent="0.3">
      <c r="B148" s="49" t="s">
        <v>142</v>
      </c>
      <c r="C148" s="49"/>
      <c r="D148" s="49"/>
      <c r="E148" s="49"/>
      <c r="F148" s="49"/>
      <c r="G148" s="49"/>
      <c r="H148" s="49"/>
      <c r="I148" s="49"/>
      <c r="J148" s="49"/>
      <c r="K148" s="49"/>
      <c r="L148" s="49"/>
      <c r="M148" s="49"/>
      <c r="N148" s="49"/>
      <c r="O148" s="49"/>
      <c r="P148" s="49"/>
      <c r="Q148" s="49"/>
      <c r="R148" s="49"/>
      <c r="S148" s="49"/>
      <c r="T148" s="49"/>
      <c r="U148" s="49"/>
    </row>
    <row r="149" spans="2:21" ht="13" outlineLevel="1" x14ac:dyDescent="0.3">
      <c r="B149" s="1" t="s">
        <v>58</v>
      </c>
      <c r="E149" s="63"/>
      <c r="F149" s="63"/>
      <c r="G149" s="63"/>
      <c r="H149" s="63"/>
      <c r="I149" s="63"/>
      <c r="J149" s="63"/>
      <c r="K149" s="63"/>
      <c r="L149" s="63"/>
      <c r="M149" s="63"/>
      <c r="N149" s="63"/>
    </row>
    <row r="150" spans="2:21" outlineLevel="1" x14ac:dyDescent="0.25">
      <c r="B150" s="33" t="s">
        <v>143</v>
      </c>
      <c r="E150" s="181">
        <f t="shared" ref="E150:N150" si="177">E269</f>
        <v>0</v>
      </c>
      <c r="F150" s="181">
        <f t="shared" si="177"/>
        <v>396.44255680658665</v>
      </c>
      <c r="G150" s="181">
        <f t="shared" si="177"/>
        <v>499.75955425979953</v>
      </c>
      <c r="H150" s="181">
        <f t="shared" si="177"/>
        <v>603.35072781419399</v>
      </c>
      <c r="I150" s="181">
        <f t="shared" si="177"/>
        <v>0</v>
      </c>
      <c r="J150" s="181">
        <f t="shared" si="177"/>
        <v>0</v>
      </c>
      <c r="K150" s="181">
        <f t="shared" si="177"/>
        <v>0</v>
      </c>
      <c r="L150" s="181">
        <f t="shared" si="177"/>
        <v>0</v>
      </c>
      <c r="M150" s="181">
        <f t="shared" si="177"/>
        <v>0</v>
      </c>
      <c r="N150" s="181">
        <f t="shared" si="177"/>
        <v>0</v>
      </c>
    </row>
    <row r="151" spans="2:21" outlineLevel="1" x14ac:dyDescent="0.25">
      <c r="B151" s="33" t="s">
        <v>144</v>
      </c>
      <c r="E151" s="181">
        <f t="shared" ref="E151:N151" si="178">E270</f>
        <v>0</v>
      </c>
      <c r="F151" s="181">
        <f t="shared" si="178"/>
        <v>396.44255680658665</v>
      </c>
      <c r="G151" s="181">
        <f t="shared" si="178"/>
        <v>499.75955425979953</v>
      </c>
      <c r="H151" s="181">
        <f t="shared" si="178"/>
        <v>603.35072781419399</v>
      </c>
      <c r="I151" s="181">
        <f t="shared" si="178"/>
        <v>0</v>
      </c>
      <c r="J151" s="181">
        <f t="shared" si="178"/>
        <v>0</v>
      </c>
      <c r="K151" s="181">
        <f t="shared" si="178"/>
        <v>0</v>
      </c>
      <c r="L151" s="181">
        <f t="shared" si="178"/>
        <v>0</v>
      </c>
      <c r="M151" s="181">
        <f t="shared" si="178"/>
        <v>0</v>
      </c>
      <c r="N151" s="181">
        <f t="shared" si="178"/>
        <v>0</v>
      </c>
    </row>
    <row r="152" spans="2:21" outlineLevel="1" x14ac:dyDescent="0.25">
      <c r="B152" s="45"/>
      <c r="E152" s="63"/>
      <c r="F152" s="63"/>
      <c r="G152" s="63"/>
      <c r="H152" s="63"/>
      <c r="I152" s="63"/>
      <c r="J152" s="63"/>
      <c r="K152" s="63"/>
      <c r="L152" s="63"/>
      <c r="M152" s="63"/>
      <c r="N152" s="63"/>
    </row>
    <row r="153" spans="2:21" outlineLevel="1" x14ac:dyDescent="0.25">
      <c r="B153" s="45" t="s">
        <v>122</v>
      </c>
      <c r="E153" s="199">
        <f>-195-1615+1003</f>
        <v>-807</v>
      </c>
      <c r="F153" s="199">
        <f>-179-1597+1018+0+52+9</f>
        <v>-697</v>
      </c>
      <c r="G153" s="199">
        <f>-161-1745+814+1+38</f>
        <v>-1053</v>
      </c>
      <c r="H153" s="199">
        <f>-181-2044+750-16+54</f>
        <v>-1437</v>
      </c>
      <c r="I153" s="199">
        <f>-193-2350+815-23+56</f>
        <v>-1695</v>
      </c>
      <c r="J153" s="199">
        <f>-109-2127+798-18+54</f>
        <v>-1402</v>
      </c>
      <c r="K153" s="55">
        <f>-121-2103+729</f>
        <v>-1495</v>
      </c>
      <c r="L153" s="55">
        <f>-147-1857+477</f>
        <v>-1527</v>
      </c>
      <c r="M153" s="55">
        <f>-148-1774+512</f>
        <v>-1410</v>
      </c>
      <c r="N153" s="55">
        <f>-120-1890+741</f>
        <v>-1269</v>
      </c>
    </row>
    <row r="154" spans="2:21" outlineLevel="1" x14ac:dyDescent="0.25">
      <c r="B154" s="45" t="s">
        <v>129</v>
      </c>
      <c r="E154" s="55">
        <f>4402-3096</f>
        <v>1306</v>
      </c>
      <c r="F154" s="55">
        <f>4403+342-3503</f>
        <v>1242</v>
      </c>
      <c r="G154" s="55">
        <f>4353+334-3280</f>
        <v>1407</v>
      </c>
      <c r="H154" s="55">
        <f>4434+294-2944</f>
        <v>1784</v>
      </c>
      <c r="I154" s="55">
        <f>4871+327-4023</f>
        <v>1175</v>
      </c>
      <c r="J154" s="55">
        <f>5080+252-4596</f>
        <v>736</v>
      </c>
      <c r="K154" s="55">
        <f>5231-4476</f>
        <v>755</v>
      </c>
      <c r="L154" s="55">
        <f>5365-4448</f>
        <v>917</v>
      </c>
      <c r="M154" s="55">
        <f>5148-4414</f>
        <v>734</v>
      </c>
      <c r="N154" s="55">
        <f>4830-4138</f>
        <v>692</v>
      </c>
    </row>
    <row r="155" spans="2:21" outlineLevel="1" x14ac:dyDescent="0.25">
      <c r="B155" s="45" t="s">
        <v>135</v>
      </c>
      <c r="E155" s="55">
        <f>372-112</f>
        <v>260</v>
      </c>
      <c r="F155" s="55">
        <f>571-136+41-223</f>
        <v>253</v>
      </c>
      <c r="G155" s="55">
        <f>645-60+21-169</f>
        <v>437</v>
      </c>
      <c r="H155" s="55">
        <f>764-42-12-240</f>
        <v>470</v>
      </c>
      <c r="I155" s="55">
        <f>783-43+19-267</f>
        <v>492</v>
      </c>
      <c r="J155" s="55">
        <f>605-33-15-162</f>
        <v>395</v>
      </c>
      <c r="K155" s="55">
        <f>419-138</f>
        <v>281</v>
      </c>
      <c r="L155" s="55">
        <f>296-114</f>
        <v>182</v>
      </c>
      <c r="M155" s="55">
        <f>553-124</f>
        <v>429</v>
      </c>
      <c r="N155" s="55">
        <f>468-184</f>
        <v>284</v>
      </c>
    </row>
    <row r="156" spans="2:21" outlineLevel="1" x14ac:dyDescent="0.25">
      <c r="B156" s="60" t="s">
        <v>141</v>
      </c>
      <c r="E156" s="50">
        <f t="shared" ref="E156:M156" si="179">SUM(E153:E155)-(E171-E203)</f>
        <v>0</v>
      </c>
      <c r="F156" s="50">
        <f t="shared" si="179"/>
        <v>0</v>
      </c>
      <c r="G156" s="50">
        <f t="shared" si="179"/>
        <v>0</v>
      </c>
      <c r="H156" s="50">
        <f>SUM(H153:H155)-(H171-H203)</f>
        <v>0</v>
      </c>
      <c r="I156" s="50">
        <f t="shared" si="179"/>
        <v>0</v>
      </c>
      <c r="J156" s="50">
        <f t="shared" si="179"/>
        <v>0</v>
      </c>
      <c r="K156" s="50">
        <f t="shared" si="179"/>
        <v>0</v>
      </c>
      <c r="L156" s="50">
        <f t="shared" si="179"/>
        <v>0</v>
      </c>
      <c r="M156" s="50">
        <f t="shared" si="179"/>
        <v>0</v>
      </c>
      <c r="N156" s="50">
        <f>SUM(N153:N155)-(N171-N203)</f>
        <v>0</v>
      </c>
    </row>
    <row r="157" spans="2:21" outlineLevel="1" x14ac:dyDescent="0.25">
      <c r="B157" s="45"/>
      <c r="E157" s="63"/>
      <c r="F157" s="63"/>
      <c r="G157" s="63"/>
      <c r="H157" s="63"/>
      <c r="I157" s="63"/>
      <c r="J157" s="63"/>
      <c r="K157" s="63"/>
      <c r="L157" s="63"/>
      <c r="M157" s="63"/>
      <c r="N157" s="63"/>
    </row>
    <row r="158" spans="2:21" outlineLevel="1" x14ac:dyDescent="0.25">
      <c r="B158" s="45"/>
      <c r="E158" s="63"/>
      <c r="F158" s="63"/>
      <c r="G158" s="63"/>
      <c r="H158" s="63"/>
      <c r="I158" s="63"/>
      <c r="J158" s="63"/>
      <c r="K158" s="63"/>
      <c r="L158" s="63"/>
      <c r="M158" s="63"/>
      <c r="N158" s="63"/>
    </row>
    <row r="159" spans="2:21" ht="13" outlineLevel="1" x14ac:dyDescent="0.3">
      <c r="B159" s="49" t="s">
        <v>145</v>
      </c>
      <c r="C159" s="49"/>
      <c r="D159" s="49"/>
      <c r="E159" s="49"/>
      <c r="F159" s="49"/>
      <c r="G159" s="49"/>
      <c r="H159" s="49"/>
      <c r="I159" s="49"/>
      <c r="J159" s="49"/>
      <c r="K159" s="49"/>
      <c r="L159" s="49"/>
      <c r="M159" s="49"/>
      <c r="N159" s="49"/>
      <c r="O159" s="49"/>
      <c r="P159" s="49"/>
      <c r="Q159" s="49"/>
      <c r="R159" s="49"/>
      <c r="S159" s="49"/>
      <c r="T159" s="49"/>
      <c r="U159" s="49"/>
    </row>
    <row r="160" spans="2:21" ht="13" outlineLevel="1" x14ac:dyDescent="0.3">
      <c r="B160" s="1" t="s">
        <v>58</v>
      </c>
    </row>
    <row r="161" spans="2:20" ht="13" outlineLevel="1" x14ac:dyDescent="0.3">
      <c r="B161" s="41"/>
      <c r="C161" s="41"/>
      <c r="D161" s="41"/>
      <c r="E161" s="156">
        <v>2015</v>
      </c>
      <c r="F161" s="156">
        <f>+E161+1</f>
        <v>2016</v>
      </c>
      <c r="G161" s="156">
        <f t="shared" ref="G161:N161" si="180">+F161+1</f>
        <v>2017</v>
      </c>
      <c r="H161" s="156">
        <f t="shared" si="180"/>
        <v>2018</v>
      </c>
      <c r="I161" s="156">
        <f t="shared" si="180"/>
        <v>2019</v>
      </c>
      <c r="J161" s="156">
        <f t="shared" si="180"/>
        <v>2020</v>
      </c>
      <c r="K161" s="156">
        <f t="shared" si="180"/>
        <v>2021</v>
      </c>
      <c r="L161" s="156">
        <f t="shared" si="180"/>
        <v>2022</v>
      </c>
      <c r="M161" s="156">
        <f t="shared" si="180"/>
        <v>2023</v>
      </c>
      <c r="N161" s="156">
        <f t="shared" si="180"/>
        <v>2024</v>
      </c>
      <c r="O161"/>
      <c r="P161"/>
      <c r="Q161"/>
      <c r="R161"/>
      <c r="S161"/>
      <c r="T161"/>
    </row>
    <row r="162" spans="2:20" ht="13.5" outlineLevel="1" thickBot="1" x14ac:dyDescent="0.35">
      <c r="B162" s="73"/>
      <c r="C162" s="73"/>
      <c r="D162" s="73"/>
      <c r="E162" s="158">
        <v>2015</v>
      </c>
      <c r="F162" s="158">
        <f>E162+1</f>
        <v>2016</v>
      </c>
      <c r="G162" s="158">
        <f t="shared" ref="G162:N162" si="181">F162+1</f>
        <v>2017</v>
      </c>
      <c r="H162" s="158">
        <f t="shared" si="181"/>
        <v>2018</v>
      </c>
      <c r="I162" s="158">
        <f t="shared" si="181"/>
        <v>2019</v>
      </c>
      <c r="J162" s="158">
        <f t="shared" si="181"/>
        <v>2020</v>
      </c>
      <c r="K162" s="158">
        <f t="shared" si="181"/>
        <v>2021</v>
      </c>
      <c r="L162" s="158">
        <f t="shared" si="181"/>
        <v>2022</v>
      </c>
      <c r="M162" s="158">
        <f t="shared" si="181"/>
        <v>2023</v>
      </c>
      <c r="N162" s="158">
        <f t="shared" si="181"/>
        <v>2024</v>
      </c>
      <c r="O162"/>
      <c r="P162"/>
      <c r="Q162"/>
      <c r="R162"/>
      <c r="S162"/>
      <c r="T162"/>
    </row>
    <row r="163" spans="2:20" ht="13" outlineLevel="1" x14ac:dyDescent="0.3">
      <c r="B163" s="172" t="s">
        <v>146</v>
      </c>
      <c r="C163" s="173"/>
      <c r="D163" s="173"/>
      <c r="E163" s="174">
        <f>E164+E174</f>
        <v>90605</v>
      </c>
      <c r="F163" s="174">
        <f t="shared" ref="F163:N163" si="182">F164+F174</f>
        <v>102103</v>
      </c>
      <c r="G163" s="174">
        <f t="shared" si="182"/>
        <v>109943</v>
      </c>
      <c r="H163" s="174">
        <f t="shared" si="182"/>
        <v>114996</v>
      </c>
      <c r="I163" s="174">
        <f t="shared" si="182"/>
        <v>122171</v>
      </c>
      <c r="J163" s="174">
        <f>J164+J174</f>
        <v>115737</v>
      </c>
      <c r="K163" s="174">
        <f t="shared" si="182"/>
        <v>113740</v>
      </c>
      <c r="L163" s="174">
        <f t="shared" si="182"/>
        <v>118319</v>
      </c>
      <c r="M163" s="174">
        <f t="shared" si="182"/>
        <v>121913</v>
      </c>
      <c r="N163" s="174">
        <f t="shared" si="182"/>
        <v>129366</v>
      </c>
    </row>
    <row r="164" spans="2:20" ht="13" outlineLevel="1" x14ac:dyDescent="0.3">
      <c r="B164" s="171" t="s">
        <v>147</v>
      </c>
      <c r="C164" s="153"/>
      <c r="D164" s="153"/>
      <c r="E164" s="155">
        <f>E165+E166+E167+E170+E171+E172</f>
        <v>37587</v>
      </c>
      <c r="F164" s="155">
        <f t="shared" ref="F164:N164" si="183">F165+F166+F167+F170+F171+F172</f>
        <v>40593</v>
      </c>
      <c r="G164" s="155">
        <f t="shared" si="183"/>
        <v>42434</v>
      </c>
      <c r="H164" s="155">
        <f t="shared" si="183"/>
        <v>45021</v>
      </c>
      <c r="I164" s="155">
        <f t="shared" si="183"/>
        <v>48393</v>
      </c>
      <c r="J164" s="155">
        <f t="shared" si="183"/>
        <v>41462</v>
      </c>
      <c r="K164" s="155">
        <f t="shared" si="183"/>
        <v>41409</v>
      </c>
      <c r="L164" s="155">
        <f t="shared" si="183"/>
        <v>36559</v>
      </c>
      <c r="M164" s="155">
        <f t="shared" si="183"/>
        <v>35580</v>
      </c>
      <c r="N164" s="155">
        <f t="shared" si="183"/>
        <v>38913</v>
      </c>
    </row>
    <row r="165" spans="2:20" outlineLevel="1" x14ac:dyDescent="0.25">
      <c r="B165" s="167" t="s">
        <v>148</v>
      </c>
      <c r="E165" s="55">
        <v>3570</v>
      </c>
      <c r="F165" s="55">
        <v>4899</v>
      </c>
      <c r="G165" s="55">
        <v>5240</v>
      </c>
      <c r="H165" s="55">
        <v>5913</v>
      </c>
      <c r="I165" s="55">
        <v>6949</v>
      </c>
      <c r="J165" s="55">
        <v>6347</v>
      </c>
      <c r="K165" s="55">
        <v>6398</v>
      </c>
      <c r="L165" s="55">
        <v>4700</v>
      </c>
      <c r="M165" s="55">
        <v>4626</v>
      </c>
      <c r="N165" s="55">
        <v>5164</v>
      </c>
      <c r="O165" s="33" t="s">
        <v>116</v>
      </c>
      <c r="P165" s="182"/>
    </row>
    <row r="166" spans="2:20" outlineLevel="1" x14ac:dyDescent="0.25">
      <c r="B166" s="167" t="s">
        <v>149</v>
      </c>
      <c r="E166" s="55">
        <v>11171</v>
      </c>
      <c r="F166" s="55">
        <v>12988</v>
      </c>
      <c r="G166" s="55">
        <v>13582</v>
      </c>
      <c r="H166" s="55">
        <v>14304</v>
      </c>
      <c r="I166" s="55">
        <v>16900</v>
      </c>
      <c r="J166" s="55">
        <v>17135</v>
      </c>
      <c r="K166" s="55">
        <v>16167</v>
      </c>
      <c r="L166" s="55">
        <v>11705</v>
      </c>
      <c r="M166" s="55">
        <v>12251</v>
      </c>
      <c r="N166" s="55">
        <v>13861</v>
      </c>
      <c r="O166" s="33" t="s">
        <v>116</v>
      </c>
      <c r="P166" s="183"/>
    </row>
    <row r="167" spans="2:20" ht="13" outlineLevel="1" x14ac:dyDescent="0.3">
      <c r="B167" s="170" t="s">
        <v>150</v>
      </c>
      <c r="E167" s="56">
        <f>E168+E169</f>
        <v>19356</v>
      </c>
      <c r="F167" s="56">
        <f t="shared" ref="F167:N167" si="184">F168+F169</f>
        <v>19026</v>
      </c>
      <c r="G167" s="56">
        <f t="shared" si="184"/>
        <v>19811</v>
      </c>
      <c r="H167" s="56">
        <f t="shared" si="184"/>
        <v>21439</v>
      </c>
      <c r="I167" s="56">
        <f t="shared" si="184"/>
        <v>21232</v>
      </c>
      <c r="J167" s="56">
        <f t="shared" si="184"/>
        <v>15120</v>
      </c>
      <c r="K167" s="56">
        <f t="shared" si="184"/>
        <v>16955</v>
      </c>
      <c r="L167" s="56">
        <f t="shared" si="184"/>
        <v>18210</v>
      </c>
      <c r="M167" s="56">
        <f t="shared" si="184"/>
        <v>16554</v>
      </c>
      <c r="N167" s="56">
        <f t="shared" si="184"/>
        <v>17063</v>
      </c>
      <c r="P167" s="183"/>
    </row>
    <row r="168" spans="2:20" outlineLevel="1" x14ac:dyDescent="0.25">
      <c r="B168" s="168" t="s">
        <v>96</v>
      </c>
      <c r="E168" s="55">
        <v>18571</v>
      </c>
      <c r="F168" s="55">
        <v>18304</v>
      </c>
      <c r="G168" s="55">
        <v>19135</v>
      </c>
      <c r="H168" s="55">
        <v>20583</v>
      </c>
      <c r="I168" s="55">
        <v>20622</v>
      </c>
      <c r="J168" s="55">
        <v>14618</v>
      </c>
      <c r="K168" s="55">
        <v>16234</v>
      </c>
      <c r="L168" s="55">
        <v>17487</v>
      </c>
      <c r="M168" s="55">
        <v>15667</v>
      </c>
      <c r="N168" s="55">
        <v>12599</v>
      </c>
      <c r="O168" s="33" t="s">
        <v>127</v>
      </c>
      <c r="P168" s="183"/>
    </row>
    <row r="169" spans="2:20" outlineLevel="1" x14ac:dyDescent="0.25">
      <c r="B169" s="168" t="s">
        <v>98</v>
      </c>
      <c r="E169" s="55">
        <v>785</v>
      </c>
      <c r="F169" s="55">
        <v>722</v>
      </c>
      <c r="G169" s="55">
        <v>676</v>
      </c>
      <c r="H169" s="55">
        <v>856</v>
      </c>
      <c r="I169" s="55">
        <v>610</v>
      </c>
      <c r="J169" s="55">
        <v>502</v>
      </c>
      <c r="K169" s="55">
        <v>721</v>
      </c>
      <c r="L169" s="55">
        <v>723</v>
      </c>
      <c r="M169" s="55">
        <v>887</v>
      </c>
      <c r="N169" s="55">
        <v>4464</v>
      </c>
      <c r="O169" s="33" t="s">
        <v>127</v>
      </c>
      <c r="P169" s="183"/>
    </row>
    <row r="170" spans="2:20" outlineLevel="1" x14ac:dyDescent="0.25">
      <c r="B170" s="167" t="s">
        <v>151</v>
      </c>
      <c r="E170" s="55">
        <v>1478</v>
      </c>
      <c r="F170" s="55">
        <v>1392</v>
      </c>
      <c r="G170" s="55">
        <v>1395</v>
      </c>
      <c r="H170" s="55">
        <v>928</v>
      </c>
      <c r="I170" s="55">
        <v>1072</v>
      </c>
      <c r="J170" s="55">
        <v>1253</v>
      </c>
      <c r="K170" s="55">
        <v>373</v>
      </c>
      <c r="L170" s="55">
        <v>413</v>
      </c>
      <c r="M170" s="55">
        <v>695</v>
      </c>
      <c r="N170" s="55">
        <v>1141</v>
      </c>
      <c r="O170" s="33" t="s">
        <v>127</v>
      </c>
      <c r="P170" s="184"/>
    </row>
    <row r="171" spans="2:20" outlineLevel="1" x14ac:dyDescent="0.25">
      <c r="B171" s="167" t="s">
        <v>152</v>
      </c>
      <c r="E171" s="55">
        <v>881</v>
      </c>
      <c r="F171" s="55">
        <v>922</v>
      </c>
      <c r="G171" s="55">
        <v>971</v>
      </c>
      <c r="H171" s="55">
        <v>952</v>
      </c>
      <c r="I171" s="55">
        <v>1016</v>
      </c>
      <c r="J171" s="55">
        <v>651</v>
      </c>
      <c r="K171" s="55">
        <v>550</v>
      </c>
      <c r="L171" s="55">
        <v>593</v>
      </c>
      <c r="M171" s="55">
        <v>670</v>
      </c>
      <c r="N171" s="55">
        <v>631</v>
      </c>
      <c r="O171" s="33" t="s">
        <v>153</v>
      </c>
      <c r="P171" s="184"/>
    </row>
    <row r="172" spans="2:20" outlineLevel="1" x14ac:dyDescent="0.25">
      <c r="B172" s="167" t="s">
        <v>154</v>
      </c>
      <c r="E172" s="55">
        <v>1131</v>
      </c>
      <c r="F172" s="55">
        <v>1366</v>
      </c>
      <c r="G172" s="55">
        <v>1435</v>
      </c>
      <c r="H172" s="55">
        <v>1485</v>
      </c>
      <c r="I172" s="55">
        <v>1224</v>
      </c>
      <c r="J172" s="55">
        <v>956</v>
      </c>
      <c r="K172" s="55">
        <v>966</v>
      </c>
      <c r="L172" s="55">
        <v>938</v>
      </c>
      <c r="M172" s="55">
        <v>784</v>
      </c>
      <c r="N172" s="55">
        <v>1053</v>
      </c>
      <c r="O172" s="33" t="s">
        <v>116</v>
      </c>
      <c r="P172" s="183"/>
    </row>
    <row r="173" spans="2:20" outlineLevel="1" x14ac:dyDescent="0.25">
      <c r="B173" s="45"/>
      <c r="F173" s="50"/>
      <c r="G173" s="50"/>
      <c r="H173" s="50"/>
      <c r="I173" s="50"/>
      <c r="J173" s="50"/>
      <c r="K173" s="50"/>
      <c r="L173" s="50"/>
      <c r="M173" s="50"/>
      <c r="N173" s="50"/>
    </row>
    <row r="174" spans="2:20" ht="13" outlineLevel="1" x14ac:dyDescent="0.3">
      <c r="B174" s="171" t="s">
        <v>155</v>
      </c>
      <c r="C174" s="153"/>
      <c r="D174" s="153"/>
      <c r="E174" s="155">
        <f>+E175+E176+E177+E178+E182+E185+E189</f>
        <v>53018</v>
      </c>
      <c r="F174" s="155">
        <f t="shared" ref="F174:N174" si="185">+F175+F176+F177+F178+F182+F185+F189</f>
        <v>61510</v>
      </c>
      <c r="G174" s="155">
        <f t="shared" si="185"/>
        <v>67509</v>
      </c>
      <c r="H174" s="155">
        <f t="shared" si="185"/>
        <v>69975</v>
      </c>
      <c r="I174" s="155">
        <f>+I175+I176+I177+I178+I182+I185+I189</f>
        <v>73778</v>
      </c>
      <c r="J174" s="155">
        <f>+J175+J176+J177+J178+J182+J185+J189</f>
        <v>74275</v>
      </c>
      <c r="K174" s="155">
        <f t="shared" si="185"/>
        <v>72331</v>
      </c>
      <c r="L174" s="155">
        <f t="shared" si="185"/>
        <v>81760</v>
      </c>
      <c r="M174" s="155">
        <f t="shared" si="185"/>
        <v>86333</v>
      </c>
      <c r="N174" s="155">
        <f t="shared" si="185"/>
        <v>90453</v>
      </c>
    </row>
    <row r="175" spans="2:20" outlineLevel="1" x14ac:dyDescent="0.25">
      <c r="B175" s="167" t="s">
        <v>156</v>
      </c>
      <c r="E175" s="55">
        <v>4128</v>
      </c>
      <c r="F175" s="55">
        <v>5821</v>
      </c>
      <c r="G175" s="55">
        <v>6328</v>
      </c>
      <c r="H175" s="55">
        <v>5879</v>
      </c>
      <c r="I175" s="55">
        <v>5780</v>
      </c>
      <c r="J175" s="55">
        <v>5640</v>
      </c>
      <c r="K175" s="55">
        <v>4792</v>
      </c>
      <c r="L175" s="55">
        <v>5213</v>
      </c>
      <c r="M175" s="55">
        <v>4924</v>
      </c>
      <c r="N175" s="55">
        <v>5468</v>
      </c>
      <c r="O175" s="33" t="s">
        <v>117</v>
      </c>
      <c r="P175" s="184"/>
      <c r="Q175" s="50"/>
    </row>
    <row r="176" spans="2:20" outlineLevel="1" x14ac:dyDescent="0.25">
      <c r="B176" s="167" t="s">
        <v>157</v>
      </c>
      <c r="E176" s="55">
        <v>28605</v>
      </c>
      <c r="F176" s="55">
        <v>34358</v>
      </c>
      <c r="G176" s="55">
        <v>39334</v>
      </c>
      <c r="H176" s="55">
        <v>42067</v>
      </c>
      <c r="I176" s="55">
        <v>45374</v>
      </c>
      <c r="J176" s="55">
        <v>40820</v>
      </c>
      <c r="K176" s="55">
        <v>39498</v>
      </c>
      <c r="L176" s="55">
        <v>44247</v>
      </c>
      <c r="M176" s="55">
        <v>49615</v>
      </c>
      <c r="N176" s="55">
        <v>54355</v>
      </c>
      <c r="O176" s="33" t="s">
        <v>117</v>
      </c>
      <c r="P176" s="184"/>
      <c r="Q176" s="50"/>
    </row>
    <row r="177" spans="2:25" outlineLevel="1" x14ac:dyDescent="0.25">
      <c r="B177" s="167" t="s">
        <v>158</v>
      </c>
      <c r="E177" s="55">
        <v>1262</v>
      </c>
      <c r="F177" s="55">
        <v>1914</v>
      </c>
      <c r="G177" s="55">
        <v>1753</v>
      </c>
      <c r="H177" s="55">
        <v>1399</v>
      </c>
      <c r="I177" s="55">
        <v>1258</v>
      </c>
      <c r="J177" s="55">
        <v>910</v>
      </c>
      <c r="K177" s="55">
        <v>788</v>
      </c>
      <c r="L177" s="55">
        <v>998</v>
      </c>
      <c r="M177" s="55">
        <v>825</v>
      </c>
      <c r="N177" s="55">
        <v>990</v>
      </c>
      <c r="O177" s="33" t="s">
        <v>117</v>
      </c>
      <c r="P177" s="184"/>
      <c r="Q177" s="50"/>
      <c r="R177" s="50"/>
      <c r="S177" s="50"/>
      <c r="T177" s="50"/>
      <c r="U177" s="50"/>
      <c r="V177" s="50"/>
      <c r="W177" s="50"/>
      <c r="X177" s="50"/>
      <c r="Y177" s="50"/>
    </row>
    <row r="178" spans="2:25" ht="13" outlineLevel="1" x14ac:dyDescent="0.3">
      <c r="B178" s="170" t="s">
        <v>159</v>
      </c>
      <c r="C178" s="41"/>
      <c r="D178" s="41"/>
      <c r="E178" s="56">
        <f>SUM(E179:E181)</f>
        <v>1760</v>
      </c>
      <c r="F178" s="56">
        <f t="shared" ref="F178:M178" si="186">SUM(F179:F181)</f>
        <v>1908</v>
      </c>
      <c r="G178" s="56">
        <f t="shared" si="186"/>
        <v>1932</v>
      </c>
      <c r="H178" s="56">
        <f t="shared" si="186"/>
        <v>1963</v>
      </c>
      <c r="I178" s="56">
        <f t="shared" si="186"/>
        <v>2216</v>
      </c>
      <c r="J178" s="56">
        <f t="shared" si="186"/>
        <v>1181</v>
      </c>
      <c r="K178" s="56">
        <f t="shared" si="186"/>
        <v>1380</v>
      </c>
      <c r="L178" s="56">
        <f t="shared" si="186"/>
        <v>1416</v>
      </c>
      <c r="M178" s="56">
        <f t="shared" si="186"/>
        <v>1224</v>
      </c>
      <c r="N178" s="56">
        <f>SUM(N179:N181)</f>
        <v>1673</v>
      </c>
      <c r="O178" s="33" t="s">
        <v>127</v>
      </c>
    </row>
    <row r="179" spans="2:25" outlineLevel="1" x14ac:dyDescent="0.25">
      <c r="B179" s="168" t="s">
        <v>160</v>
      </c>
      <c r="E179" s="55">
        <v>614</v>
      </c>
      <c r="F179" s="55">
        <v>952</v>
      </c>
      <c r="G179" s="55">
        <v>1184</v>
      </c>
      <c r="H179" s="55">
        <v>921</v>
      </c>
      <c r="I179" s="55">
        <v>1375</v>
      </c>
      <c r="J179" s="55">
        <v>426</v>
      </c>
      <c r="K179" s="55">
        <v>893</v>
      </c>
      <c r="L179" s="55">
        <v>587</v>
      </c>
      <c r="M179" s="55">
        <v>500</v>
      </c>
      <c r="N179" s="55">
        <v>533</v>
      </c>
      <c r="O179" s="33" t="s">
        <v>127</v>
      </c>
      <c r="P179" s="184"/>
    </row>
    <row r="180" spans="2:25" outlineLevel="1" x14ac:dyDescent="0.25">
      <c r="B180" s="168" t="s">
        <v>161</v>
      </c>
      <c r="E180" s="55">
        <v>488</v>
      </c>
      <c r="F180" s="55">
        <v>539</v>
      </c>
      <c r="G180" s="55">
        <v>263</v>
      </c>
      <c r="H180" s="55">
        <v>378</v>
      </c>
      <c r="I180" s="55">
        <v>216</v>
      </c>
      <c r="J180" s="55">
        <v>298</v>
      </c>
      <c r="K180" s="55">
        <v>181</v>
      </c>
      <c r="L180" s="55">
        <v>410</v>
      </c>
      <c r="M180" s="55">
        <v>119</v>
      </c>
      <c r="N180" s="55">
        <v>356</v>
      </c>
      <c r="O180" s="33" t="s">
        <v>117</v>
      </c>
      <c r="P180" s="184"/>
    </row>
    <row r="181" spans="2:25" outlineLevel="1" x14ac:dyDescent="0.25">
      <c r="B181" s="168" t="s">
        <v>162</v>
      </c>
      <c r="E181" s="55">
        <v>658</v>
      </c>
      <c r="F181" s="55">
        <v>417</v>
      </c>
      <c r="G181" s="55">
        <v>485</v>
      </c>
      <c r="H181" s="55">
        <v>664</v>
      </c>
      <c r="I181" s="55">
        <v>625</v>
      </c>
      <c r="J181" s="55">
        <v>457</v>
      </c>
      <c r="K181" s="55">
        <v>306</v>
      </c>
      <c r="L181" s="55">
        <v>419</v>
      </c>
      <c r="M181" s="55">
        <v>605</v>
      </c>
      <c r="N181" s="55">
        <v>784</v>
      </c>
      <c r="O181" s="33" t="s">
        <v>127</v>
      </c>
      <c r="P181" s="184"/>
    </row>
    <row r="182" spans="2:25" ht="13" outlineLevel="1" x14ac:dyDescent="0.3">
      <c r="B182" s="170" t="s">
        <v>163</v>
      </c>
      <c r="C182" s="41"/>
      <c r="D182" s="41"/>
      <c r="E182" s="56">
        <f>+E183+E184</f>
        <v>3130</v>
      </c>
      <c r="F182" s="56">
        <f t="shared" ref="F182:N182" si="187">+F183+F184</f>
        <v>3656</v>
      </c>
      <c r="G182" s="56">
        <f t="shared" si="187"/>
        <v>4105</v>
      </c>
      <c r="H182" s="56">
        <f t="shared" si="187"/>
        <v>3890</v>
      </c>
      <c r="I182" s="56">
        <f t="shared" si="187"/>
        <v>4168</v>
      </c>
      <c r="J182" s="56">
        <f t="shared" si="187"/>
        <v>4027</v>
      </c>
      <c r="K182" s="56">
        <f t="shared" si="187"/>
        <v>3816</v>
      </c>
      <c r="L182" s="56">
        <f t="shared" si="187"/>
        <v>4251</v>
      </c>
      <c r="M182" s="56">
        <f t="shared" si="187"/>
        <v>5046</v>
      </c>
      <c r="N182" s="56">
        <f t="shared" si="187"/>
        <v>5425</v>
      </c>
    </row>
    <row r="183" spans="2:25" outlineLevel="1" x14ac:dyDescent="0.25">
      <c r="B183" s="168" t="s">
        <v>164</v>
      </c>
      <c r="E183" s="55">
        <v>62</v>
      </c>
      <c r="F183" s="55">
        <v>44</v>
      </c>
      <c r="G183" s="55">
        <v>91</v>
      </c>
      <c r="H183" s="55">
        <v>111</v>
      </c>
      <c r="I183" s="55">
        <v>86</v>
      </c>
      <c r="J183" s="55">
        <v>153</v>
      </c>
      <c r="K183" s="55">
        <v>128</v>
      </c>
      <c r="L183" s="55">
        <v>154</v>
      </c>
      <c r="M183" s="55">
        <v>224</v>
      </c>
      <c r="N183" s="55">
        <v>278</v>
      </c>
      <c r="O183" s="33" t="s">
        <v>127</v>
      </c>
      <c r="P183" s="184"/>
    </row>
    <row r="184" spans="2:25" outlineLevel="1" x14ac:dyDescent="0.25">
      <c r="B184" s="168" t="s">
        <v>165</v>
      </c>
      <c r="E184" s="55">
        <v>3068</v>
      </c>
      <c r="F184" s="55">
        <v>3612</v>
      </c>
      <c r="G184" s="55">
        <v>4014</v>
      </c>
      <c r="H184" s="55">
        <v>3779</v>
      </c>
      <c r="I184" s="55">
        <v>4082</v>
      </c>
      <c r="J184" s="55">
        <v>3874</v>
      </c>
      <c r="K184" s="55">
        <v>3688</v>
      </c>
      <c r="L184" s="55">
        <v>4097</v>
      </c>
      <c r="M184" s="55">
        <v>4822</v>
      </c>
      <c r="N184" s="55">
        <v>5147</v>
      </c>
      <c r="O184" s="33" t="s">
        <v>117</v>
      </c>
      <c r="P184" s="184"/>
      <c r="Q184" s="50"/>
      <c r="R184" s="50"/>
      <c r="S184" s="50"/>
      <c r="T184" s="50"/>
      <c r="U184" s="50"/>
      <c r="V184" s="50"/>
      <c r="W184" s="50"/>
      <c r="X184" s="50"/>
      <c r="Y184" s="50"/>
    </row>
    <row r="185" spans="2:25" ht="13" outlineLevel="1" x14ac:dyDescent="0.3">
      <c r="B185" s="170" t="s">
        <v>166</v>
      </c>
      <c r="C185" s="41"/>
      <c r="D185" s="41"/>
      <c r="E185" s="54">
        <v>14133</v>
      </c>
      <c r="F185" s="54">
        <v>13853</v>
      </c>
      <c r="G185" s="54">
        <v>14057</v>
      </c>
      <c r="H185" s="54">
        <v>14777</v>
      </c>
      <c r="I185" s="54">
        <v>14982</v>
      </c>
      <c r="J185" s="54">
        <v>21697</v>
      </c>
      <c r="K185" s="54">
        <v>21928</v>
      </c>
      <c r="L185" s="54">
        <v>21774</v>
      </c>
      <c r="M185" s="54">
        <v>20677</v>
      </c>
      <c r="N185" s="54">
        <v>22542</v>
      </c>
    </row>
    <row r="186" spans="2:25" outlineLevel="1" x14ac:dyDescent="0.25">
      <c r="B186" s="168" t="s">
        <v>167</v>
      </c>
      <c r="E186" s="50">
        <f t="shared" ref="E186:M186" ca="1" si="188">E185-E187</f>
        <v>14133</v>
      </c>
      <c r="F186" s="50">
        <f t="shared" ca="1" si="188"/>
        <v>13853</v>
      </c>
      <c r="G186" s="50">
        <f t="shared" ca="1" si="188"/>
        <v>14057</v>
      </c>
      <c r="H186" s="50">
        <f t="shared" ca="1" si="188"/>
        <v>14777</v>
      </c>
      <c r="I186" s="50">
        <f t="shared" ca="1" si="188"/>
        <v>14982</v>
      </c>
      <c r="J186" s="50">
        <f t="shared" ca="1" si="188"/>
        <v>19864.230318781712</v>
      </c>
      <c r="K186" s="50">
        <f t="shared" ca="1" si="188"/>
        <v>19521.4802220399</v>
      </c>
      <c r="L186" s="50">
        <f t="shared" ca="1" si="188"/>
        <v>20307.385426336725</v>
      </c>
      <c r="M186" s="50">
        <f t="shared" ca="1" si="188"/>
        <v>20677</v>
      </c>
      <c r="N186" s="50">
        <f ca="1">N185-N187</f>
        <v>22203.409621983592</v>
      </c>
      <c r="O186" s="33" t="s">
        <v>117</v>
      </c>
      <c r="P186" s="184"/>
    </row>
    <row r="187" spans="2:25" outlineLevel="1" x14ac:dyDescent="0.25">
      <c r="B187" s="168" t="s">
        <v>168</v>
      </c>
      <c r="E187" s="135">
        <f t="shared" ref="E187:N187" ca="1" si="189">IF((E185)&gt;E163*Cash_to_sales_ratio, E185 - E163*Cash_to_sales_ratio, 0)</f>
        <v>0</v>
      </c>
      <c r="F187" s="135">
        <f t="shared" ca="1" si="189"/>
        <v>0</v>
      </c>
      <c r="G187" s="135">
        <f t="shared" ca="1" si="189"/>
        <v>0</v>
      </c>
      <c r="H187" s="135">
        <f t="shared" ca="1" si="189"/>
        <v>0</v>
      </c>
      <c r="I187" s="135">
        <f t="shared" ca="1" si="189"/>
        <v>0</v>
      </c>
      <c r="J187" s="135">
        <f t="shared" ca="1" si="189"/>
        <v>1832.7696812182876</v>
      </c>
      <c r="K187" s="135">
        <f t="shared" ca="1" si="189"/>
        <v>2406.5197779601003</v>
      </c>
      <c r="L187" s="135">
        <f t="shared" ca="1" si="189"/>
        <v>1466.6145736632752</v>
      </c>
      <c r="M187" s="135">
        <f t="shared" ca="1" si="189"/>
        <v>0</v>
      </c>
      <c r="N187" s="135">
        <f t="shared" ca="1" si="189"/>
        <v>338.59037801640807</v>
      </c>
      <c r="O187" s="33" t="s">
        <v>169</v>
      </c>
      <c r="P187" s="184"/>
    </row>
    <row r="188" spans="2:25" outlineLevel="1" x14ac:dyDescent="0.25">
      <c r="B188" s="168" t="s">
        <v>170</v>
      </c>
      <c r="E188" s="55">
        <v>613</v>
      </c>
      <c r="F188" s="55">
        <v>477</v>
      </c>
      <c r="G188" s="55">
        <v>506</v>
      </c>
      <c r="H188" s="55">
        <v>551</v>
      </c>
      <c r="I188" s="55">
        <v>540</v>
      </c>
      <c r="J188" s="55">
        <v>670</v>
      </c>
      <c r="K188" s="55">
        <v>909</v>
      </c>
      <c r="L188" s="55">
        <v>1169</v>
      </c>
      <c r="M188" s="55">
        <v>980</v>
      </c>
      <c r="N188" s="55">
        <v>968</v>
      </c>
      <c r="O188" s="33" t="s">
        <v>171</v>
      </c>
    </row>
    <row r="189" spans="2:25" outlineLevel="1" x14ac:dyDescent="0.25">
      <c r="B189" s="167" t="s">
        <v>131</v>
      </c>
      <c r="E189" s="55">
        <v>0</v>
      </c>
      <c r="F189" s="55">
        <v>0</v>
      </c>
      <c r="G189" s="55">
        <v>0</v>
      </c>
      <c r="H189" s="55">
        <v>0</v>
      </c>
      <c r="I189" s="55">
        <v>0</v>
      </c>
      <c r="J189" s="55">
        <v>0</v>
      </c>
      <c r="K189" s="55">
        <v>129</v>
      </c>
      <c r="L189" s="55">
        <v>3861</v>
      </c>
      <c r="M189" s="55">
        <v>4022</v>
      </c>
      <c r="N189" s="55">
        <v>0</v>
      </c>
      <c r="O189" s="33" t="s">
        <v>127</v>
      </c>
      <c r="P189" s="184"/>
    </row>
    <row r="190" spans="2:25" ht="13" outlineLevel="1" x14ac:dyDescent="0.3">
      <c r="B190" s="176" t="s">
        <v>172</v>
      </c>
      <c r="C190" s="176"/>
      <c r="D190" s="176"/>
      <c r="E190" s="177">
        <f t="shared" ref="E190:N190" si="190">E191+E202+E212</f>
        <v>90605</v>
      </c>
      <c r="F190" s="177">
        <f t="shared" si="190"/>
        <v>102103</v>
      </c>
      <c r="G190" s="177">
        <f t="shared" si="190"/>
        <v>109943</v>
      </c>
      <c r="H190" s="177">
        <f t="shared" si="190"/>
        <v>114996</v>
      </c>
      <c r="I190" s="177">
        <f t="shared" si="190"/>
        <v>122171</v>
      </c>
      <c r="J190" s="177">
        <f t="shared" si="190"/>
        <v>115737</v>
      </c>
      <c r="K190" s="177">
        <f t="shared" si="190"/>
        <v>113740</v>
      </c>
      <c r="L190" s="177">
        <f t="shared" si="190"/>
        <v>118319</v>
      </c>
      <c r="M190" s="177">
        <f t="shared" si="190"/>
        <v>121913</v>
      </c>
      <c r="N190" s="177">
        <f t="shared" si="190"/>
        <v>129366</v>
      </c>
    </row>
    <row r="191" spans="2:25" ht="13" outlineLevel="1" x14ac:dyDescent="0.3">
      <c r="B191" s="175" t="s">
        <v>173</v>
      </c>
      <c r="C191" s="153"/>
      <c r="D191" s="153"/>
      <c r="E191" s="155">
        <f>E192+E200</f>
        <v>28474</v>
      </c>
      <c r="F191" s="155">
        <f t="shared" ref="F191:N191" si="191">F192+F200</f>
        <v>30895</v>
      </c>
      <c r="G191" s="155">
        <f t="shared" si="191"/>
        <v>33442</v>
      </c>
      <c r="H191" s="155">
        <f t="shared" si="191"/>
        <v>36145</v>
      </c>
      <c r="I191" s="155">
        <f t="shared" si="191"/>
        <v>35331</v>
      </c>
      <c r="J191" s="155">
        <f t="shared" si="191"/>
        <v>25338</v>
      </c>
      <c r="K191" s="155">
        <f t="shared" si="191"/>
        <v>27894</v>
      </c>
      <c r="L191" s="155">
        <f t="shared" si="191"/>
        <v>29539</v>
      </c>
      <c r="M191" s="155">
        <f t="shared" si="191"/>
        <v>30634</v>
      </c>
      <c r="N191" s="155">
        <f t="shared" si="191"/>
        <v>31102</v>
      </c>
    </row>
    <row r="192" spans="2:25" ht="13" outlineLevel="1" x14ac:dyDescent="0.3">
      <c r="B192" s="169" t="s">
        <v>174</v>
      </c>
      <c r="E192" s="56">
        <f>E193+E194+E195+E196+E197+E198+E199</f>
        <v>27992</v>
      </c>
      <c r="F192" s="56">
        <f t="shared" ref="F192:N192" si="192">F193+F194+F195+F196+F197+F198+F199</f>
        <v>30743</v>
      </c>
      <c r="G192" s="56">
        <f t="shared" si="192"/>
        <v>33148</v>
      </c>
      <c r="H192" s="56">
        <f t="shared" si="192"/>
        <v>35546</v>
      </c>
      <c r="I192" s="56">
        <f t="shared" si="192"/>
        <v>34564</v>
      </c>
      <c r="J192" s="56">
        <f t="shared" si="192"/>
        <v>24772</v>
      </c>
      <c r="K192" s="56">
        <f t="shared" si="192"/>
        <v>27320</v>
      </c>
      <c r="L192" s="56">
        <f t="shared" si="192"/>
        <v>28798</v>
      </c>
      <c r="M192" s="56">
        <f t="shared" si="192"/>
        <v>29752</v>
      </c>
      <c r="N192" s="56">
        <f t="shared" si="192"/>
        <v>30309</v>
      </c>
    </row>
    <row r="193" spans="2:16" outlineLevel="1" x14ac:dyDescent="0.25">
      <c r="B193" s="167" t="s">
        <v>175</v>
      </c>
      <c r="E193" s="55">
        <v>1127</v>
      </c>
      <c r="F193" s="55">
        <v>1127</v>
      </c>
      <c r="G193" s="55">
        <v>1127</v>
      </c>
      <c r="H193" s="55">
        <v>1127</v>
      </c>
      <c r="I193" s="55">
        <v>1127</v>
      </c>
      <c r="J193" s="55">
        <v>1127</v>
      </c>
      <c r="K193" s="55">
        <v>1127</v>
      </c>
      <c r="L193" s="55">
        <v>1127</v>
      </c>
      <c r="M193" s="55">
        <v>1127</v>
      </c>
      <c r="N193" s="55">
        <v>1127</v>
      </c>
      <c r="O193" s="33" t="s">
        <v>138</v>
      </c>
      <c r="P193" s="183"/>
    </row>
    <row r="194" spans="2:16" outlineLevel="1" x14ac:dyDescent="0.25">
      <c r="B194" s="167" t="s">
        <v>176</v>
      </c>
      <c r="E194" s="55">
        <v>3785</v>
      </c>
      <c r="F194" s="55">
        <v>3785</v>
      </c>
      <c r="G194" s="55">
        <v>3785</v>
      </c>
      <c r="H194" s="55">
        <v>3785</v>
      </c>
      <c r="I194" s="55">
        <v>3785</v>
      </c>
      <c r="J194" s="55">
        <v>3785</v>
      </c>
      <c r="K194" s="55">
        <v>3785</v>
      </c>
      <c r="L194" s="55">
        <v>3785</v>
      </c>
      <c r="M194" s="55">
        <v>3785</v>
      </c>
      <c r="N194" s="55">
        <v>3785</v>
      </c>
      <c r="O194" s="33" t="s">
        <v>138</v>
      </c>
      <c r="P194" s="183"/>
    </row>
    <row r="195" spans="2:16" outlineLevel="1" x14ac:dyDescent="0.25">
      <c r="B195" s="167" t="s">
        <v>177</v>
      </c>
      <c r="E195" s="55">
        <v>-227</v>
      </c>
      <c r="F195" s="55">
        <v>-321</v>
      </c>
      <c r="G195" s="55">
        <v>-494</v>
      </c>
      <c r="H195" s="55">
        <v>-400</v>
      </c>
      <c r="I195" s="55">
        <v>-344</v>
      </c>
      <c r="J195" s="55">
        <v>-284</v>
      </c>
      <c r="K195" s="55">
        <v>-237</v>
      </c>
      <c r="L195" s="55">
        <v>-208</v>
      </c>
      <c r="M195" s="55">
        <v>-212</v>
      </c>
      <c r="N195" s="55">
        <v>-281</v>
      </c>
      <c r="O195" s="33" t="s">
        <v>138</v>
      </c>
      <c r="P195" s="183"/>
    </row>
    <row r="196" spans="2:16" outlineLevel="1" x14ac:dyDescent="0.25">
      <c r="B196" s="167" t="s">
        <v>178</v>
      </c>
      <c r="E196" s="55">
        <v>890</v>
      </c>
      <c r="F196" s="55">
        <v>758</v>
      </c>
      <c r="G196" s="55">
        <v>809</v>
      </c>
      <c r="H196" s="55">
        <v>236</v>
      </c>
      <c r="I196" s="55">
        <v>232</v>
      </c>
      <c r="J196" s="55">
        <v>384</v>
      </c>
      <c r="K196" s="55">
        <v>5</v>
      </c>
      <c r="L196" s="55">
        <v>208</v>
      </c>
      <c r="M196" s="55">
        <v>-111</v>
      </c>
      <c r="N196" s="55">
        <v>-93</v>
      </c>
      <c r="O196" s="33" t="s">
        <v>138</v>
      </c>
      <c r="P196" s="183"/>
    </row>
    <row r="197" spans="2:16" outlineLevel="1" x14ac:dyDescent="0.25">
      <c r="B197" s="167" t="s">
        <v>179</v>
      </c>
      <c r="E197" s="55">
        <v>-2059</v>
      </c>
      <c r="F197" s="55">
        <v>-1668</v>
      </c>
      <c r="G197" s="55">
        <v>-3376</v>
      </c>
      <c r="H197" s="55">
        <v>-2826</v>
      </c>
      <c r="I197" s="55">
        <v>-2584</v>
      </c>
      <c r="J197" s="55">
        <v>-4108</v>
      </c>
      <c r="K197" s="55">
        <v>-3407</v>
      </c>
      <c r="L197" s="55">
        <v>-2146</v>
      </c>
      <c r="M197" s="55">
        <v>-3140</v>
      </c>
      <c r="N197" s="55">
        <v>-2833</v>
      </c>
      <c r="O197" s="33" t="s">
        <v>138</v>
      </c>
      <c r="P197" s="183"/>
    </row>
    <row r="198" spans="2:16" outlineLevel="1" x14ac:dyDescent="0.25">
      <c r="B198" s="167" t="s">
        <v>180</v>
      </c>
      <c r="E198" s="55">
        <v>21653</v>
      </c>
      <c r="F198" s="55">
        <v>23643</v>
      </c>
      <c r="G198" s="55">
        <v>26183</v>
      </c>
      <c r="H198" s="55">
        <v>30322</v>
      </c>
      <c r="I198" s="55">
        <v>32489</v>
      </c>
      <c r="J198" s="55">
        <v>31876</v>
      </c>
      <c r="K198" s="55">
        <v>25159</v>
      </c>
      <c r="L198" s="55">
        <v>26370</v>
      </c>
      <c r="M198" s="55">
        <v>26105</v>
      </c>
      <c r="N198" s="55">
        <v>27852</v>
      </c>
      <c r="O198" s="33" t="s">
        <v>138</v>
      </c>
      <c r="P198" s="183"/>
    </row>
    <row r="199" spans="2:16" outlineLevel="1" x14ac:dyDescent="0.25">
      <c r="B199" s="167" t="s">
        <v>181</v>
      </c>
      <c r="E199" s="55">
        <v>2823</v>
      </c>
      <c r="F199" s="55">
        <v>3419</v>
      </c>
      <c r="G199" s="55">
        <v>5114</v>
      </c>
      <c r="H199" s="55">
        <v>3302</v>
      </c>
      <c r="I199" s="55">
        <v>-141</v>
      </c>
      <c r="J199" s="55">
        <v>-8008</v>
      </c>
      <c r="K199" s="55">
        <v>888</v>
      </c>
      <c r="L199" s="55">
        <v>-338</v>
      </c>
      <c r="M199" s="55">
        <v>2198</v>
      </c>
      <c r="N199" s="55">
        <v>752</v>
      </c>
      <c r="O199" s="33" t="s">
        <v>138</v>
      </c>
      <c r="P199" s="183"/>
    </row>
    <row r="200" spans="2:16" outlineLevel="1" x14ac:dyDescent="0.25">
      <c r="B200" s="60" t="s">
        <v>182</v>
      </c>
      <c r="E200" s="55">
        <v>482</v>
      </c>
      <c r="F200" s="55">
        <v>152</v>
      </c>
      <c r="G200" s="55">
        <v>294</v>
      </c>
      <c r="H200" s="55">
        <v>599</v>
      </c>
      <c r="I200" s="55">
        <v>767</v>
      </c>
      <c r="J200" s="55">
        <v>566</v>
      </c>
      <c r="K200" s="55">
        <v>574</v>
      </c>
      <c r="L200" s="55">
        <v>741</v>
      </c>
      <c r="M200" s="55">
        <v>882</v>
      </c>
      <c r="N200" s="55">
        <v>793</v>
      </c>
      <c r="O200" s="33" t="s">
        <v>138</v>
      </c>
      <c r="P200" s="183"/>
    </row>
    <row r="201" spans="2:16" outlineLevel="1" x14ac:dyDescent="0.25">
      <c r="E201" s="50"/>
      <c r="F201" s="50"/>
      <c r="G201" s="50"/>
      <c r="H201" s="50"/>
      <c r="I201" s="50"/>
      <c r="J201" s="50"/>
      <c r="K201" s="50"/>
      <c r="L201" s="50"/>
      <c r="M201" s="50"/>
      <c r="N201" s="50"/>
    </row>
    <row r="202" spans="2:16" ht="13" outlineLevel="1" x14ac:dyDescent="0.3">
      <c r="B202" s="153" t="s">
        <v>183</v>
      </c>
      <c r="C202" s="153"/>
      <c r="D202" s="153"/>
      <c r="E202" s="155">
        <f t="shared" ref="E202:N202" si="193">E203+E204+E209+E210</f>
        <v>9842</v>
      </c>
      <c r="F202" s="155">
        <f t="shared" si="193"/>
        <v>9455</v>
      </c>
      <c r="G202" s="155">
        <f t="shared" si="193"/>
        <v>10258</v>
      </c>
      <c r="H202" s="155">
        <f t="shared" si="193"/>
        <v>11050</v>
      </c>
      <c r="I202" s="155">
        <f t="shared" si="193"/>
        <v>14853</v>
      </c>
      <c r="J202" s="155">
        <f t="shared" si="193"/>
        <v>19109</v>
      </c>
      <c r="K202" s="155">
        <f t="shared" si="193"/>
        <v>18561</v>
      </c>
      <c r="L202" s="155">
        <f t="shared" si="193"/>
        <v>15735</v>
      </c>
      <c r="M202" s="155">
        <f t="shared" si="193"/>
        <v>13346</v>
      </c>
      <c r="N202" s="155">
        <f t="shared" si="193"/>
        <v>11715</v>
      </c>
    </row>
    <row r="203" spans="2:16" outlineLevel="1" x14ac:dyDescent="0.25">
      <c r="B203" s="45" t="s">
        <v>184</v>
      </c>
      <c r="E203" s="55">
        <v>122</v>
      </c>
      <c r="F203" s="55">
        <v>124</v>
      </c>
      <c r="G203" s="55">
        <v>180</v>
      </c>
      <c r="H203" s="55">
        <v>135</v>
      </c>
      <c r="I203" s="55">
        <v>1044</v>
      </c>
      <c r="J203" s="55">
        <v>922</v>
      </c>
      <c r="K203" s="55">
        <v>1009</v>
      </c>
      <c r="L203" s="55">
        <v>1021</v>
      </c>
      <c r="M203" s="55">
        <v>917</v>
      </c>
      <c r="N203" s="55">
        <v>924</v>
      </c>
      <c r="O203" s="178" t="s">
        <v>185</v>
      </c>
    </row>
    <row r="204" spans="2:16" ht="13" outlineLevel="1" x14ac:dyDescent="0.3">
      <c r="B204" s="44" t="s">
        <v>186</v>
      </c>
      <c r="C204" s="41"/>
      <c r="D204" s="41"/>
      <c r="E204" s="56">
        <f t="shared" ref="E204:N204" si="194">+E205+E206</f>
        <v>2728</v>
      </c>
      <c r="F204" s="56">
        <f t="shared" si="194"/>
        <v>3174</v>
      </c>
      <c r="G204" s="56">
        <f t="shared" si="194"/>
        <v>3098</v>
      </c>
      <c r="H204" s="56">
        <f t="shared" si="194"/>
        <v>3134</v>
      </c>
      <c r="I204" s="56">
        <f t="shared" si="194"/>
        <v>3281</v>
      </c>
      <c r="J204" s="56">
        <f t="shared" si="194"/>
        <v>3079</v>
      </c>
      <c r="K204" s="56">
        <f t="shared" si="194"/>
        <v>2863</v>
      </c>
      <c r="L204" s="56">
        <f t="shared" si="194"/>
        <v>2604</v>
      </c>
      <c r="M204" s="56">
        <f t="shared" si="194"/>
        <v>2531</v>
      </c>
      <c r="N204" s="56">
        <f t="shared" si="194"/>
        <v>2660</v>
      </c>
    </row>
    <row r="205" spans="2:16" outlineLevel="1" x14ac:dyDescent="0.25">
      <c r="B205" s="60" t="s">
        <v>187</v>
      </c>
      <c r="E205" s="55">
        <v>1550</v>
      </c>
      <c r="F205" s="55">
        <v>1717</v>
      </c>
      <c r="G205" s="55">
        <v>1584</v>
      </c>
      <c r="H205" s="55">
        <v>1531</v>
      </c>
      <c r="I205" s="55">
        <v>1636</v>
      </c>
      <c r="J205" s="55">
        <v>1544</v>
      </c>
      <c r="K205" s="55">
        <v>1355</v>
      </c>
      <c r="L205" s="55">
        <v>1029</v>
      </c>
      <c r="M205" s="55">
        <v>1071</v>
      </c>
      <c r="N205" s="55">
        <v>1113</v>
      </c>
      <c r="O205" s="33" t="s">
        <v>132</v>
      </c>
      <c r="P205" s="183"/>
    </row>
    <row r="206" spans="2:16" ht="13" outlineLevel="1" x14ac:dyDescent="0.3">
      <c r="B206" s="169" t="s">
        <v>188</v>
      </c>
      <c r="C206" s="41"/>
      <c r="D206" s="41"/>
      <c r="E206" s="54">
        <v>1178</v>
      </c>
      <c r="F206" s="54">
        <v>1457</v>
      </c>
      <c r="G206" s="54">
        <v>1514</v>
      </c>
      <c r="H206" s="54">
        <v>1603</v>
      </c>
      <c r="I206" s="56">
        <f t="shared" ref="I206:M206" si="195">SUM(I207:I208)</f>
        <v>1645</v>
      </c>
      <c r="J206" s="56">
        <f t="shared" si="195"/>
        <v>1535</v>
      </c>
      <c r="K206" s="56">
        <f t="shared" si="195"/>
        <v>1508</v>
      </c>
      <c r="L206" s="56">
        <f t="shared" si="195"/>
        <v>1575</v>
      </c>
      <c r="M206" s="56">
        <f t="shared" si="195"/>
        <v>1460</v>
      </c>
      <c r="N206" s="56">
        <f>SUM(N207:N208)</f>
        <v>1547</v>
      </c>
    </row>
    <row r="207" spans="2:16" outlineLevel="1" x14ac:dyDescent="0.25">
      <c r="B207" s="167" t="s">
        <v>189</v>
      </c>
      <c r="E207" s="55">
        <v>0</v>
      </c>
      <c r="F207" s="55">
        <v>0</v>
      </c>
      <c r="G207" s="55">
        <v>0</v>
      </c>
      <c r="H207" s="55">
        <v>0</v>
      </c>
      <c r="I207" s="55">
        <v>1458</v>
      </c>
      <c r="J207" s="55">
        <v>1356</v>
      </c>
      <c r="K207" s="55">
        <v>1291</v>
      </c>
      <c r="L207" s="55">
        <v>1341</v>
      </c>
      <c r="M207" s="55">
        <v>1224</v>
      </c>
      <c r="N207" s="55">
        <v>1272</v>
      </c>
      <c r="O207" s="33" t="s">
        <v>190</v>
      </c>
      <c r="P207" s="183"/>
    </row>
    <row r="208" spans="2:16" outlineLevel="1" x14ac:dyDescent="0.25">
      <c r="B208" s="167" t="s">
        <v>191</v>
      </c>
      <c r="E208" s="55">
        <v>0</v>
      </c>
      <c r="F208" s="55">
        <v>0</v>
      </c>
      <c r="G208" s="55">
        <v>0</v>
      </c>
      <c r="H208" s="55">
        <v>0</v>
      </c>
      <c r="I208" s="55">
        <v>187</v>
      </c>
      <c r="J208" s="55">
        <v>179</v>
      </c>
      <c r="K208" s="55">
        <v>217</v>
      </c>
      <c r="L208" s="55">
        <v>234</v>
      </c>
      <c r="M208" s="55">
        <v>236</v>
      </c>
      <c r="N208" s="55">
        <v>275</v>
      </c>
      <c r="O208" s="33" t="s">
        <v>132</v>
      </c>
      <c r="P208" s="183"/>
    </row>
    <row r="209" spans="2:16" outlineLevel="1" x14ac:dyDescent="0.25">
      <c r="B209" s="45" t="s">
        <v>192</v>
      </c>
      <c r="E209" s="50">
        <v>5707</v>
      </c>
      <c r="F209" s="50">
        <v>4639</v>
      </c>
      <c r="G209" s="50">
        <v>5401</v>
      </c>
      <c r="H209" s="50">
        <v>6209</v>
      </c>
      <c r="I209" s="50">
        <v>8794</v>
      </c>
      <c r="J209" s="50">
        <v>13423</v>
      </c>
      <c r="K209" s="50">
        <v>13232</v>
      </c>
      <c r="L209" s="50">
        <v>10738</v>
      </c>
      <c r="M209" s="50">
        <v>8956</v>
      </c>
      <c r="N209" s="50">
        <v>7266</v>
      </c>
      <c r="O209" s="33" t="s">
        <v>193</v>
      </c>
      <c r="P209" s="183"/>
    </row>
    <row r="210" spans="2:16" outlineLevel="1" x14ac:dyDescent="0.25">
      <c r="B210" s="45" t="s">
        <v>194</v>
      </c>
      <c r="E210" s="50">
        <v>1285</v>
      </c>
      <c r="F210" s="50">
        <v>1518</v>
      </c>
      <c r="G210" s="50">
        <v>1579</v>
      </c>
      <c r="H210" s="50">
        <v>1572</v>
      </c>
      <c r="I210" s="50">
        <v>1734</v>
      </c>
      <c r="J210" s="50">
        <v>1685</v>
      </c>
      <c r="K210" s="50">
        <v>1457</v>
      </c>
      <c r="L210" s="50">
        <v>1372</v>
      </c>
      <c r="M210" s="50">
        <v>942</v>
      </c>
      <c r="N210" s="50">
        <v>865</v>
      </c>
      <c r="O210" s="33" t="s">
        <v>190</v>
      </c>
      <c r="P210" s="183"/>
    </row>
    <row r="211" spans="2:16" outlineLevel="1" x14ac:dyDescent="0.25">
      <c r="E211" s="50"/>
      <c r="F211" s="50"/>
      <c r="G211" s="50"/>
      <c r="H211" s="50"/>
      <c r="I211" s="50"/>
      <c r="J211" s="50"/>
      <c r="K211" s="50"/>
      <c r="L211" s="50"/>
      <c r="M211" s="50"/>
      <c r="N211" s="50"/>
    </row>
    <row r="212" spans="2:16" ht="13" outlineLevel="1" x14ac:dyDescent="0.3">
      <c r="B212" s="153" t="s">
        <v>195</v>
      </c>
      <c r="C212" s="153"/>
      <c r="D212" s="153"/>
      <c r="E212" s="155">
        <f t="shared" ref="E212:N212" si="196">E213+E218+E219+E220+E221+E222+E223</f>
        <v>52289</v>
      </c>
      <c r="F212" s="155">
        <f t="shared" si="196"/>
        <v>61753</v>
      </c>
      <c r="G212" s="155">
        <f t="shared" si="196"/>
        <v>66243</v>
      </c>
      <c r="H212" s="155">
        <f t="shared" si="196"/>
        <v>67801</v>
      </c>
      <c r="I212" s="155">
        <f t="shared" si="196"/>
        <v>71987</v>
      </c>
      <c r="J212" s="155">
        <f t="shared" si="196"/>
        <v>71290</v>
      </c>
      <c r="K212" s="155">
        <f t="shared" si="196"/>
        <v>67285</v>
      </c>
      <c r="L212" s="155">
        <f t="shared" si="196"/>
        <v>73045</v>
      </c>
      <c r="M212" s="155">
        <f t="shared" si="196"/>
        <v>77933</v>
      </c>
      <c r="N212" s="155">
        <f t="shared" si="196"/>
        <v>86549</v>
      </c>
    </row>
    <row r="213" spans="2:16" ht="13" outlineLevel="1" x14ac:dyDescent="0.3">
      <c r="B213" s="44" t="s">
        <v>196</v>
      </c>
      <c r="C213" s="41"/>
      <c r="D213" s="41"/>
      <c r="E213" s="56">
        <f t="shared" ref="E213:M213" si="197">E214+E215</f>
        <v>1047</v>
      </c>
      <c r="F213" s="56">
        <f t="shared" si="197"/>
        <v>1159</v>
      </c>
      <c r="G213" s="56">
        <f t="shared" si="197"/>
        <v>966</v>
      </c>
      <c r="H213" s="56">
        <f t="shared" si="197"/>
        <v>1121</v>
      </c>
      <c r="I213" s="56">
        <f t="shared" si="197"/>
        <v>1136</v>
      </c>
      <c r="J213" s="56">
        <f t="shared" si="197"/>
        <v>1679</v>
      </c>
      <c r="K213" s="56">
        <f t="shared" si="197"/>
        <v>1641</v>
      </c>
      <c r="L213" s="56">
        <f t="shared" si="197"/>
        <v>1153</v>
      </c>
      <c r="M213" s="56">
        <f t="shared" si="197"/>
        <v>1287</v>
      </c>
      <c r="N213" s="56">
        <f>N214+N215</f>
        <v>1100</v>
      </c>
    </row>
    <row r="214" spans="2:16" ht="13" outlineLevel="1" x14ac:dyDescent="0.3">
      <c r="B214" s="60" t="s">
        <v>197</v>
      </c>
      <c r="C214" s="41"/>
      <c r="D214" s="41"/>
      <c r="E214" s="55">
        <v>50</v>
      </c>
      <c r="F214" s="55">
        <v>54</v>
      </c>
      <c r="G214" s="55">
        <v>51</v>
      </c>
      <c r="H214" s="55">
        <v>56</v>
      </c>
      <c r="I214" s="55">
        <v>64</v>
      </c>
      <c r="J214" s="55">
        <v>103</v>
      </c>
      <c r="K214" s="55">
        <v>85</v>
      </c>
      <c r="L214" s="55">
        <v>45</v>
      </c>
      <c r="M214" s="55">
        <v>137</v>
      </c>
      <c r="N214" s="55">
        <v>17</v>
      </c>
      <c r="O214" s="33" t="s">
        <v>132</v>
      </c>
      <c r="P214" s="183"/>
    </row>
    <row r="215" spans="2:16" ht="13" outlineLevel="1" x14ac:dyDescent="0.3">
      <c r="B215" s="169" t="s">
        <v>198</v>
      </c>
      <c r="C215" s="41"/>
      <c r="D215" s="41"/>
      <c r="E215" s="54">
        <v>997</v>
      </c>
      <c r="F215" s="54">
        <v>1105</v>
      </c>
      <c r="G215" s="54">
        <v>915</v>
      </c>
      <c r="H215" s="54">
        <v>1065</v>
      </c>
      <c r="I215" s="56">
        <f t="shared" ref="I215:M215" si="198">I216+I217</f>
        <v>1072</v>
      </c>
      <c r="J215" s="56">
        <f t="shared" si="198"/>
        <v>1576</v>
      </c>
      <c r="K215" s="56">
        <f t="shared" si="198"/>
        <v>1556</v>
      </c>
      <c r="L215" s="56">
        <f t="shared" si="198"/>
        <v>1108</v>
      </c>
      <c r="M215" s="56">
        <f t="shared" si="198"/>
        <v>1150</v>
      </c>
      <c r="N215" s="56">
        <f>N216+N217</f>
        <v>1083</v>
      </c>
      <c r="P215" s="183"/>
    </row>
    <row r="216" spans="2:16" outlineLevel="1" x14ac:dyDescent="0.25">
      <c r="B216" s="167" t="s">
        <v>199</v>
      </c>
      <c r="E216" s="55">
        <v>0</v>
      </c>
      <c r="F216" s="55">
        <v>0</v>
      </c>
      <c r="G216" s="55">
        <v>0</v>
      </c>
      <c r="H216" s="55">
        <v>0</v>
      </c>
      <c r="I216" s="55">
        <v>1064</v>
      </c>
      <c r="J216" s="55">
        <v>1570</v>
      </c>
      <c r="K216" s="55">
        <v>1550</v>
      </c>
      <c r="L216" s="55">
        <v>1087</v>
      </c>
      <c r="M216" s="55">
        <v>1130</v>
      </c>
      <c r="N216" s="55">
        <v>1083</v>
      </c>
      <c r="O216" s="33" t="s">
        <v>190</v>
      </c>
      <c r="P216" s="183"/>
    </row>
    <row r="217" spans="2:16" outlineLevel="1" x14ac:dyDescent="0.25">
      <c r="B217" s="167" t="s">
        <v>200</v>
      </c>
      <c r="E217" s="55">
        <v>0</v>
      </c>
      <c r="F217" s="55">
        <v>0</v>
      </c>
      <c r="G217" s="55">
        <v>0</v>
      </c>
      <c r="H217" s="55">
        <v>0</v>
      </c>
      <c r="I217" s="55">
        <v>8</v>
      </c>
      <c r="J217" s="55">
        <v>6</v>
      </c>
      <c r="K217" s="55">
        <v>6</v>
      </c>
      <c r="L217" s="55">
        <v>21</v>
      </c>
      <c r="M217" s="55">
        <v>20</v>
      </c>
      <c r="N217" s="55">
        <v>0</v>
      </c>
      <c r="O217" s="33" t="s">
        <v>190</v>
      </c>
      <c r="P217" s="183"/>
    </row>
    <row r="218" spans="2:16" outlineLevel="1" x14ac:dyDescent="0.25">
      <c r="B218" s="33" t="s">
        <v>201</v>
      </c>
      <c r="E218" s="50">
        <v>4143</v>
      </c>
      <c r="F218" s="50">
        <v>5248</v>
      </c>
      <c r="G218" s="50">
        <v>3792</v>
      </c>
      <c r="H218" s="50">
        <v>2463</v>
      </c>
      <c r="I218" s="50">
        <v>2780</v>
      </c>
      <c r="J218" s="50">
        <v>3924</v>
      </c>
      <c r="K218" s="50">
        <v>3605</v>
      </c>
      <c r="L218" s="50">
        <v>4605</v>
      </c>
      <c r="M218" s="50">
        <v>3448</v>
      </c>
      <c r="N218" s="50">
        <v>3986</v>
      </c>
      <c r="O218" s="33" t="s">
        <v>193</v>
      </c>
      <c r="P218" s="183"/>
    </row>
    <row r="219" spans="2:16" outlineLevel="1" x14ac:dyDescent="0.25">
      <c r="B219" s="33" t="s">
        <v>202</v>
      </c>
      <c r="E219" s="50">
        <v>30740</v>
      </c>
      <c r="F219" s="50">
        <v>36041</v>
      </c>
      <c r="G219" s="50">
        <v>41395</v>
      </c>
      <c r="H219" s="50">
        <v>44495</v>
      </c>
      <c r="I219" s="50">
        <v>47465</v>
      </c>
      <c r="J219" s="50">
        <v>47547</v>
      </c>
      <c r="K219" s="50">
        <v>45123</v>
      </c>
      <c r="L219" s="50">
        <v>48999</v>
      </c>
      <c r="M219" s="50">
        <v>54095</v>
      </c>
      <c r="N219" s="50">
        <v>60438</v>
      </c>
      <c r="O219" s="33" t="s">
        <v>117</v>
      </c>
      <c r="P219" s="183"/>
    </row>
    <row r="220" spans="2:16" outlineLevel="1" x14ac:dyDescent="0.25">
      <c r="B220" s="33" t="s">
        <v>203</v>
      </c>
      <c r="E220" s="50">
        <v>8295</v>
      </c>
      <c r="F220" s="50">
        <v>9533</v>
      </c>
      <c r="G220" s="50">
        <v>9904</v>
      </c>
      <c r="H220" s="50">
        <v>9505</v>
      </c>
      <c r="I220" s="50">
        <v>9582</v>
      </c>
      <c r="J220" s="50">
        <v>8277</v>
      </c>
      <c r="K220" s="50">
        <v>7975</v>
      </c>
      <c r="L220" s="50">
        <v>8405</v>
      </c>
      <c r="M220" s="50">
        <v>7965</v>
      </c>
      <c r="N220" s="50">
        <v>9809</v>
      </c>
      <c r="O220" s="33" t="s">
        <v>117</v>
      </c>
      <c r="P220" s="183"/>
    </row>
    <row r="221" spans="2:16" outlineLevel="1" x14ac:dyDescent="0.25">
      <c r="B221" s="33" t="s">
        <v>204</v>
      </c>
      <c r="E221" s="50">
        <v>219</v>
      </c>
      <c r="F221" s="50">
        <v>321</v>
      </c>
      <c r="G221" s="50">
        <v>246</v>
      </c>
      <c r="H221" s="50">
        <v>289</v>
      </c>
      <c r="I221" s="50">
        <v>223</v>
      </c>
      <c r="J221" s="50">
        <v>221</v>
      </c>
      <c r="K221" s="50">
        <v>266</v>
      </c>
      <c r="L221" s="50">
        <v>312</v>
      </c>
      <c r="M221" s="50">
        <v>359</v>
      </c>
      <c r="N221" s="50">
        <v>370</v>
      </c>
      <c r="O221" s="33" t="s">
        <v>190</v>
      </c>
      <c r="P221" s="183"/>
    </row>
    <row r="222" spans="2:16" outlineLevel="1" x14ac:dyDescent="0.25">
      <c r="B222" s="33" t="s">
        <v>205</v>
      </c>
      <c r="E222" s="50">
        <v>7845</v>
      </c>
      <c r="F222" s="50">
        <v>9451</v>
      </c>
      <c r="G222" s="50">
        <v>9940</v>
      </c>
      <c r="H222" s="50">
        <v>9928</v>
      </c>
      <c r="I222" s="50">
        <v>10801</v>
      </c>
      <c r="J222" s="50">
        <v>9642</v>
      </c>
      <c r="K222" s="50">
        <v>8493</v>
      </c>
      <c r="L222" s="50">
        <v>8698</v>
      </c>
      <c r="M222" s="50">
        <v>9704</v>
      </c>
      <c r="N222" s="50">
        <v>10846</v>
      </c>
      <c r="O222" s="33" t="s">
        <v>190</v>
      </c>
      <c r="P222" s="183"/>
    </row>
    <row r="223" spans="2:16" outlineLevel="1" x14ac:dyDescent="0.25">
      <c r="B223" s="33" t="s">
        <v>206</v>
      </c>
      <c r="E223" s="50">
        <v>0</v>
      </c>
      <c r="F223" s="50">
        <v>0</v>
      </c>
      <c r="G223" s="50">
        <v>0</v>
      </c>
      <c r="H223" s="50">
        <v>0</v>
      </c>
      <c r="I223" s="50">
        <v>0</v>
      </c>
      <c r="J223" s="50">
        <v>0</v>
      </c>
      <c r="K223" s="50">
        <v>182</v>
      </c>
      <c r="L223" s="50">
        <v>873</v>
      </c>
      <c r="M223" s="50">
        <v>1075</v>
      </c>
      <c r="N223" s="50">
        <v>0</v>
      </c>
      <c r="O223" s="33" t="s">
        <v>132</v>
      </c>
      <c r="P223" s="183"/>
    </row>
    <row r="224" spans="2:16" outlineLevel="1" x14ac:dyDescent="0.25">
      <c r="E224" s="50"/>
      <c r="F224" s="50"/>
      <c r="G224" s="50"/>
      <c r="H224" s="50"/>
      <c r="I224" s="50"/>
      <c r="J224" s="50"/>
      <c r="K224" s="50"/>
      <c r="L224" s="50"/>
      <c r="M224" s="50"/>
      <c r="N224" s="50"/>
    </row>
    <row r="225" spans="1:21" outlineLevel="1" x14ac:dyDescent="0.25">
      <c r="B225" s="33" t="s">
        <v>141</v>
      </c>
      <c r="E225" s="50">
        <f>E190-E163</f>
        <v>0</v>
      </c>
      <c r="F225" s="50">
        <f t="shared" ref="F225:N225" si="199">F190-F163</f>
        <v>0</v>
      </c>
      <c r="G225" s="50">
        <f t="shared" si="199"/>
        <v>0</v>
      </c>
      <c r="H225" s="50">
        <f t="shared" si="199"/>
        <v>0</v>
      </c>
      <c r="I225" s="50">
        <f t="shared" si="199"/>
        <v>0</v>
      </c>
      <c r="J225" s="50">
        <f t="shared" si="199"/>
        <v>0</v>
      </c>
      <c r="K225" s="50">
        <f>K190-K163</f>
        <v>0</v>
      </c>
      <c r="L225" s="50">
        <f t="shared" si="199"/>
        <v>0</v>
      </c>
      <c r="M225" s="50">
        <f t="shared" si="199"/>
        <v>0</v>
      </c>
      <c r="N225" s="50">
        <f t="shared" si="199"/>
        <v>0</v>
      </c>
    </row>
    <row r="227" spans="1:21" ht="18" x14ac:dyDescent="0.4">
      <c r="A227" s="33" t="s">
        <v>22</v>
      </c>
      <c r="B227" s="47" t="s">
        <v>207</v>
      </c>
      <c r="C227" s="47"/>
      <c r="D227" s="47"/>
      <c r="E227" s="47"/>
      <c r="F227" s="47"/>
      <c r="G227" s="47"/>
      <c r="H227" s="47"/>
      <c r="I227" s="47"/>
      <c r="J227" s="47"/>
      <c r="K227" s="47"/>
      <c r="L227" s="47"/>
      <c r="M227" s="47"/>
      <c r="N227" s="47"/>
      <c r="O227" s="47"/>
      <c r="P227" s="47"/>
      <c r="Q227" s="47"/>
      <c r="R227" s="47"/>
      <c r="S227" s="47"/>
      <c r="T227" s="47"/>
      <c r="U227" s="47"/>
    </row>
    <row r="228" spans="1:21" outlineLevel="1" x14ac:dyDescent="0.25"/>
    <row r="229" spans="1:21" ht="13" outlineLevel="1" x14ac:dyDescent="0.3">
      <c r="B229" s="118" t="s">
        <v>208</v>
      </c>
      <c r="C229" s="118"/>
      <c r="D229" s="118"/>
      <c r="E229" s="118"/>
      <c r="F229" s="118"/>
      <c r="G229" s="118"/>
      <c r="H229" s="118"/>
      <c r="I229" s="118"/>
      <c r="J229" s="118"/>
      <c r="K229" s="118"/>
      <c r="L229" s="118"/>
      <c r="M229" s="118"/>
      <c r="N229" s="118"/>
      <c r="O229" s="118"/>
      <c r="P229" s="118"/>
      <c r="Q229" s="118"/>
      <c r="R229" s="118"/>
      <c r="S229" s="118"/>
      <c r="T229" s="118"/>
      <c r="U229" s="118"/>
    </row>
    <row r="230" spans="1:21" ht="13" outlineLevel="1" x14ac:dyDescent="0.3">
      <c r="B230" s="1" t="s">
        <v>58</v>
      </c>
    </row>
    <row r="231" spans="1:21" ht="13" outlineLevel="1" x14ac:dyDescent="0.3">
      <c r="B231" s="1"/>
    </row>
    <row r="232" spans="1:21" ht="13" outlineLevel="1" x14ac:dyDescent="0.3">
      <c r="B232" s="136" t="s">
        <v>209</v>
      </c>
      <c r="C232" s="137"/>
      <c r="D232" s="136"/>
      <c r="E232" s="138">
        <v>15</v>
      </c>
      <c r="F232" s="138">
        <f>E232+1</f>
        <v>16</v>
      </c>
      <c r="G232" s="138">
        <f t="shared" ref="G232:N232" si="200">F232+1</f>
        <v>17</v>
      </c>
      <c r="H232" s="138">
        <f t="shared" si="200"/>
        <v>18</v>
      </c>
      <c r="I232" s="138">
        <f t="shared" si="200"/>
        <v>19</v>
      </c>
      <c r="J232" s="138">
        <f t="shared" si="200"/>
        <v>20</v>
      </c>
      <c r="K232" s="138">
        <f t="shared" si="200"/>
        <v>21</v>
      </c>
      <c r="L232" s="138">
        <f t="shared" si="200"/>
        <v>22</v>
      </c>
      <c r="M232" s="138">
        <f t="shared" si="200"/>
        <v>23</v>
      </c>
      <c r="N232" s="138">
        <f t="shared" si="200"/>
        <v>24</v>
      </c>
    </row>
    <row r="233" spans="1:21" outlineLevel="1" x14ac:dyDescent="0.25"/>
    <row r="234" spans="1:21" outlineLevel="1" x14ac:dyDescent="0.25">
      <c r="B234" s="33" t="s">
        <v>210</v>
      </c>
      <c r="E234" s="55">
        <v>42</v>
      </c>
      <c r="F234" s="55">
        <v>85</v>
      </c>
      <c r="G234" s="55">
        <v>101</v>
      </c>
      <c r="H234" s="55">
        <v>97</v>
      </c>
      <c r="I234" s="139"/>
      <c r="J234" s="140"/>
      <c r="K234" s="140"/>
      <c r="L234" s="140"/>
      <c r="M234" s="140"/>
      <c r="N234" s="141"/>
      <c r="O234" s="33" t="s">
        <v>211</v>
      </c>
    </row>
    <row r="235" spans="1:21" outlineLevel="1" x14ac:dyDescent="0.25">
      <c r="B235" s="33" t="s">
        <v>212</v>
      </c>
      <c r="E235" s="55">
        <v>149</v>
      </c>
      <c r="F235" s="55">
        <v>212</v>
      </c>
      <c r="G235" s="55">
        <v>296</v>
      </c>
      <c r="H235" s="55">
        <v>378</v>
      </c>
      <c r="I235" s="142"/>
      <c r="J235" s="24"/>
      <c r="K235" s="143"/>
      <c r="L235" s="143"/>
      <c r="M235" s="143"/>
      <c r="N235" s="144"/>
    </row>
    <row r="236" spans="1:21" outlineLevel="1" x14ac:dyDescent="0.25">
      <c r="B236" s="33" t="s">
        <v>213</v>
      </c>
      <c r="E236" s="55">
        <v>56</v>
      </c>
      <c r="F236" s="55">
        <v>137</v>
      </c>
      <c r="G236" s="55">
        <v>149</v>
      </c>
      <c r="H236" s="55">
        <v>186</v>
      </c>
      <c r="I236" s="142"/>
      <c r="J236" s="143"/>
      <c r="K236" s="143"/>
      <c r="L236" s="143"/>
      <c r="M236" s="143"/>
      <c r="N236" s="144"/>
    </row>
    <row r="237" spans="1:21" ht="13" outlineLevel="1" x14ac:dyDescent="0.3">
      <c r="B237" s="41" t="s">
        <v>55</v>
      </c>
      <c r="E237" s="56">
        <f>E234+E235+E236</f>
        <v>247</v>
      </c>
      <c r="F237" s="56">
        <f t="shared" ref="F237:H237" si="201">F234+F235+F236</f>
        <v>434</v>
      </c>
      <c r="G237" s="56">
        <f t="shared" si="201"/>
        <v>546</v>
      </c>
      <c r="H237" s="56">
        <f t="shared" si="201"/>
        <v>661</v>
      </c>
      <c r="I237" s="145"/>
      <c r="J237" s="146"/>
      <c r="K237" s="146"/>
      <c r="L237" s="146"/>
      <c r="M237" s="146"/>
      <c r="N237" s="147"/>
    </row>
    <row r="238" spans="1:21" ht="13" outlineLevel="1" x14ac:dyDescent="0.3">
      <c r="B238" s="41"/>
      <c r="E238" s="56"/>
      <c r="F238" s="56"/>
      <c r="G238" s="56"/>
      <c r="H238" s="56"/>
    </row>
    <row r="239" spans="1:21" ht="13" outlineLevel="1" x14ac:dyDescent="0.3">
      <c r="B239" s="33" t="s">
        <v>214</v>
      </c>
      <c r="E239" s="131"/>
      <c r="F239" s="549">
        <v>2.35E-2</v>
      </c>
      <c r="G239" s="549">
        <v>2.35E-2</v>
      </c>
      <c r="H239" s="549">
        <v>2.35E-2</v>
      </c>
      <c r="I239" s="139"/>
      <c r="J239" s="140"/>
      <c r="K239" s="140"/>
      <c r="L239" s="140"/>
      <c r="M239" s="140"/>
      <c r="N239" s="141"/>
      <c r="O239" s="33" t="s">
        <v>215</v>
      </c>
    </row>
    <row r="240" spans="1:21" outlineLevel="1" x14ac:dyDescent="0.25">
      <c r="B240" s="33" t="s">
        <v>216</v>
      </c>
      <c r="E240" s="130"/>
      <c r="F240" s="50">
        <f>E234</f>
        <v>42</v>
      </c>
      <c r="G240" s="50">
        <f t="shared" ref="G240:H240" si="202">F234</f>
        <v>85</v>
      </c>
      <c r="H240" s="50">
        <f t="shared" si="202"/>
        <v>101</v>
      </c>
      <c r="I240" s="142"/>
      <c r="J240" s="143"/>
      <c r="K240" s="143"/>
      <c r="L240" s="143"/>
      <c r="M240" s="143"/>
      <c r="N240" s="144"/>
    </row>
    <row r="241" spans="2:15" ht="13" outlineLevel="1" x14ac:dyDescent="0.3">
      <c r="B241" s="33" t="s">
        <v>217</v>
      </c>
      <c r="E241" s="131"/>
      <c r="F241" s="549">
        <v>0.34429999999999999</v>
      </c>
      <c r="G241" s="549">
        <v>0.34429999999999999</v>
      </c>
      <c r="H241" s="549">
        <v>0.34429999999999999</v>
      </c>
      <c r="I241" s="145"/>
      <c r="J241" s="146"/>
      <c r="K241" s="146"/>
      <c r="L241" s="146"/>
      <c r="M241" s="146"/>
      <c r="N241" s="147"/>
      <c r="O241" s="33" t="s">
        <v>218</v>
      </c>
    </row>
    <row r="242" spans="2:15" ht="13" outlineLevel="1" x14ac:dyDescent="0.3">
      <c r="B242" s="41"/>
      <c r="C242" s="41"/>
      <c r="D242" s="41"/>
      <c r="E242" s="41"/>
      <c r="F242" s="41"/>
      <c r="G242" s="41"/>
      <c r="H242" s="41"/>
      <c r="I242" s="41"/>
      <c r="J242" s="41"/>
      <c r="K242" s="41"/>
      <c r="L242" s="41"/>
      <c r="M242" s="41"/>
      <c r="N242" s="41"/>
    </row>
    <row r="243" spans="2:15" ht="13" outlineLevel="1" x14ac:dyDescent="0.3">
      <c r="B243" s="136" t="s">
        <v>219</v>
      </c>
      <c r="C243" s="137"/>
      <c r="D243" s="136"/>
      <c r="E243" s="138">
        <v>15</v>
      </c>
      <c r="F243" s="138">
        <f>E243+1</f>
        <v>16</v>
      </c>
      <c r="G243" s="138">
        <f t="shared" ref="G243:N243" si="203">F243+1</f>
        <v>17</v>
      </c>
      <c r="H243" s="138">
        <f t="shared" si="203"/>
        <v>18</v>
      </c>
      <c r="I243" s="138">
        <f t="shared" si="203"/>
        <v>19</v>
      </c>
      <c r="J243" s="138">
        <f t="shared" si="203"/>
        <v>20</v>
      </c>
      <c r="K243" s="138">
        <f t="shared" si="203"/>
        <v>21</v>
      </c>
      <c r="L243" s="138">
        <f t="shared" si="203"/>
        <v>22</v>
      </c>
      <c r="M243" s="138">
        <f t="shared" si="203"/>
        <v>23</v>
      </c>
      <c r="N243" s="138">
        <f t="shared" si="203"/>
        <v>24</v>
      </c>
    </row>
    <row r="244" spans="2:15" outlineLevel="1" x14ac:dyDescent="0.25"/>
    <row r="245" spans="2:15" outlineLevel="1" x14ac:dyDescent="0.25">
      <c r="B245" s="132">
        <v>1</v>
      </c>
      <c r="E245" s="50">
        <f>E234</f>
        <v>42</v>
      </c>
      <c r="F245" s="50">
        <f t="shared" ref="F245:H245" si="204">F234</f>
        <v>85</v>
      </c>
      <c r="G245" s="50">
        <f t="shared" si="204"/>
        <v>101</v>
      </c>
      <c r="H245" s="50">
        <f t="shared" si="204"/>
        <v>97</v>
      </c>
      <c r="I245" s="139"/>
      <c r="J245" s="140"/>
      <c r="K245" s="140"/>
      <c r="L245" s="140"/>
      <c r="M245" s="140"/>
      <c r="N245" s="141"/>
    </row>
    <row r="246" spans="2:15" outlineLevel="1" x14ac:dyDescent="0.25">
      <c r="B246" s="132">
        <f>+B245+1</f>
        <v>2</v>
      </c>
      <c r="E246" s="50">
        <f>E$235/4</f>
        <v>37.25</v>
      </c>
      <c r="F246" s="50">
        <f t="shared" ref="F246:H249" si="205">F$235/4</f>
        <v>53</v>
      </c>
      <c r="G246" s="50">
        <f t="shared" si="205"/>
        <v>74</v>
      </c>
      <c r="H246" s="50">
        <f t="shared" si="205"/>
        <v>94.5</v>
      </c>
      <c r="I246" s="142"/>
      <c r="J246" s="143"/>
      <c r="K246" s="143"/>
      <c r="L246" s="143"/>
      <c r="M246" s="143"/>
      <c r="N246" s="144"/>
    </row>
    <row r="247" spans="2:15" outlineLevel="1" x14ac:dyDescent="0.25">
      <c r="B247" s="132">
        <f t="shared" ref="B247:B253" si="206">+B246+1</f>
        <v>3</v>
      </c>
      <c r="E247" s="50">
        <f t="shared" ref="E247:E250" si="207">E$235/4</f>
        <v>37.25</v>
      </c>
      <c r="F247" s="50">
        <f t="shared" si="205"/>
        <v>53</v>
      </c>
      <c r="G247" s="50">
        <f t="shared" si="205"/>
        <v>74</v>
      </c>
      <c r="H247" s="50">
        <f t="shared" si="205"/>
        <v>94.5</v>
      </c>
      <c r="I247" s="142"/>
      <c r="J247" s="143"/>
      <c r="K247" s="143"/>
      <c r="L247" s="143"/>
      <c r="M247" s="143"/>
      <c r="N247" s="144"/>
    </row>
    <row r="248" spans="2:15" outlineLevel="1" x14ac:dyDescent="0.25">
      <c r="B248" s="132">
        <f t="shared" si="206"/>
        <v>4</v>
      </c>
      <c r="E248" s="50">
        <f t="shared" si="207"/>
        <v>37.25</v>
      </c>
      <c r="F248" s="50">
        <f t="shared" si="205"/>
        <v>53</v>
      </c>
      <c r="G248" s="50">
        <f t="shared" si="205"/>
        <v>74</v>
      </c>
      <c r="H248" s="50">
        <f t="shared" si="205"/>
        <v>94.5</v>
      </c>
      <c r="I248" s="142"/>
      <c r="J248" s="143"/>
      <c r="K248" s="143"/>
      <c r="L248" s="143"/>
      <c r="M248" s="143"/>
      <c r="N248" s="144"/>
    </row>
    <row r="249" spans="2:15" outlineLevel="1" x14ac:dyDescent="0.25">
      <c r="B249" s="132">
        <f t="shared" si="206"/>
        <v>5</v>
      </c>
      <c r="E249" s="50">
        <f t="shared" si="207"/>
        <v>37.25</v>
      </c>
      <c r="F249" s="50">
        <f t="shared" si="205"/>
        <v>53</v>
      </c>
      <c r="G249" s="50">
        <f t="shared" si="205"/>
        <v>74</v>
      </c>
      <c r="H249" s="50">
        <f t="shared" si="205"/>
        <v>94.5</v>
      </c>
      <c r="I249" s="142"/>
      <c r="J249" s="143"/>
      <c r="K249" s="143"/>
      <c r="L249" s="143"/>
      <c r="M249" s="143"/>
      <c r="N249" s="144"/>
    </row>
    <row r="250" spans="2:15" outlineLevel="1" x14ac:dyDescent="0.25">
      <c r="B250" s="132">
        <f t="shared" si="206"/>
        <v>6</v>
      </c>
      <c r="E250" s="50">
        <f t="shared" si="207"/>
        <v>37.25</v>
      </c>
      <c r="F250" s="50">
        <f>MIN(F249,F$15)</f>
        <v>53</v>
      </c>
      <c r="G250" s="50">
        <f t="shared" ref="G250:H250" si="208">MIN(G249,G$15)</f>
        <v>74</v>
      </c>
      <c r="H250" s="50">
        <f t="shared" si="208"/>
        <v>94.5</v>
      </c>
      <c r="I250" s="142"/>
      <c r="J250" s="143"/>
      <c r="K250" s="143"/>
      <c r="L250" s="143"/>
      <c r="M250" s="143"/>
      <c r="N250" s="144"/>
    </row>
    <row r="251" spans="2:15" outlineLevel="1" x14ac:dyDescent="0.25">
      <c r="B251" s="132">
        <f t="shared" si="206"/>
        <v>7</v>
      </c>
      <c r="E251" s="50">
        <f>MIN(E250,E$236-SUM(E$250:E250))</f>
        <v>18.75</v>
      </c>
      <c r="F251" s="50">
        <f>MIN(F250,F$236-SUM(F$250:F250))</f>
        <v>53</v>
      </c>
      <c r="G251" s="50">
        <f>MIN(G250,G$236-SUM(G$250:G250))</f>
        <v>74</v>
      </c>
      <c r="H251" s="50">
        <f>MIN(H250,H$236-SUM(H$250:H250))</f>
        <v>91.5</v>
      </c>
      <c r="I251" s="142"/>
      <c r="J251" s="143"/>
      <c r="K251" s="143"/>
      <c r="L251" s="143"/>
      <c r="M251" s="143"/>
      <c r="N251" s="144"/>
    </row>
    <row r="252" spans="2:15" outlineLevel="1" x14ac:dyDescent="0.25">
      <c r="B252" s="132">
        <f t="shared" si="206"/>
        <v>8</v>
      </c>
      <c r="E252" s="50">
        <f>MIN(E251,E$236-SUM(E$250:E251))</f>
        <v>0</v>
      </c>
      <c r="F252" s="50">
        <f>MIN(F251,F$236-SUM(F$250:F251))</f>
        <v>31</v>
      </c>
      <c r="G252" s="50">
        <f>MIN(G251,G$236-SUM(G$250:G251))</f>
        <v>1</v>
      </c>
      <c r="H252" s="50">
        <f>MIN(H251,H$236-SUM(H$250:H251))</f>
        <v>0</v>
      </c>
      <c r="I252" s="142"/>
      <c r="J252" s="143"/>
      <c r="K252" s="143"/>
      <c r="L252" s="143"/>
      <c r="M252" s="143"/>
      <c r="N252" s="144"/>
    </row>
    <row r="253" spans="2:15" outlineLevel="1" x14ac:dyDescent="0.25">
      <c r="B253" s="132">
        <f t="shared" si="206"/>
        <v>9</v>
      </c>
      <c r="E253" s="50">
        <f>MIN(E252,E$236-SUM(E$250:E252))</f>
        <v>0</v>
      </c>
      <c r="F253" s="50">
        <f>MIN(F252,F$236-SUM(F$250:F252))</f>
        <v>0</v>
      </c>
      <c r="G253" s="50">
        <f>MIN(G252,G$236-SUM(G$250:G252))</f>
        <v>0</v>
      </c>
      <c r="H253" s="50">
        <f>MIN(H252,H$236-SUM(H$250:H252))</f>
        <v>0</v>
      </c>
      <c r="I253" s="145"/>
      <c r="J253" s="146"/>
      <c r="K253" s="146"/>
      <c r="L253" s="146"/>
      <c r="M253" s="146"/>
      <c r="N253" s="147"/>
    </row>
    <row r="254" spans="2:15" outlineLevel="1" x14ac:dyDescent="0.25"/>
    <row r="255" spans="2:15" outlineLevel="1" x14ac:dyDescent="0.25">
      <c r="B255" s="33" t="s">
        <v>220</v>
      </c>
      <c r="E255" s="50">
        <f>NPV(E$239,E245,E246,E247,E248,E249,E250,E251,E252,E253)</f>
        <v>247</v>
      </c>
      <c r="F255" s="50">
        <f t="shared" ref="F255:H255" si="209">NPV(F$239,F245,F246,F247,F248,F249,F250,F251,F252,F253)</f>
        <v>395.45555680658669</v>
      </c>
      <c r="G255" s="50">
        <f t="shared" si="209"/>
        <v>499.75955425979964</v>
      </c>
      <c r="H255" s="50">
        <f t="shared" si="209"/>
        <v>603.3507278141941</v>
      </c>
      <c r="I255" s="139"/>
      <c r="J255" s="140"/>
      <c r="K255" s="140"/>
      <c r="L255" s="140"/>
      <c r="M255" s="140"/>
      <c r="N255" s="141"/>
    </row>
    <row r="256" spans="2:15" outlineLevel="1" x14ac:dyDescent="0.25">
      <c r="B256" s="33" t="s">
        <v>221</v>
      </c>
      <c r="E256" s="50">
        <f t="shared" ref="E256:F256" si="210">NPV(E$239,0,E246,E247,E248,E249,E250,E251,E252,E253)</f>
        <v>205</v>
      </c>
      <c r="F256" s="50">
        <f t="shared" si="210"/>
        <v>312.40719334786661</v>
      </c>
      <c r="G256" s="50">
        <f>NPV(G$239,0,G246,G247,G248,G249,G250,G251,G252,G253)</f>
        <v>401.07855767943818</v>
      </c>
      <c r="H256" s="50"/>
      <c r="I256" s="142"/>
      <c r="J256" s="143"/>
      <c r="K256" s="143"/>
      <c r="L256" s="143"/>
      <c r="M256" s="143"/>
      <c r="N256" s="144"/>
    </row>
    <row r="257" spans="1:21" outlineLevel="1" x14ac:dyDescent="0.25">
      <c r="B257" s="33" t="s">
        <v>222</v>
      </c>
      <c r="E257" s="50">
        <f t="shared" ref="E257:G257" si="211">E255-(D256*(1+$H$239))</f>
        <v>247</v>
      </c>
      <c r="F257" s="50">
        <f t="shared" si="211"/>
        <v>185.63805680658666</v>
      </c>
      <c r="G257" s="50">
        <f t="shared" si="211"/>
        <v>180.01079186825814</v>
      </c>
      <c r="H257" s="50">
        <f>H255-(G256*(1+$H$239))</f>
        <v>192.84682402928911</v>
      </c>
      <c r="I257" s="145"/>
      <c r="J257" s="146"/>
      <c r="K257" s="146"/>
      <c r="L257" s="146"/>
      <c r="M257" s="146"/>
      <c r="N257" s="147"/>
    </row>
    <row r="258" spans="1:21" outlineLevel="1" x14ac:dyDescent="0.25">
      <c r="E258" s="50"/>
      <c r="F258" s="50"/>
      <c r="G258" s="50"/>
      <c r="H258" s="50"/>
    </row>
    <row r="259" spans="1:21" ht="13" outlineLevel="1" x14ac:dyDescent="0.3">
      <c r="B259" s="136" t="s">
        <v>223</v>
      </c>
      <c r="C259" s="137"/>
      <c r="D259" s="136"/>
      <c r="E259" s="138">
        <v>15</v>
      </c>
      <c r="F259" s="138">
        <f>E259+1</f>
        <v>16</v>
      </c>
      <c r="G259" s="138">
        <f t="shared" ref="G259:N259" si="212">F259+1</f>
        <v>17</v>
      </c>
      <c r="H259" s="138">
        <f t="shared" si="212"/>
        <v>18</v>
      </c>
      <c r="I259" s="138">
        <f t="shared" si="212"/>
        <v>19</v>
      </c>
      <c r="J259" s="138">
        <f t="shared" si="212"/>
        <v>20</v>
      </c>
      <c r="K259" s="138">
        <f t="shared" si="212"/>
        <v>21</v>
      </c>
      <c r="L259" s="138">
        <f t="shared" si="212"/>
        <v>22</v>
      </c>
      <c r="M259" s="138">
        <f t="shared" si="212"/>
        <v>23</v>
      </c>
      <c r="N259" s="138">
        <f t="shared" si="212"/>
        <v>24</v>
      </c>
    </row>
    <row r="260" spans="1:21" outlineLevel="1" x14ac:dyDescent="0.25">
      <c r="E260" s="50"/>
      <c r="F260" s="50"/>
      <c r="G260" s="50"/>
      <c r="H260" s="50"/>
    </row>
    <row r="261" spans="1:21" ht="13" outlineLevel="1" x14ac:dyDescent="0.3">
      <c r="B261" s="133" t="s">
        <v>224</v>
      </c>
      <c r="C261" s="133"/>
      <c r="D261" s="133"/>
      <c r="E261" s="50"/>
      <c r="F261" s="50"/>
      <c r="G261" s="50"/>
      <c r="H261" s="50"/>
    </row>
    <row r="262" spans="1:21" outlineLevel="1" x14ac:dyDescent="0.25">
      <c r="E262" s="50"/>
      <c r="F262" s="50"/>
      <c r="G262" s="50"/>
      <c r="H262" s="50"/>
    </row>
    <row r="263" spans="1:21" outlineLevel="1" x14ac:dyDescent="0.25">
      <c r="B263" s="33" t="s">
        <v>225</v>
      </c>
      <c r="E263" s="50"/>
      <c r="F263" s="50">
        <f>F240</f>
        <v>42</v>
      </c>
      <c r="G263" s="50">
        <f t="shared" ref="G263:H263" si="213">G240</f>
        <v>85</v>
      </c>
      <c r="H263" s="50">
        <f t="shared" si="213"/>
        <v>101</v>
      </c>
      <c r="I263" s="139"/>
      <c r="J263" s="140"/>
      <c r="K263" s="140"/>
      <c r="L263" s="140"/>
      <c r="M263" s="140"/>
      <c r="N263" s="141"/>
    </row>
    <row r="264" spans="1:21" outlineLevel="1" x14ac:dyDescent="0.25">
      <c r="B264" s="33" t="s">
        <v>226</v>
      </c>
      <c r="E264" s="50"/>
      <c r="F264" s="50">
        <f>+E255*F239*-1</f>
        <v>-5.8045</v>
      </c>
      <c r="G264" s="50">
        <f t="shared" ref="G264" si="214">+F255*G239*-1</f>
        <v>-9.2932055849547872</v>
      </c>
      <c r="H264" s="50">
        <f>+G255*H239*-1</f>
        <v>-11.744349525105292</v>
      </c>
      <c r="I264" s="142"/>
      <c r="J264" s="143"/>
      <c r="K264" s="143"/>
      <c r="L264" s="143"/>
      <c r="M264" s="143"/>
      <c r="N264" s="144"/>
    </row>
    <row r="265" spans="1:21" outlineLevel="1" x14ac:dyDescent="0.25">
      <c r="B265" s="33" t="s">
        <v>227</v>
      </c>
      <c r="E265" s="50"/>
      <c r="F265" s="50">
        <f>+-F263-F264</f>
        <v>-36.195500000000003</v>
      </c>
      <c r="G265" s="50">
        <f t="shared" ref="G265:H265" si="215">+-G263-G264</f>
        <v>-75.706794415045209</v>
      </c>
      <c r="H265" s="50">
        <f t="shared" si="215"/>
        <v>-89.255650474894708</v>
      </c>
      <c r="I265" s="145"/>
      <c r="J265" s="146"/>
      <c r="K265" s="146"/>
      <c r="L265" s="146"/>
      <c r="M265" s="146"/>
      <c r="N265" s="147"/>
    </row>
    <row r="266" spans="1:21" outlineLevel="1" x14ac:dyDescent="0.25">
      <c r="E266" s="50"/>
      <c r="F266" s="50"/>
      <c r="G266" s="50"/>
      <c r="H266" s="50"/>
    </row>
    <row r="267" spans="1:21" ht="13" outlineLevel="1" x14ac:dyDescent="0.3">
      <c r="B267" s="133" t="s">
        <v>228</v>
      </c>
      <c r="C267" s="134"/>
      <c r="D267" s="134"/>
      <c r="E267" s="50"/>
      <c r="F267" s="50"/>
      <c r="G267" s="50"/>
      <c r="H267" s="50"/>
    </row>
    <row r="268" spans="1:21" outlineLevel="1" x14ac:dyDescent="0.25">
      <c r="E268" s="50"/>
      <c r="F268" s="50"/>
      <c r="G268" s="50"/>
      <c r="H268" s="50"/>
    </row>
    <row r="269" spans="1:21" outlineLevel="1" x14ac:dyDescent="0.25">
      <c r="B269" s="33" t="s">
        <v>143</v>
      </c>
      <c r="E269" s="50"/>
      <c r="F269" s="50">
        <f t="shared" ref="F269:G269" si="216">E255+F257+F265</f>
        <v>396.44255680658665</v>
      </c>
      <c r="G269" s="50">
        <f t="shared" si="216"/>
        <v>499.75955425979953</v>
      </c>
      <c r="H269" s="50">
        <f>G255+H257+H265</f>
        <v>603.35072781419399</v>
      </c>
      <c r="I269" s="139"/>
      <c r="J269" s="140"/>
      <c r="K269" s="140"/>
      <c r="L269" s="140"/>
      <c r="M269" s="140"/>
      <c r="N269" s="141"/>
    </row>
    <row r="270" spans="1:21" outlineLevel="1" x14ac:dyDescent="0.25">
      <c r="B270" s="33" t="s">
        <v>144</v>
      </c>
      <c r="E270" s="50"/>
      <c r="F270" s="50">
        <f t="shared" ref="F270:G270" si="217">F269</f>
        <v>396.44255680658665</v>
      </c>
      <c r="G270" s="50">
        <f t="shared" si="217"/>
        <v>499.75955425979953</v>
      </c>
      <c r="H270" s="50">
        <f>H269</f>
        <v>603.35072781419399</v>
      </c>
      <c r="I270" s="145"/>
      <c r="J270" s="146"/>
      <c r="K270" s="146"/>
      <c r="L270" s="146"/>
      <c r="M270" s="146"/>
      <c r="N270" s="147"/>
    </row>
    <row r="271" spans="1:21" outlineLevel="1" x14ac:dyDescent="0.25"/>
    <row r="272" spans="1:21" ht="13" outlineLevel="1" x14ac:dyDescent="0.3">
      <c r="A272" s="149"/>
      <c r="B272" s="118" t="s">
        <v>229</v>
      </c>
      <c r="C272" s="118"/>
      <c r="D272" s="118"/>
      <c r="E272" s="118"/>
      <c r="F272" s="118"/>
      <c r="G272" s="118"/>
      <c r="H272" s="118"/>
      <c r="I272" s="118"/>
      <c r="J272" s="118"/>
      <c r="K272" s="118"/>
      <c r="L272" s="118"/>
      <c r="M272" s="118"/>
      <c r="N272" s="118"/>
      <c r="O272" s="118"/>
      <c r="P272" s="118"/>
      <c r="Q272" s="118"/>
      <c r="R272" s="118"/>
      <c r="S272" s="118"/>
      <c r="T272" s="118"/>
      <c r="U272" s="118"/>
    </row>
    <row r="273" spans="1:21" ht="13" outlineLevel="1" x14ac:dyDescent="0.3">
      <c r="A273" s="149"/>
    </row>
    <row r="274" spans="1:21" ht="13" outlineLevel="1" x14ac:dyDescent="0.3">
      <c r="A274" s="149"/>
      <c r="B274" s="41"/>
      <c r="C274" s="41"/>
      <c r="D274" s="41"/>
      <c r="E274" s="156">
        <v>2015</v>
      </c>
      <c r="F274" s="156">
        <f t="shared" ref="F274:N274" si="218">+E274+1</f>
        <v>2016</v>
      </c>
      <c r="G274" s="156">
        <f t="shared" si="218"/>
        <v>2017</v>
      </c>
      <c r="H274" s="156">
        <f t="shared" si="218"/>
        <v>2018</v>
      </c>
      <c r="I274" s="156">
        <f t="shared" si="218"/>
        <v>2019</v>
      </c>
      <c r="J274" s="156">
        <f t="shared" si="218"/>
        <v>2020</v>
      </c>
      <c r="K274" s="156">
        <f t="shared" si="218"/>
        <v>2021</v>
      </c>
      <c r="L274" s="156">
        <f t="shared" si="218"/>
        <v>2022</v>
      </c>
      <c r="M274" s="156">
        <f t="shared" si="218"/>
        <v>2023</v>
      </c>
      <c r="N274" s="156">
        <f t="shared" si="218"/>
        <v>2024</v>
      </c>
      <c r="O274"/>
      <c r="P274"/>
      <c r="Q274"/>
      <c r="R274"/>
      <c r="S274"/>
      <c r="T274"/>
    </row>
    <row r="275" spans="1:21" ht="13.5" outlineLevel="1" thickBot="1" x14ac:dyDescent="0.35">
      <c r="A275" s="149"/>
      <c r="B275" s="73"/>
      <c r="C275" s="73"/>
      <c r="D275" s="73"/>
      <c r="E275" s="158">
        <v>2015</v>
      </c>
      <c r="F275" s="158">
        <f t="shared" ref="F275:N275" si="219">E275+1</f>
        <v>2016</v>
      </c>
      <c r="G275" s="158">
        <f t="shared" si="219"/>
        <v>2017</v>
      </c>
      <c r="H275" s="158">
        <f t="shared" si="219"/>
        <v>2018</v>
      </c>
      <c r="I275" s="158">
        <f t="shared" si="219"/>
        <v>2019</v>
      </c>
      <c r="J275" s="158">
        <f t="shared" si="219"/>
        <v>2020</v>
      </c>
      <c r="K275" s="158">
        <f t="shared" si="219"/>
        <v>2021</v>
      </c>
      <c r="L275" s="158">
        <f t="shared" si="219"/>
        <v>2022</v>
      </c>
      <c r="M275" s="158">
        <f t="shared" si="219"/>
        <v>2023</v>
      </c>
      <c r="N275" s="158">
        <f t="shared" si="219"/>
        <v>2024</v>
      </c>
      <c r="O275"/>
      <c r="P275"/>
      <c r="Q275"/>
      <c r="R275"/>
      <c r="S275"/>
      <c r="T275"/>
    </row>
    <row r="276" spans="1:21" ht="13" outlineLevel="1" x14ac:dyDescent="0.3">
      <c r="A276" s="149"/>
      <c r="B276" s="33" t="s">
        <v>230</v>
      </c>
      <c r="E276" s="135">
        <f>10801+E237</f>
        <v>11048</v>
      </c>
      <c r="F276" s="50">
        <f t="shared" ref="F276:N276" si="220">E281+F237</f>
        <v>11605</v>
      </c>
      <c r="G276" s="50">
        <f t="shared" si="220"/>
        <v>13534</v>
      </c>
      <c r="H276" s="50">
        <f t="shared" si="220"/>
        <v>14243</v>
      </c>
      <c r="I276" s="50">
        <f t="shared" si="220"/>
        <v>14304</v>
      </c>
      <c r="J276" s="50">
        <f t="shared" si="220"/>
        <v>16900</v>
      </c>
      <c r="K276" s="50">
        <f t="shared" si="220"/>
        <v>17135</v>
      </c>
      <c r="L276" s="50">
        <f t="shared" si="220"/>
        <v>16167</v>
      </c>
      <c r="M276" s="50">
        <f t="shared" si="220"/>
        <v>11705</v>
      </c>
      <c r="N276" s="50">
        <f t="shared" si="220"/>
        <v>12251</v>
      </c>
      <c r="O276"/>
      <c r="P276"/>
      <c r="Q276"/>
      <c r="R276"/>
      <c r="S276"/>
      <c r="T276"/>
    </row>
    <row r="277" spans="1:21" ht="13" outlineLevel="1" x14ac:dyDescent="0.3">
      <c r="A277" s="149"/>
      <c r="B277" s="33" t="s">
        <v>231</v>
      </c>
      <c r="E277" s="55">
        <v>2876</v>
      </c>
      <c r="F277" s="55">
        <v>3273</v>
      </c>
      <c r="G277" s="55">
        <v>3237</v>
      </c>
      <c r="H277" s="55">
        <v>4029</v>
      </c>
      <c r="I277" s="55">
        <v>4904</v>
      </c>
      <c r="J277" s="55">
        <v>4567</v>
      </c>
      <c r="K277" s="55">
        <v>3045</v>
      </c>
      <c r="L277" s="55">
        <v>2794</v>
      </c>
      <c r="M277" s="55">
        <v>3293</v>
      </c>
      <c r="N277" s="55">
        <v>3412</v>
      </c>
    </row>
    <row r="278" spans="1:21" ht="13" outlineLevel="1" x14ac:dyDescent="0.3">
      <c r="A278" s="149"/>
      <c r="B278" s="33" t="s">
        <v>232</v>
      </c>
      <c r="E278" s="55">
        <f>-1353+933</f>
        <v>-420</v>
      </c>
      <c r="F278" s="55">
        <f>-1229+844</f>
        <v>-385</v>
      </c>
      <c r="G278" s="55">
        <f>-1133+848</f>
        <v>-285</v>
      </c>
      <c r="H278" s="55">
        <f>-1506+697</f>
        <v>-809</v>
      </c>
      <c r="I278" s="55">
        <f>-1572+836</f>
        <v>-736</v>
      </c>
      <c r="J278" s="55">
        <f>-2107+1111</f>
        <v>-996</v>
      </c>
      <c r="K278" s="55">
        <f>-2752+1443</f>
        <v>-1309</v>
      </c>
      <c r="L278" s="55">
        <f>-2770+1605</f>
        <v>-1165</v>
      </c>
      <c r="M278" s="55">
        <f>-3150+2120</f>
        <v>-1030</v>
      </c>
      <c r="N278" s="55">
        <f>-2606+1767</f>
        <v>-839</v>
      </c>
    </row>
    <row r="279" spans="1:21" ht="13" outlineLevel="1" x14ac:dyDescent="0.3">
      <c r="A279" s="149"/>
      <c r="B279" s="33" t="s">
        <v>233</v>
      </c>
      <c r="E279" s="135">
        <f>-1916+E265</f>
        <v>-1916</v>
      </c>
      <c r="F279" s="135">
        <f>-1963+F265</f>
        <v>-1999.1955</v>
      </c>
      <c r="G279" s="135">
        <f>-2061+G265</f>
        <v>-2136.7067944150454</v>
      </c>
      <c r="H279" s="135">
        <f>-2294+H265</f>
        <v>-2383.2556504748945</v>
      </c>
      <c r="I279" s="55">
        <v>-2549</v>
      </c>
      <c r="J279" s="55">
        <v>-2869</v>
      </c>
      <c r="K279" s="55">
        <v>-2792</v>
      </c>
      <c r="L279" s="55">
        <f>-3522</f>
        <v>-3522</v>
      </c>
      <c r="M279" s="55">
        <v>-1948</v>
      </c>
      <c r="N279" s="55">
        <v>-2120</v>
      </c>
    </row>
    <row r="280" spans="1:21" ht="13" outlineLevel="1" x14ac:dyDescent="0.3">
      <c r="A280" s="149"/>
      <c r="B280" s="33" t="s">
        <v>234</v>
      </c>
      <c r="E280" s="50">
        <f t="shared" ref="E280:N280" si="221">E281-SUM(E276:E279)</f>
        <v>-417</v>
      </c>
      <c r="F280" s="50">
        <f t="shared" si="221"/>
        <v>494.19549999999981</v>
      </c>
      <c r="G280" s="50">
        <f t="shared" si="221"/>
        <v>-767.29320558495419</v>
      </c>
      <c r="H280" s="50">
        <f t="shared" si="221"/>
        <v>-775.74434952510637</v>
      </c>
      <c r="I280" s="50">
        <f t="shared" si="221"/>
        <v>977</v>
      </c>
      <c r="J280" s="50">
        <f t="shared" si="221"/>
        <v>-467</v>
      </c>
      <c r="K280" s="50">
        <f t="shared" si="221"/>
        <v>88</v>
      </c>
      <c r="L280" s="50">
        <f t="shared" si="221"/>
        <v>-2569</v>
      </c>
      <c r="M280" s="50">
        <f t="shared" si="221"/>
        <v>231</v>
      </c>
      <c r="N280" s="50">
        <f t="shared" si="221"/>
        <v>1157</v>
      </c>
    </row>
    <row r="281" spans="1:21" ht="13" outlineLevel="1" x14ac:dyDescent="0.3">
      <c r="A281" s="149"/>
      <c r="B281" s="33" t="s">
        <v>235</v>
      </c>
      <c r="E281" s="50">
        <f t="shared" ref="E281:N281" si="222">E94</f>
        <v>11171</v>
      </c>
      <c r="F281" s="50">
        <f t="shared" si="222"/>
        <v>12988</v>
      </c>
      <c r="G281" s="50">
        <f t="shared" si="222"/>
        <v>13582</v>
      </c>
      <c r="H281" s="50">
        <f t="shared" si="222"/>
        <v>14304</v>
      </c>
      <c r="I281" s="50">
        <f t="shared" si="222"/>
        <v>16900</v>
      </c>
      <c r="J281" s="50">
        <f t="shared" si="222"/>
        <v>17135</v>
      </c>
      <c r="K281" s="50">
        <f t="shared" si="222"/>
        <v>16167</v>
      </c>
      <c r="L281" s="50">
        <f t="shared" si="222"/>
        <v>11705</v>
      </c>
      <c r="M281" s="50">
        <f t="shared" si="222"/>
        <v>12251</v>
      </c>
      <c r="N281" s="50">
        <f t="shared" si="222"/>
        <v>13861</v>
      </c>
    </row>
    <row r="282" spans="1:21" ht="13" outlineLevel="1" x14ac:dyDescent="0.3">
      <c r="A282" s="149"/>
      <c r="E282" s="50"/>
      <c r="F282" s="50"/>
      <c r="G282" s="50"/>
      <c r="H282" s="50"/>
      <c r="I282" s="50"/>
      <c r="J282" s="50"/>
      <c r="K282" s="50"/>
      <c r="L282" s="50"/>
      <c r="M282" s="50"/>
      <c r="N282" s="50"/>
    </row>
    <row r="283" spans="1:21" ht="13" outlineLevel="1" x14ac:dyDescent="0.3">
      <c r="A283" s="149"/>
      <c r="B283" s="33" t="s">
        <v>236</v>
      </c>
      <c r="E283" s="50">
        <f t="shared" ref="E283:N283" si="223">SUM(E277:E278)</f>
        <v>2456</v>
      </c>
      <c r="F283" s="50">
        <f t="shared" si="223"/>
        <v>2888</v>
      </c>
      <c r="G283" s="50">
        <f t="shared" si="223"/>
        <v>2952</v>
      </c>
      <c r="H283" s="50">
        <f t="shared" si="223"/>
        <v>3220</v>
      </c>
      <c r="I283" s="50">
        <f t="shared" si="223"/>
        <v>4168</v>
      </c>
      <c r="J283" s="50">
        <f t="shared" si="223"/>
        <v>3571</v>
      </c>
      <c r="K283" s="50">
        <f t="shared" si="223"/>
        <v>1736</v>
      </c>
      <c r="L283" s="50">
        <f t="shared" si="223"/>
        <v>1629</v>
      </c>
      <c r="M283" s="50">
        <f t="shared" si="223"/>
        <v>2263</v>
      </c>
      <c r="N283" s="50">
        <f t="shared" si="223"/>
        <v>2573</v>
      </c>
    </row>
    <row r="284" spans="1:21" outlineLevel="1" x14ac:dyDescent="0.25"/>
    <row r="285" spans="1:21" ht="13" outlineLevel="1" x14ac:dyDescent="0.3">
      <c r="A285" s="149"/>
      <c r="B285" s="118" t="s">
        <v>237</v>
      </c>
      <c r="C285" s="118"/>
      <c r="D285" s="118"/>
      <c r="E285" s="118"/>
      <c r="F285" s="118"/>
      <c r="G285" s="118"/>
      <c r="H285" s="118"/>
      <c r="I285" s="118"/>
      <c r="J285" s="118"/>
      <c r="K285" s="118"/>
      <c r="L285" s="118"/>
      <c r="M285" s="118"/>
      <c r="N285" s="118"/>
      <c r="O285" s="118"/>
      <c r="P285" s="118"/>
      <c r="Q285" s="118"/>
      <c r="R285" s="118"/>
      <c r="S285" s="118"/>
      <c r="T285" s="118"/>
      <c r="U285" s="118"/>
    </row>
    <row r="286" spans="1:21" ht="13" outlineLevel="1" x14ac:dyDescent="0.3">
      <c r="A286" s="149"/>
    </row>
    <row r="287" spans="1:21" ht="13" outlineLevel="1" x14ac:dyDescent="0.3">
      <c r="A287" s="149"/>
      <c r="B287" s="41"/>
      <c r="C287" s="41"/>
      <c r="D287" s="41"/>
      <c r="E287" s="156">
        <v>2015</v>
      </c>
      <c r="F287" s="156">
        <f t="shared" ref="F287:N287" si="224">+E287+1</f>
        <v>2016</v>
      </c>
      <c r="G287" s="156">
        <f t="shared" si="224"/>
        <v>2017</v>
      </c>
      <c r="H287" s="156">
        <f t="shared" si="224"/>
        <v>2018</v>
      </c>
      <c r="I287" s="156">
        <f t="shared" si="224"/>
        <v>2019</v>
      </c>
      <c r="J287" s="156">
        <f t="shared" si="224"/>
        <v>2020</v>
      </c>
      <c r="K287" s="156">
        <f t="shared" si="224"/>
        <v>2021</v>
      </c>
      <c r="L287" s="156">
        <f t="shared" si="224"/>
        <v>2022</v>
      </c>
      <c r="M287" s="156">
        <f t="shared" si="224"/>
        <v>2023</v>
      </c>
      <c r="N287" s="156">
        <f t="shared" si="224"/>
        <v>2024</v>
      </c>
      <c r="O287"/>
      <c r="P287"/>
      <c r="Q287"/>
      <c r="R287"/>
      <c r="S287"/>
      <c r="T287"/>
    </row>
    <row r="288" spans="1:21" ht="13.5" outlineLevel="1" thickBot="1" x14ac:dyDescent="0.35">
      <c r="A288" s="149"/>
      <c r="B288" s="73"/>
      <c r="C288" s="73"/>
      <c r="D288" s="73"/>
      <c r="E288" s="158">
        <v>2015</v>
      </c>
      <c r="F288" s="158">
        <f t="shared" ref="F288:N288" si="225">E288+1</f>
        <v>2016</v>
      </c>
      <c r="G288" s="158">
        <f t="shared" si="225"/>
        <v>2017</v>
      </c>
      <c r="H288" s="158">
        <f t="shared" si="225"/>
        <v>2018</v>
      </c>
      <c r="I288" s="158">
        <f t="shared" si="225"/>
        <v>2019</v>
      </c>
      <c r="J288" s="158">
        <f t="shared" si="225"/>
        <v>2020</v>
      </c>
      <c r="K288" s="158">
        <f t="shared" si="225"/>
        <v>2021</v>
      </c>
      <c r="L288" s="158">
        <f t="shared" si="225"/>
        <v>2022</v>
      </c>
      <c r="M288" s="158">
        <f t="shared" si="225"/>
        <v>2023</v>
      </c>
      <c r="N288" s="158">
        <f t="shared" si="225"/>
        <v>2024</v>
      </c>
      <c r="O288"/>
      <c r="P288"/>
      <c r="Q288"/>
      <c r="R288"/>
      <c r="S288"/>
      <c r="T288"/>
    </row>
    <row r="289" spans="1:21" ht="13" outlineLevel="1" x14ac:dyDescent="0.3">
      <c r="A289" s="149"/>
      <c r="B289" s="33" t="s">
        <v>230</v>
      </c>
      <c r="E289" s="55">
        <v>3443</v>
      </c>
      <c r="F289" s="50">
        <f t="shared" ref="F289:N289" si="226">E294</f>
        <v>3570</v>
      </c>
      <c r="G289" s="50">
        <f t="shared" si="226"/>
        <v>5295.4425568065863</v>
      </c>
      <c r="H289" s="50">
        <f t="shared" si="226"/>
        <v>5739.7595542597992</v>
      </c>
      <c r="I289" s="50">
        <f t="shared" si="226"/>
        <v>6516.3507278141942</v>
      </c>
      <c r="J289" s="50">
        <f t="shared" si="226"/>
        <v>6949</v>
      </c>
      <c r="K289" s="50">
        <f t="shared" si="226"/>
        <v>6347</v>
      </c>
      <c r="L289" s="50">
        <f t="shared" si="226"/>
        <v>6398</v>
      </c>
      <c r="M289" s="50">
        <f t="shared" si="226"/>
        <v>4700</v>
      </c>
      <c r="N289" s="50">
        <f t="shared" si="226"/>
        <v>4626</v>
      </c>
    </row>
    <row r="290" spans="1:21" ht="13" outlineLevel="1" x14ac:dyDescent="0.3">
      <c r="A290" s="149"/>
      <c r="B290" s="33" t="s">
        <v>231</v>
      </c>
      <c r="E290" s="55">
        <v>956</v>
      </c>
      <c r="F290" s="55">
        <v>1058</v>
      </c>
      <c r="G290" s="55">
        <v>1310</v>
      </c>
      <c r="H290" s="55">
        <v>1772</v>
      </c>
      <c r="I290" s="55">
        <v>2086</v>
      </c>
      <c r="J290" s="55">
        <v>1500</v>
      </c>
      <c r="K290" s="55">
        <v>1177</v>
      </c>
      <c r="L290" s="55">
        <v>1437</v>
      </c>
      <c r="M290" s="55">
        <v>1365</v>
      </c>
      <c r="N290" s="55">
        <v>1514</v>
      </c>
    </row>
    <row r="291" spans="1:21" ht="13" outlineLevel="1" x14ac:dyDescent="0.3">
      <c r="A291" s="149"/>
      <c r="B291" s="33" t="s">
        <v>232</v>
      </c>
      <c r="E291" s="55">
        <f>-1427+1415</f>
        <v>-12</v>
      </c>
      <c r="F291" s="55">
        <f>-1038+1032</f>
        <v>-6</v>
      </c>
      <c r="G291" s="55">
        <f>-1306+1302</f>
        <v>-4</v>
      </c>
      <c r="H291" s="55">
        <f>-623+623</f>
        <v>0</v>
      </c>
      <c r="I291" s="55">
        <f>-83+83</f>
        <v>0</v>
      </c>
      <c r="J291" s="55">
        <f>-23+23</f>
        <v>0</v>
      </c>
      <c r="K291" s="55">
        <f>-15+6</f>
        <v>-9</v>
      </c>
      <c r="L291" s="55">
        <f>-1077+1073</f>
        <v>-4</v>
      </c>
      <c r="M291" s="55">
        <f>215-216</f>
        <v>-1</v>
      </c>
      <c r="N291" s="55">
        <f>-1980+1966</f>
        <v>-14</v>
      </c>
    </row>
    <row r="292" spans="1:21" ht="13" outlineLevel="1" x14ac:dyDescent="0.3">
      <c r="A292" s="149"/>
      <c r="B292" s="33" t="s">
        <v>238</v>
      </c>
      <c r="E292" s="55">
        <v>-812</v>
      </c>
      <c r="F292" s="55">
        <f>-877</f>
        <v>-877</v>
      </c>
      <c r="G292" s="55">
        <v>-961</v>
      </c>
      <c r="H292" s="55">
        <v>-950</v>
      </c>
      <c r="I292" s="55">
        <v>-1256</v>
      </c>
      <c r="J292" s="55">
        <v>-1880</v>
      </c>
      <c r="K292" s="55">
        <v>-1253</v>
      </c>
      <c r="L292" s="55">
        <v>-2275</v>
      </c>
      <c r="M292" s="55">
        <v>-1237</v>
      </c>
      <c r="N292" s="55">
        <v>-1048</v>
      </c>
    </row>
    <row r="293" spans="1:21" ht="13" outlineLevel="1" x14ac:dyDescent="0.3">
      <c r="A293" s="149"/>
      <c r="B293" s="33" t="s">
        <v>234</v>
      </c>
      <c r="E293" s="50">
        <f t="shared" ref="E293:N293" si="227">E294-SUM(E289:E292)</f>
        <v>-5</v>
      </c>
      <c r="F293" s="50">
        <f t="shared" si="227"/>
        <v>1550.4425568065863</v>
      </c>
      <c r="G293" s="50">
        <f t="shared" si="227"/>
        <v>99.316997453212934</v>
      </c>
      <c r="H293" s="50">
        <f t="shared" si="227"/>
        <v>-45.408826445604973</v>
      </c>
      <c r="I293" s="50">
        <f t="shared" si="227"/>
        <v>-397.35072781419512</v>
      </c>
      <c r="J293" s="50">
        <f t="shared" si="227"/>
        <v>-222</v>
      </c>
      <c r="K293" s="50">
        <f t="shared" si="227"/>
        <v>136</v>
      </c>
      <c r="L293" s="50">
        <f t="shared" si="227"/>
        <v>-856</v>
      </c>
      <c r="M293" s="50">
        <f t="shared" si="227"/>
        <v>-201</v>
      </c>
      <c r="N293" s="50">
        <f t="shared" si="227"/>
        <v>86</v>
      </c>
    </row>
    <row r="294" spans="1:21" ht="13" outlineLevel="1" x14ac:dyDescent="0.3">
      <c r="A294" s="149"/>
      <c r="B294" s="33" t="s">
        <v>235</v>
      </c>
      <c r="E294" s="50">
        <f t="shared" ref="E294:N294" si="228">E93</f>
        <v>3570</v>
      </c>
      <c r="F294" s="50">
        <f t="shared" si="228"/>
        <v>5295.4425568065863</v>
      </c>
      <c r="G294" s="50">
        <f t="shared" si="228"/>
        <v>5739.7595542597992</v>
      </c>
      <c r="H294" s="50">
        <f t="shared" si="228"/>
        <v>6516.3507278141942</v>
      </c>
      <c r="I294" s="50">
        <f t="shared" si="228"/>
        <v>6949</v>
      </c>
      <c r="J294" s="50">
        <f t="shared" si="228"/>
        <v>6347</v>
      </c>
      <c r="K294" s="50">
        <f t="shared" si="228"/>
        <v>6398</v>
      </c>
      <c r="L294" s="50">
        <f t="shared" si="228"/>
        <v>4700</v>
      </c>
      <c r="M294" s="50">
        <f t="shared" si="228"/>
        <v>4626</v>
      </c>
      <c r="N294" s="50">
        <f t="shared" si="228"/>
        <v>5164</v>
      </c>
    </row>
    <row r="295" spans="1:21" ht="13" outlineLevel="1" x14ac:dyDescent="0.3">
      <c r="A295" s="149"/>
      <c r="E295" s="50"/>
      <c r="F295" s="50"/>
      <c r="G295" s="50"/>
      <c r="H295" s="50"/>
      <c r="I295" s="50"/>
      <c r="J295" s="50"/>
      <c r="K295" s="50"/>
      <c r="L295" s="50"/>
      <c r="M295" s="50"/>
      <c r="N295" s="50"/>
    </row>
    <row r="296" spans="1:21" ht="13" outlineLevel="1" x14ac:dyDescent="0.3">
      <c r="A296" s="149"/>
      <c r="B296" s="33" t="s">
        <v>236</v>
      </c>
      <c r="E296" s="50">
        <f t="shared" ref="E296:N296" si="229">SUM(E290:E291)</f>
        <v>944</v>
      </c>
      <c r="F296" s="50">
        <f t="shared" si="229"/>
        <v>1052</v>
      </c>
      <c r="G296" s="50">
        <f t="shared" si="229"/>
        <v>1306</v>
      </c>
      <c r="H296" s="50">
        <f t="shared" si="229"/>
        <v>1772</v>
      </c>
      <c r="I296" s="50">
        <f t="shared" si="229"/>
        <v>2086</v>
      </c>
      <c r="J296" s="50">
        <f t="shared" si="229"/>
        <v>1500</v>
      </c>
      <c r="K296" s="50">
        <f t="shared" si="229"/>
        <v>1168</v>
      </c>
      <c r="L296" s="50">
        <f t="shared" si="229"/>
        <v>1433</v>
      </c>
      <c r="M296" s="50">
        <f t="shared" si="229"/>
        <v>1364</v>
      </c>
      <c r="N296" s="50">
        <f t="shared" si="229"/>
        <v>1500</v>
      </c>
    </row>
    <row r="298" spans="1:21" ht="18" x14ac:dyDescent="0.4">
      <c r="A298" s="33" t="s">
        <v>22</v>
      </c>
      <c r="B298" s="47" t="s">
        <v>239</v>
      </c>
      <c r="C298" s="47"/>
      <c r="D298" s="47"/>
      <c r="E298" s="47"/>
      <c r="F298" s="47"/>
      <c r="G298" s="47"/>
      <c r="H298" s="47"/>
      <c r="I298" s="47"/>
      <c r="J298" s="47"/>
      <c r="K298" s="47"/>
      <c r="L298" s="47"/>
      <c r="M298" s="47"/>
      <c r="N298" s="47"/>
      <c r="O298" s="47"/>
      <c r="P298" s="47"/>
      <c r="Q298" s="47"/>
      <c r="R298" s="47"/>
      <c r="S298" s="47"/>
      <c r="T298" s="47"/>
      <c r="U298" s="47"/>
    </row>
    <row r="299" spans="1:21" outlineLevel="1" x14ac:dyDescent="0.25"/>
    <row r="300" spans="1:21" ht="13" outlineLevel="1" x14ac:dyDescent="0.3">
      <c r="B300" s="49" t="s">
        <v>240</v>
      </c>
      <c r="C300" s="49"/>
      <c r="D300" s="49"/>
      <c r="E300" s="49"/>
      <c r="F300" s="49"/>
      <c r="G300" s="49"/>
      <c r="H300" s="49"/>
      <c r="I300" s="49"/>
      <c r="J300" s="49"/>
      <c r="K300" s="49"/>
      <c r="L300" s="49"/>
      <c r="M300" s="49"/>
      <c r="N300" s="49"/>
      <c r="O300" s="49"/>
      <c r="P300" s="49"/>
      <c r="Q300" s="49"/>
      <c r="R300" s="49"/>
      <c r="S300" s="49"/>
      <c r="T300" s="49"/>
      <c r="U300" s="49"/>
    </row>
    <row r="301" spans="1:21" ht="13" outlineLevel="1" x14ac:dyDescent="0.3">
      <c r="B301" s="1" t="s">
        <v>58</v>
      </c>
    </row>
    <row r="302" spans="1:21" outlineLevel="1" x14ac:dyDescent="0.25">
      <c r="E302" s="156">
        <v>2015</v>
      </c>
      <c r="F302" s="156">
        <f>+E302+1</f>
        <v>2016</v>
      </c>
      <c r="G302" s="156">
        <f t="shared" ref="G302:T302" si="230">+F302+1</f>
        <v>2017</v>
      </c>
      <c r="H302" s="156">
        <f t="shared" si="230"/>
        <v>2018</v>
      </c>
      <c r="I302" s="156">
        <f t="shared" si="230"/>
        <v>2019</v>
      </c>
      <c r="J302" s="156">
        <f t="shared" si="230"/>
        <v>2020</v>
      </c>
      <c r="K302" s="156">
        <f t="shared" si="230"/>
        <v>2021</v>
      </c>
      <c r="L302" s="156">
        <f t="shared" si="230"/>
        <v>2022</v>
      </c>
      <c r="M302" s="156">
        <f t="shared" si="230"/>
        <v>2023</v>
      </c>
      <c r="N302" s="156">
        <f t="shared" si="230"/>
        <v>2024</v>
      </c>
      <c r="O302" s="157">
        <f t="shared" si="230"/>
        <v>2025</v>
      </c>
      <c r="P302" s="157">
        <f t="shared" si="230"/>
        <v>2026</v>
      </c>
      <c r="Q302" s="157">
        <f t="shared" si="230"/>
        <v>2027</v>
      </c>
      <c r="R302" s="157">
        <f t="shared" si="230"/>
        <v>2028</v>
      </c>
      <c r="S302" s="157">
        <f t="shared" si="230"/>
        <v>2029</v>
      </c>
      <c r="T302" s="157">
        <f t="shared" si="230"/>
        <v>2030</v>
      </c>
      <c r="U302" s="157">
        <f t="shared" ref="U302" si="231">+T302+1</f>
        <v>2031</v>
      </c>
    </row>
    <row r="303" spans="1:21" ht="13.5" outlineLevel="1" thickBot="1" x14ac:dyDescent="0.35">
      <c r="B303" s="51"/>
      <c r="C303" s="51"/>
      <c r="D303" s="51"/>
      <c r="E303" s="158">
        <v>2015</v>
      </c>
      <c r="F303" s="158">
        <f>E303+1</f>
        <v>2016</v>
      </c>
      <c r="G303" s="158">
        <f t="shared" ref="G303:T303" si="232">F303+1</f>
        <v>2017</v>
      </c>
      <c r="H303" s="158">
        <f t="shared" si="232"/>
        <v>2018</v>
      </c>
      <c r="I303" s="158">
        <f t="shared" si="232"/>
        <v>2019</v>
      </c>
      <c r="J303" s="158">
        <f t="shared" si="232"/>
        <v>2020</v>
      </c>
      <c r="K303" s="158">
        <f t="shared" si="232"/>
        <v>2021</v>
      </c>
      <c r="L303" s="158">
        <f t="shared" si="232"/>
        <v>2022</v>
      </c>
      <c r="M303" s="158">
        <f t="shared" si="232"/>
        <v>2023</v>
      </c>
      <c r="N303" s="158">
        <f t="shared" si="232"/>
        <v>2024</v>
      </c>
      <c r="O303" s="159">
        <f t="shared" si="232"/>
        <v>2025</v>
      </c>
      <c r="P303" s="159">
        <f t="shared" si="232"/>
        <v>2026</v>
      </c>
      <c r="Q303" s="159">
        <f t="shared" si="232"/>
        <v>2027</v>
      </c>
      <c r="R303" s="159">
        <f t="shared" si="232"/>
        <v>2028</v>
      </c>
      <c r="S303" s="159">
        <f t="shared" si="232"/>
        <v>2029</v>
      </c>
      <c r="T303" s="159">
        <f t="shared" si="232"/>
        <v>2030</v>
      </c>
      <c r="U303" s="159">
        <f t="shared" ref="U303" si="233">T303+1</f>
        <v>2031</v>
      </c>
    </row>
    <row r="304" spans="1:21" ht="13" outlineLevel="1" x14ac:dyDescent="0.3">
      <c r="B304" s="153" t="s">
        <v>241</v>
      </c>
      <c r="C304" s="153"/>
      <c r="D304" s="153"/>
      <c r="E304" s="154">
        <v>43108</v>
      </c>
      <c r="F304" s="154">
        <v>48995</v>
      </c>
      <c r="G304" s="154">
        <v>53553</v>
      </c>
      <c r="H304" s="154">
        <v>51380</v>
      </c>
      <c r="I304" s="154">
        <v>49132</v>
      </c>
      <c r="J304" s="154">
        <v>37865</v>
      </c>
      <c r="K304" s="154">
        <v>40641</v>
      </c>
      <c r="L304" s="154">
        <v>43121</v>
      </c>
      <c r="M304" s="154">
        <v>48150</v>
      </c>
      <c r="N304" s="154">
        <v>50519</v>
      </c>
      <c r="O304" s="155">
        <f>+O316+O321+O326+O331+O336</f>
        <v>50960.592780400293</v>
      </c>
      <c r="P304" s="155">
        <f t="shared" ref="P304:T304" si="234">+P316+P321+P326+P331+P336</f>
        <v>53360.282327737914</v>
      </c>
      <c r="Q304" s="155">
        <f t="shared" si="234"/>
        <v>55450.356339233782</v>
      </c>
      <c r="R304" s="155">
        <f t="shared" si="234"/>
        <v>56470.106629907408</v>
      </c>
      <c r="S304" s="155">
        <f t="shared" si="234"/>
        <v>58645.757127027609</v>
      </c>
      <c r="T304" s="155">
        <f t="shared" si="234"/>
        <v>55814.075149874923</v>
      </c>
      <c r="U304" s="155">
        <f t="shared" ref="U304" si="235">+U316+U321+U326+U331+U336</f>
        <v>57490.338480075086</v>
      </c>
    </row>
    <row r="305" spans="2:23" ht="13" outlineLevel="1" x14ac:dyDescent="0.3">
      <c r="B305" s="64" t="s">
        <v>242</v>
      </c>
      <c r="F305" s="65">
        <f t="shared" ref="F305:T305" si="236">F304/E304-1</f>
        <v>0.1365639788438342</v>
      </c>
      <c r="G305" s="65">
        <f t="shared" si="236"/>
        <v>9.3029901010307281E-2</v>
      </c>
      <c r="H305" s="65">
        <f t="shared" si="236"/>
        <v>-4.0576625025675495E-2</v>
      </c>
      <c r="I305" s="65">
        <f t="shared" si="236"/>
        <v>-4.3752432853250256E-2</v>
      </c>
      <c r="J305" s="65">
        <f t="shared" si="236"/>
        <v>-0.22932101278189365</v>
      </c>
      <c r="K305" s="65">
        <f t="shared" si="236"/>
        <v>7.331308596329067E-2</v>
      </c>
      <c r="L305" s="65">
        <f t="shared" si="236"/>
        <v>6.102212051868805E-2</v>
      </c>
      <c r="M305" s="65">
        <f t="shared" si="236"/>
        <v>0.11662531017369737</v>
      </c>
      <c r="N305" s="65">
        <f t="shared" si="236"/>
        <v>4.9200415368639616E-2</v>
      </c>
      <c r="O305" s="65">
        <f t="shared" si="236"/>
        <v>8.7411227538212177E-3</v>
      </c>
      <c r="P305" s="65">
        <f t="shared" si="236"/>
        <v>4.7089121542961188E-2</v>
      </c>
      <c r="Q305" s="65">
        <f t="shared" si="236"/>
        <v>3.9169095820345667E-2</v>
      </c>
      <c r="R305" s="65">
        <f t="shared" si="236"/>
        <v>1.8390328899511532E-2</v>
      </c>
      <c r="S305" s="65">
        <f t="shared" si="236"/>
        <v>3.8527472798642437E-2</v>
      </c>
      <c r="T305" s="65">
        <f t="shared" si="236"/>
        <v>-4.8284515638858938E-2</v>
      </c>
      <c r="U305" s="65">
        <f t="shared" ref="U305" si="237">U304/T304-1</f>
        <v>3.0032985867793682E-2</v>
      </c>
    </row>
    <row r="306" spans="2:23" outlineLevel="1" x14ac:dyDescent="0.25"/>
    <row r="307" spans="2:23" outlineLevel="1" x14ac:dyDescent="0.25">
      <c r="B307" s="33" t="s">
        <v>243</v>
      </c>
      <c r="E307" s="66">
        <f t="shared" ref="E307:N307" si="238">E304/E313*1000000</f>
        <v>15346.790908696064</v>
      </c>
      <c r="F307" s="66">
        <f t="shared" si="238"/>
        <v>15394.524959742352</v>
      </c>
      <c r="G307" s="66">
        <f t="shared" si="238"/>
        <v>14236.632272039225</v>
      </c>
      <c r="H307" s="66">
        <f t="shared" si="238"/>
        <v>13227.625605161298</v>
      </c>
      <c r="I307" s="66">
        <f t="shared" si="238"/>
        <v>13088.872034510803</v>
      </c>
      <c r="J307" s="66">
        <f t="shared" si="238"/>
        <v>12827.023029697786</v>
      </c>
      <c r="K307" s="66">
        <f>K304/K313*1000000</f>
        <v>15072.313057293777</v>
      </c>
      <c r="L307" s="66">
        <f t="shared" si="238"/>
        <v>21218.656829153915</v>
      </c>
      <c r="M307" s="66">
        <f t="shared" si="238"/>
        <v>21744.215767649843</v>
      </c>
      <c r="N307" s="66">
        <f t="shared" si="238"/>
        <v>22488.400572103415</v>
      </c>
      <c r="O307" s="67">
        <f>O310*Macro!O8</f>
        <v>23294.00007207381</v>
      </c>
      <c r="P307" s="67">
        <f>P310*Macro!P8</f>
        <v>24086.22016280501</v>
      </c>
      <c r="Q307" s="67">
        <f>Q310*Macro!Q8</f>
        <v>24925.634810829029</v>
      </c>
      <c r="R307" s="67">
        <f>R310*Macro!R8</f>
        <v>25779.153602658669</v>
      </c>
      <c r="S307" s="67">
        <f>S310*Macro!S8</f>
        <v>26668.427676254476</v>
      </c>
      <c r="T307" s="67">
        <f>T310*Macro!T8</f>
        <v>27572.979406970127</v>
      </c>
      <c r="U307" s="67">
        <f>U310*Macro!U8</f>
        <v>28490.056702045949</v>
      </c>
    </row>
    <row r="308" spans="2:23" ht="13" outlineLevel="1" x14ac:dyDescent="0.3">
      <c r="B308" s="64" t="s">
        <v>242</v>
      </c>
      <c r="F308" s="65">
        <f t="shared" ref="F308:T308" si="239">F307/E307-1</f>
        <v>3.1103604219457903E-3</v>
      </c>
      <c r="G308" s="65">
        <f t="shared" si="239"/>
        <v>-7.5214577307912256E-2</v>
      </c>
      <c r="H308" s="65">
        <f t="shared" si="239"/>
        <v>-7.0873971287410353E-2</v>
      </c>
      <c r="I308" s="65">
        <f t="shared" si="239"/>
        <v>-1.0489680823469572E-2</v>
      </c>
      <c r="J308" s="65">
        <f t="shared" si="239"/>
        <v>-2.0005467554622958E-2</v>
      </c>
      <c r="K308" s="65">
        <f t="shared" si="239"/>
        <v>0.17504373558834185</v>
      </c>
      <c r="L308" s="65">
        <f t="shared" si="239"/>
        <v>0.40779034700886907</v>
      </c>
      <c r="M308" s="65">
        <f t="shared" si="239"/>
        <v>2.4768718525756128E-2</v>
      </c>
      <c r="N308" s="65">
        <f t="shared" si="239"/>
        <v>3.4224495029190338E-2</v>
      </c>
      <c r="O308" s="65">
        <f t="shared" si="239"/>
        <v>3.5822889999999941E-2</v>
      </c>
      <c r="P308" s="65">
        <f t="shared" si="239"/>
        <v>3.4009619999999963E-2</v>
      </c>
      <c r="Q308" s="65">
        <f t="shared" si="239"/>
        <v>3.4850409999999998E-2</v>
      </c>
      <c r="R308" s="65">
        <f t="shared" si="239"/>
        <v>3.4242609999999951E-2</v>
      </c>
      <c r="S308" s="65">
        <f t="shared" si="239"/>
        <v>3.4495859999999823E-2</v>
      </c>
      <c r="T308" s="65">
        <f t="shared" si="239"/>
        <v>3.3918449999999822E-2</v>
      </c>
      <c r="U308" s="65">
        <f t="shared" ref="U308" si="240">U307/T307-1</f>
        <v>3.3259999999999845E-2</v>
      </c>
    </row>
    <row r="309" spans="2:23" ht="13" outlineLevel="1" x14ac:dyDescent="0.3">
      <c r="B309" s="64"/>
      <c r="F309" s="65"/>
      <c r="G309" s="65"/>
      <c r="H309" s="65"/>
      <c r="I309" s="65"/>
      <c r="J309" s="65"/>
      <c r="K309" s="65"/>
      <c r="L309" s="65"/>
      <c r="M309" s="65"/>
      <c r="N309" s="65"/>
    </row>
    <row r="310" spans="2:23" outlineLevel="1" x14ac:dyDescent="0.25">
      <c r="B310" s="33" t="s">
        <v>244</v>
      </c>
      <c r="E310" s="68">
        <f>Macro!E8*E307</f>
        <v>20140.09815515724</v>
      </c>
      <c r="F310" s="68">
        <f>Macro!F8*F307</f>
        <v>19982.928901437339</v>
      </c>
      <c r="G310" s="68">
        <f>Macro!G8*G307</f>
        <v>18206.998444065128</v>
      </c>
      <c r="H310" s="68">
        <f>Macro!H8*H307</f>
        <v>16634.639027592832</v>
      </c>
      <c r="I310" s="68">
        <f>Macro!I8*I307</f>
        <v>16207.472477653142</v>
      </c>
      <c r="J310" s="68">
        <f>Macro!J8*J307</f>
        <v>15858.336824045258</v>
      </c>
      <c r="K310" s="68">
        <f>Macro!K8*K307</f>
        <v>17688.606441577562</v>
      </c>
      <c r="L310" s="68">
        <f>Macro!L8*L307</f>
        <v>22482.303859168122</v>
      </c>
      <c r="M310" s="68">
        <f>Macro!M8*M307</f>
        <v>22321.524696280947</v>
      </c>
      <c r="N310" s="68">
        <f>Macro!N8*N307</f>
        <v>22488.400572103415</v>
      </c>
      <c r="O310" s="67">
        <f>N310*(1+O311)</f>
        <v>22780.749779540758</v>
      </c>
      <c r="P310" s="67">
        <f t="shared" ref="P310:T310" si="241">O310*(1+P311)</f>
        <v>23076.899526674784</v>
      </c>
      <c r="Q310" s="67">
        <f t="shared" si="241"/>
        <v>23376.899220521555</v>
      </c>
      <c r="R310" s="67">
        <f t="shared" si="241"/>
        <v>23680.798910388334</v>
      </c>
      <c r="S310" s="67">
        <f t="shared" si="241"/>
        <v>23988.649296223379</v>
      </c>
      <c r="T310" s="67">
        <f t="shared" si="241"/>
        <v>24300.501737074279</v>
      </c>
      <c r="U310" s="67">
        <f t="shared" ref="U310" si="242">T310*(1+U311)</f>
        <v>24616.408259656244</v>
      </c>
    </row>
    <row r="311" spans="2:23" ht="13" outlineLevel="1" x14ac:dyDescent="0.3">
      <c r="B311" s="64" t="s">
        <v>242</v>
      </c>
      <c r="F311" s="65">
        <f t="shared" ref="F311:N311" si="243">F310/E310-1</f>
        <v>-7.8037978022293952E-3</v>
      </c>
      <c r="G311" s="65">
        <f t="shared" si="243"/>
        <v>-8.8872380326813438E-2</v>
      </c>
      <c r="H311" s="65">
        <f t="shared" si="243"/>
        <v>-8.6360166465814792E-2</v>
      </c>
      <c r="I311" s="65">
        <f t="shared" si="243"/>
        <v>-2.5679339914207011E-2</v>
      </c>
      <c r="J311" s="65">
        <f t="shared" si="243"/>
        <v>-2.1541647168568212E-2</v>
      </c>
      <c r="K311" s="65">
        <f t="shared" si="243"/>
        <v>0.11541371821269109</v>
      </c>
      <c r="L311" s="65">
        <f t="shared" si="243"/>
        <v>0.27100480941917726</v>
      </c>
      <c r="M311" s="65">
        <f t="shared" si="243"/>
        <v>-7.1513650867062184E-3</v>
      </c>
      <c r="N311" s="65">
        <f t="shared" si="243"/>
        <v>7.4760070422192904E-3</v>
      </c>
      <c r="O311" s="550">
        <v>1.2999999999999999E-2</v>
      </c>
      <c r="P311" s="550">
        <v>1.2999999999999999E-2</v>
      </c>
      <c r="Q311" s="550">
        <v>1.2999999999999999E-2</v>
      </c>
      <c r="R311" s="550">
        <v>1.2999999999999999E-2</v>
      </c>
      <c r="S311" s="550">
        <v>1.2999999999999999E-2</v>
      </c>
      <c r="T311" s="550">
        <v>1.2999999999999999E-2</v>
      </c>
      <c r="U311" s="550">
        <v>1.2999999999999999E-2</v>
      </c>
      <c r="V311"/>
    </row>
    <row r="312" spans="2:23" outlineLevel="1" x14ac:dyDescent="0.25"/>
    <row r="313" spans="2:23" outlineLevel="1" x14ac:dyDescent="0.25">
      <c r="B313" s="33" t="s">
        <v>245</v>
      </c>
      <c r="E313" s="70">
        <f t="shared" ref="E313:T313" si="244">+E318+E323+E328+E333+E338</f>
        <v>2808926</v>
      </c>
      <c r="F313" s="70">
        <f t="shared" si="244"/>
        <v>3182625</v>
      </c>
      <c r="G313" s="70">
        <f t="shared" si="244"/>
        <v>3761634</v>
      </c>
      <c r="H313" s="70">
        <f t="shared" si="244"/>
        <v>3884295</v>
      </c>
      <c r="I313" s="70">
        <f t="shared" si="244"/>
        <v>3753723</v>
      </c>
      <c r="J313" s="70">
        <f t="shared" si="244"/>
        <v>2951971</v>
      </c>
      <c r="K313" s="70">
        <f t="shared" si="244"/>
        <v>2696401</v>
      </c>
      <c r="L313" s="70">
        <f t="shared" si="244"/>
        <v>2032221</v>
      </c>
      <c r="M313" s="70">
        <f t="shared" si="244"/>
        <v>2214382</v>
      </c>
      <c r="N313" s="70">
        <f t="shared" si="244"/>
        <v>2246447</v>
      </c>
      <c r="O313" s="70">
        <f t="shared" si="244"/>
        <v>2237002.4373020274</v>
      </c>
      <c r="P313" s="70">
        <f t="shared" si="244"/>
        <v>2312281.2605765476</v>
      </c>
      <c r="Q313" s="70">
        <f t="shared" si="244"/>
        <v>2372015.0314271087</v>
      </c>
      <c r="R313" s="70">
        <f t="shared" si="244"/>
        <v>2384636.8884596629</v>
      </c>
      <c r="S313" s="70">
        <f t="shared" si="244"/>
        <v>2444729.4386124699</v>
      </c>
      <c r="T313" s="70">
        <f t="shared" si="244"/>
        <v>2296828.0965459109</v>
      </c>
      <c r="U313" s="70">
        <f t="shared" ref="U313" si="245">+U318+U323+U328+U333+U338</f>
        <v>2335447.8798718909</v>
      </c>
    </row>
    <row r="314" spans="2:23" ht="13" outlineLevel="1" x14ac:dyDescent="0.3">
      <c r="B314" s="64" t="s">
        <v>242</v>
      </c>
      <c r="C314" s="41"/>
      <c r="D314" s="41"/>
      <c r="E314" s="71"/>
      <c r="F314" s="65">
        <f>F313/E313-1</f>
        <v>0.13303981664166309</v>
      </c>
      <c r="G314" s="65">
        <f t="shared" ref="G314:T314" si="246">G313/F313-1</f>
        <v>0.18192812536821013</v>
      </c>
      <c r="H314" s="65">
        <f t="shared" si="246"/>
        <v>3.2608435589427387E-2</v>
      </c>
      <c r="I314" s="65">
        <f t="shared" si="246"/>
        <v>-3.3615366495078236E-2</v>
      </c>
      <c r="J314" s="65">
        <f t="shared" si="246"/>
        <v>-0.21358848268772102</v>
      </c>
      <c r="K314" s="65">
        <f t="shared" si="246"/>
        <v>-8.6576053762045801E-2</v>
      </c>
      <c r="L314" s="65">
        <f t="shared" si="246"/>
        <v>-0.24632092926830984</v>
      </c>
      <c r="M314" s="65">
        <f t="shared" si="246"/>
        <v>8.9636412575207158E-2</v>
      </c>
      <c r="N314" s="65">
        <f t="shared" si="246"/>
        <v>1.4480338080782751E-2</v>
      </c>
      <c r="O314" s="65">
        <f t="shared" si="246"/>
        <v>-4.2042223555563973E-3</v>
      </c>
      <c r="P314" s="65">
        <f t="shared" si="246"/>
        <v>3.3651650091768071E-2</v>
      </c>
      <c r="Q314" s="65">
        <f t="shared" si="246"/>
        <v>2.5833263396195516E-2</v>
      </c>
      <c r="R314" s="65">
        <f t="shared" si="246"/>
        <v>5.3211538988269247E-3</v>
      </c>
      <c r="S314" s="65">
        <f t="shared" si="246"/>
        <v>2.5199874431038882E-2</v>
      </c>
      <c r="T314" s="65">
        <f t="shared" si="246"/>
        <v>-6.0498041104500189E-2</v>
      </c>
      <c r="U314" s="65">
        <f t="shared" ref="U314" si="247">U313/T313-1</f>
        <v>1.6814398684890097E-2</v>
      </c>
      <c r="W314"/>
    </row>
    <row r="315" spans="2:23" ht="13.5" outlineLevel="1" thickBot="1" x14ac:dyDescent="0.35">
      <c r="B315" s="72"/>
      <c r="C315" s="73"/>
      <c r="D315" s="73"/>
      <c r="E315" s="51"/>
      <c r="F315" s="74"/>
      <c r="G315" s="74"/>
      <c r="H315" s="74"/>
      <c r="I315" s="74"/>
      <c r="J315" s="74"/>
      <c r="K315" s="74"/>
      <c r="L315" s="74"/>
      <c r="M315" s="74"/>
      <c r="N315" s="74"/>
      <c r="O315" s="74"/>
      <c r="P315" s="74"/>
      <c r="Q315" s="74"/>
      <c r="R315" s="74"/>
      <c r="S315" s="74"/>
      <c r="T315" s="74"/>
      <c r="U315" s="74"/>
    </row>
    <row r="316" spans="2:23" outlineLevel="1" x14ac:dyDescent="0.25">
      <c r="B316" s="86" t="s">
        <v>246</v>
      </c>
      <c r="C316" s="86"/>
      <c r="D316" s="86"/>
      <c r="E316" s="87">
        <f>E317/Macro!E$8</f>
        <v>24772.651763699007</v>
      </c>
      <c r="F316" s="87">
        <f>F317/Macro!F8</f>
        <v>27791.58196457327</v>
      </c>
      <c r="G316" s="87">
        <f>G317/Macro!G8</f>
        <v>27208.610262720933</v>
      </c>
      <c r="H316" s="87">
        <f>H317/Macro!H8</f>
        <v>25406.856060108719</v>
      </c>
      <c r="I316" s="87">
        <f>I317/Macro!I8</f>
        <v>25468.602071063848</v>
      </c>
      <c r="J316" s="87">
        <f>J317/Macro!J8</f>
        <v>18539.589044065815</v>
      </c>
      <c r="K316" s="87">
        <f>K317/Macro!K8</f>
        <v>21529.683851177921</v>
      </c>
      <c r="L316" s="87">
        <f>L317/Macro!L8</f>
        <v>27629.194993064237</v>
      </c>
      <c r="M316" s="87">
        <f>M317/Macro!M8</f>
        <v>33585.485092454677</v>
      </c>
      <c r="N316" s="87">
        <f>N317/Macro!N8</f>
        <v>35960.099423222542</v>
      </c>
      <c r="O316" s="87">
        <f>O317</f>
        <v>35881.167004988558</v>
      </c>
      <c r="P316" s="87">
        <f t="shared" ref="P316:U316" si="248">P317</f>
        <v>37765.179440919484</v>
      </c>
      <c r="Q316" s="87">
        <f t="shared" si="248"/>
        <v>39350.251999377862</v>
      </c>
      <c r="R316" s="87">
        <f t="shared" si="248"/>
        <v>39881.736178007457</v>
      </c>
      <c r="S316" s="87">
        <f t="shared" si="248"/>
        <v>41592.004611397038</v>
      </c>
      <c r="T316" s="87">
        <f t="shared" si="248"/>
        <v>38323.904530655585</v>
      </c>
      <c r="U316" s="87">
        <f t="shared" si="248"/>
        <v>39598.557595345192</v>
      </c>
    </row>
    <row r="317" spans="2:23" outlineLevel="1" x14ac:dyDescent="0.25">
      <c r="B317" s="162" t="s">
        <v>247</v>
      </c>
      <c r="C317" s="162"/>
      <c r="D317" s="162"/>
      <c r="E317" s="163">
        <f t="shared" ref="E317:U317" si="249">E318*0.000001*E$310</f>
        <v>32509.965181171421</v>
      </c>
      <c r="F317" s="163">
        <f t="shared" si="249"/>
        <v>36074.981716475813</v>
      </c>
      <c r="G317" s="163">
        <f t="shared" si="249"/>
        <v>34796.651009345507</v>
      </c>
      <c r="H317" s="163">
        <f t="shared" si="249"/>
        <v>31950.849835136709</v>
      </c>
      <c r="I317" s="163">
        <f t="shared" si="249"/>
        <v>31536.840303939516</v>
      </c>
      <c r="J317" s="163">
        <f t="shared" si="249"/>
        <v>22920.910561981109</v>
      </c>
      <c r="K317" s="163">
        <f t="shared" si="249"/>
        <v>25266.865344916871</v>
      </c>
      <c r="L317" s="163">
        <f t="shared" si="249"/>
        <v>29274.612536492274</v>
      </c>
      <c r="M317" s="163">
        <f t="shared" si="249"/>
        <v>34477.179721659355</v>
      </c>
      <c r="N317" s="163">
        <f t="shared" si="249"/>
        <v>35960.099423222542</v>
      </c>
      <c r="O317" s="163">
        <f t="shared" si="249"/>
        <v>35881.167004988558</v>
      </c>
      <c r="P317" s="163">
        <f t="shared" si="249"/>
        <v>37765.179440919484</v>
      </c>
      <c r="Q317" s="163">
        <f t="shared" si="249"/>
        <v>39350.251999377862</v>
      </c>
      <c r="R317" s="163">
        <f t="shared" si="249"/>
        <v>39881.736178007457</v>
      </c>
      <c r="S317" s="163">
        <f t="shared" si="249"/>
        <v>41592.004611397038</v>
      </c>
      <c r="T317" s="163">
        <f t="shared" si="249"/>
        <v>38323.904530655585</v>
      </c>
      <c r="U317" s="163">
        <f t="shared" si="249"/>
        <v>39598.557595345192</v>
      </c>
    </row>
    <row r="318" spans="2:23" outlineLevel="1" x14ac:dyDescent="0.25">
      <c r="B318" s="33" t="s">
        <v>248</v>
      </c>
      <c r="E318" s="75">
        <v>1614191</v>
      </c>
      <c r="F318" s="75">
        <v>1805290</v>
      </c>
      <c r="G318" s="75">
        <v>1911169</v>
      </c>
      <c r="H318" s="75">
        <v>1920742</v>
      </c>
      <c r="I318" s="75">
        <v>1945821</v>
      </c>
      <c r="J318" s="75">
        <v>1445354</v>
      </c>
      <c r="K318" s="75">
        <v>1428426</v>
      </c>
      <c r="L318" s="75">
        <v>1302118</v>
      </c>
      <c r="M318" s="75">
        <v>1544571</v>
      </c>
      <c r="N318" s="75">
        <v>1599051</v>
      </c>
      <c r="O318" s="70">
        <f>N318*(1+O319)</f>
        <v>1575065.2349999999</v>
      </c>
      <c r="P318" s="70">
        <f t="shared" ref="P318:T318" si="250">O318*(1+P319)</f>
        <v>1636492.7791649997</v>
      </c>
      <c r="Q318" s="70">
        <f t="shared" si="250"/>
        <v>1683296.4726491186</v>
      </c>
      <c r="R318" s="70">
        <f t="shared" si="250"/>
        <v>1684138.1208854432</v>
      </c>
      <c r="S318" s="70">
        <f t="shared" si="250"/>
        <v>1733820.1954515639</v>
      </c>
      <c r="T318" s="70">
        <f t="shared" si="250"/>
        <v>1577082.8497827426</v>
      </c>
      <c r="U318" s="70">
        <f t="shared" ref="U318" si="251">T318*(1+U319)</f>
        <v>1608624.5067783974</v>
      </c>
      <c r="V318"/>
    </row>
    <row r="319" spans="2:23" ht="13" outlineLevel="1" x14ac:dyDescent="0.3">
      <c r="B319" s="64" t="s">
        <v>242</v>
      </c>
      <c r="E319" s="75"/>
      <c r="F319" s="65">
        <f>F318/E318-1</f>
        <v>0.11838685756518275</v>
      </c>
      <c r="G319" s="65">
        <f t="shared" ref="G319:N319" si="252">G318/F318-1</f>
        <v>5.8649302882085363E-2</v>
      </c>
      <c r="H319" s="65">
        <f t="shared" si="252"/>
        <v>5.0089761815934608E-3</v>
      </c>
      <c r="I319" s="65">
        <f t="shared" si="252"/>
        <v>1.3056933206021526E-2</v>
      </c>
      <c r="J319" s="65">
        <f t="shared" si="252"/>
        <v>-0.25720094499956569</v>
      </c>
      <c r="K319" s="65">
        <f t="shared" si="252"/>
        <v>-1.1712009652998456E-2</v>
      </c>
      <c r="L319" s="65">
        <f t="shared" si="252"/>
        <v>-8.842460162444532E-2</v>
      </c>
      <c r="M319" s="65">
        <f t="shared" si="252"/>
        <v>0.18619894663924463</v>
      </c>
      <c r="N319" s="65">
        <f t="shared" si="252"/>
        <v>3.527192987567429E-2</v>
      </c>
      <c r="O319" s="550">
        <v>-1.4999999999999999E-2</v>
      </c>
      <c r="P319" s="550">
        <v>3.9E-2</v>
      </c>
      <c r="Q319" s="550">
        <v>2.86E-2</v>
      </c>
      <c r="R319" s="550">
        <v>5.0000000000000001E-4</v>
      </c>
      <c r="S319" s="550">
        <v>2.9499999999999998E-2</v>
      </c>
      <c r="T319" s="550">
        <v>-9.0399999999999994E-2</v>
      </c>
      <c r="U319" s="550">
        <v>0.02</v>
      </c>
      <c r="V319"/>
    </row>
    <row r="320" spans="2:23" ht="13.5" outlineLevel="1" thickBot="1" x14ac:dyDescent="0.35">
      <c r="B320" s="72"/>
      <c r="C320" s="73"/>
      <c r="D320" s="73"/>
      <c r="E320" s="51"/>
      <c r="F320" s="74"/>
      <c r="G320" s="74"/>
      <c r="H320" s="74"/>
      <c r="I320" s="74"/>
      <c r="J320" s="74"/>
      <c r="K320" s="74"/>
      <c r="L320" s="74"/>
      <c r="M320" s="74"/>
      <c r="N320" s="74"/>
      <c r="O320" s="74"/>
      <c r="P320" s="74"/>
      <c r="Q320" s="74"/>
      <c r="R320" s="74"/>
      <c r="S320" s="74"/>
      <c r="T320" s="74"/>
      <c r="U320" s="74"/>
      <c r="V320"/>
    </row>
    <row r="321" spans="2:22" outlineLevel="1" x14ac:dyDescent="0.25">
      <c r="B321" s="86" t="s">
        <v>249</v>
      </c>
      <c r="C321" s="86"/>
      <c r="D321" s="86"/>
      <c r="E321" s="87">
        <f>E322/Macro!E$8</f>
        <v>5466.7724703320764</v>
      </c>
      <c r="F321" s="87">
        <f>F322/Macro!F$8</f>
        <v>5610.5500161030595</v>
      </c>
      <c r="G321" s="87">
        <f>G322/Macro!G$8</f>
        <v>10432.404816098535</v>
      </c>
      <c r="H321" s="87">
        <f>H322/Macro!H$8</f>
        <v>9888.9993576697943</v>
      </c>
      <c r="I321" s="87">
        <f>I322/Macro!I$8</f>
        <v>9824.1277718148067</v>
      </c>
      <c r="J321" s="87">
        <f>J322/Macro!J$8</f>
        <v>9537.0455468566597</v>
      </c>
      <c r="K321" s="87">
        <f>K322/Macro!K$8</f>
        <v>9947.1840145438309</v>
      </c>
      <c r="L321" s="87">
        <f>L322/Macro!L$8</f>
        <v>3231.8348403052623</v>
      </c>
      <c r="M321" s="87">
        <f>M322/Macro!M$8</f>
        <v>4281.8274805340716</v>
      </c>
      <c r="N321" s="87">
        <f>N322/Macro!N$8</f>
        <v>4235.6902477556778</v>
      </c>
      <c r="O321" s="87">
        <f>O322</f>
        <v>4583.0354440076171</v>
      </c>
      <c r="P321" s="87">
        <f t="shared" ref="P321:U321" si="253">P322</f>
        <v>4926.3661669671474</v>
      </c>
      <c r="Q321" s="87">
        <f t="shared" si="253"/>
        <v>5260.4840958865534</v>
      </c>
      <c r="R321" s="87">
        <f t="shared" si="253"/>
        <v>5579.9606086622507</v>
      </c>
      <c r="S321" s="87">
        <f t="shared" si="253"/>
        <v>5879.2718735498611</v>
      </c>
      <c r="T321" s="87">
        <f t="shared" si="253"/>
        <v>6152.9483946508335</v>
      </c>
      <c r="U321" s="87">
        <f t="shared" si="253"/>
        <v>6395.7338338810478</v>
      </c>
      <c r="V321"/>
    </row>
    <row r="322" spans="2:22" outlineLevel="1" x14ac:dyDescent="0.25">
      <c r="B322" s="162" t="s">
        <v>250</v>
      </c>
      <c r="C322" s="162"/>
      <c r="D322" s="162"/>
      <c r="E322" s="163">
        <f t="shared" ref="E322:U322" si="254">E323*0.000001*E$310</f>
        <v>7174.2252044374909</v>
      </c>
      <c r="F322" s="163">
        <f t="shared" si="254"/>
        <v>7282.7984210577388</v>
      </c>
      <c r="G322" s="163">
        <f t="shared" si="254"/>
        <v>13341.833561832707</v>
      </c>
      <c r="H322" s="163">
        <f t="shared" si="254"/>
        <v>12436.089406306455</v>
      </c>
      <c r="I322" s="163">
        <f t="shared" si="254"/>
        <v>12164.858825024596</v>
      </c>
      <c r="J322" s="163">
        <f t="shared" si="254"/>
        <v>11790.863728719538</v>
      </c>
      <c r="K322" s="163">
        <f t="shared" si="254"/>
        <v>11673.843461609295</v>
      </c>
      <c r="L322" s="163">
        <f t="shared" si="254"/>
        <v>3424.302183093756</v>
      </c>
      <c r="M322" s="163">
        <f t="shared" si="254"/>
        <v>4395.5100001422516</v>
      </c>
      <c r="N322" s="163">
        <f t="shared" si="254"/>
        <v>4235.6902477556778</v>
      </c>
      <c r="O322" s="163">
        <f t="shared" si="254"/>
        <v>4583.0354440076171</v>
      </c>
      <c r="P322" s="163">
        <f t="shared" si="254"/>
        <v>4926.3661669671474</v>
      </c>
      <c r="Q322" s="163">
        <f t="shared" si="254"/>
        <v>5260.4840958865534</v>
      </c>
      <c r="R322" s="163">
        <f t="shared" si="254"/>
        <v>5579.9606086622507</v>
      </c>
      <c r="S322" s="163">
        <f t="shared" si="254"/>
        <v>5879.2718735498611</v>
      </c>
      <c r="T322" s="163">
        <f t="shared" si="254"/>
        <v>6152.9483946508335</v>
      </c>
      <c r="U322" s="163">
        <f t="shared" si="254"/>
        <v>6395.7338338810478</v>
      </c>
      <c r="V322"/>
    </row>
    <row r="323" spans="2:22" outlineLevel="1" x14ac:dyDescent="0.25">
      <c r="B323" s="33" t="s">
        <v>251</v>
      </c>
      <c r="E323" s="75">
        <v>356216</v>
      </c>
      <c r="F323" s="75">
        <v>364451</v>
      </c>
      <c r="G323" s="75">
        <v>732786</v>
      </c>
      <c r="H323" s="75">
        <v>747602</v>
      </c>
      <c r="I323" s="75">
        <v>750571</v>
      </c>
      <c r="J323" s="75">
        <v>743512</v>
      </c>
      <c r="K323" s="75">
        <v>659964</v>
      </c>
      <c r="L323" s="75">
        <v>152311</v>
      </c>
      <c r="M323" s="75">
        <v>196918</v>
      </c>
      <c r="N323" s="75">
        <v>188350</v>
      </c>
      <c r="O323" s="70">
        <f>N323*(1+O324)</f>
        <v>201180.18451366384</v>
      </c>
      <c r="P323" s="70">
        <f t="shared" ref="P323:T323" si="255">O323*(1+P324)</f>
        <v>213476.08508988476</v>
      </c>
      <c r="Q323" s="70">
        <f t="shared" si="255"/>
        <v>225029.16431571066</v>
      </c>
      <c r="R323" s="70">
        <f t="shared" si="255"/>
        <v>235632.27869877414</v>
      </c>
      <c r="S323" s="70">
        <f t="shared" si="255"/>
        <v>245085.57363733926</v>
      </c>
      <c r="T323" s="70">
        <f t="shared" si="255"/>
        <v>253202.52483772929</v>
      </c>
      <c r="U323" s="70">
        <f t="shared" ref="U323" si="256">T323*(1+U324)</f>
        <v>259815.88241542928</v>
      </c>
      <c r="V323"/>
    </row>
    <row r="324" spans="2:22" ht="13" outlineLevel="1" x14ac:dyDescent="0.3">
      <c r="B324" s="64" t="s">
        <v>242</v>
      </c>
      <c r="E324" s="75"/>
      <c r="F324" s="65">
        <f>F323/E323-1</f>
        <v>2.3117995822759196E-2</v>
      </c>
      <c r="G324" s="65">
        <f t="shared" ref="G324:N324" si="257">G323/F323-1</f>
        <v>1.0106571253748791</v>
      </c>
      <c r="H324" s="65">
        <f t="shared" si="257"/>
        <v>2.0218726886157778E-2</v>
      </c>
      <c r="I324" s="65">
        <f t="shared" si="257"/>
        <v>3.9713644425778405E-3</v>
      </c>
      <c r="J324" s="65">
        <f t="shared" si="257"/>
        <v>-9.4048397819793683E-3</v>
      </c>
      <c r="K324" s="65">
        <f t="shared" si="257"/>
        <v>-0.11236940358729919</v>
      </c>
      <c r="L324" s="65">
        <f t="shared" si="257"/>
        <v>-0.76921316920316862</v>
      </c>
      <c r="M324" s="65">
        <f t="shared" si="257"/>
        <v>0.29286788216215509</v>
      </c>
      <c r="N324" s="65">
        <f t="shared" si="257"/>
        <v>-4.351049675499441E-2</v>
      </c>
      <c r="O324" s="550">
        <f>(N324+M324+F324)/4</f>
        <v>6.8118845307479969E-2</v>
      </c>
      <c r="P324" s="550">
        <f>O324-0.007</f>
        <v>6.111884530747997E-2</v>
      </c>
      <c r="Q324" s="550">
        <f t="shared" ref="Q324:U324" si="258">P324-0.007</f>
        <v>5.4118845307479971E-2</v>
      </c>
      <c r="R324" s="550">
        <f t="shared" si="258"/>
        <v>4.7118845307479972E-2</v>
      </c>
      <c r="S324" s="550">
        <f t="shared" si="258"/>
        <v>4.0118845307479972E-2</v>
      </c>
      <c r="T324" s="550">
        <f t="shared" si="258"/>
        <v>3.3118845307479973E-2</v>
      </c>
      <c r="U324" s="550">
        <f t="shared" si="258"/>
        <v>2.6118845307479974E-2</v>
      </c>
      <c r="V324"/>
    </row>
    <row r="325" spans="2:22" ht="13.5" outlineLevel="1" thickBot="1" x14ac:dyDescent="0.35">
      <c r="B325" s="72"/>
      <c r="C325" s="73"/>
      <c r="D325" s="73"/>
      <c r="E325" s="51"/>
      <c r="F325" s="74"/>
      <c r="G325" s="74"/>
      <c r="H325" s="74"/>
      <c r="I325" s="74"/>
      <c r="J325" s="74"/>
      <c r="K325" s="74"/>
      <c r="L325" s="74"/>
      <c r="M325" s="74"/>
      <c r="N325" s="74"/>
      <c r="O325" s="74"/>
      <c r="P325" s="74"/>
      <c r="Q325" s="74"/>
      <c r="R325" s="74"/>
      <c r="S325" s="74"/>
      <c r="T325" s="74"/>
      <c r="U325" s="74"/>
      <c r="V325"/>
    </row>
    <row r="326" spans="2:22" outlineLevel="1" x14ac:dyDescent="0.25">
      <c r="B326" s="86" t="s">
        <v>252</v>
      </c>
      <c r="C326" s="86"/>
      <c r="D326" s="86"/>
      <c r="E326" s="87">
        <f>E327/Macro!E$8</f>
        <v>5525.2897840669357</v>
      </c>
      <c r="F326" s="87">
        <f>F327/Macro!F$8</f>
        <v>7561.0363285024159</v>
      </c>
      <c r="G326" s="87">
        <f>G327/Macro!G$8</f>
        <v>7579.4548919432336</v>
      </c>
      <c r="H326" s="87">
        <f>H327/Macro!H$8</f>
        <v>5938.6615640676109</v>
      </c>
      <c r="I326" s="87">
        <f>I327/Macro!I$8</f>
        <v>5932.1778500970895</v>
      </c>
      <c r="J326" s="87">
        <f>J327/Macro!J$8</f>
        <v>4441.6773996086013</v>
      </c>
      <c r="K326" s="87">
        <f>K327/Macro!K$8</f>
        <v>2272.6335074048702</v>
      </c>
      <c r="L326" s="87">
        <f>L327/Macro!L$8</f>
        <v>2751.359575065901</v>
      </c>
      <c r="M326" s="87">
        <f>M327/Macro!M$8</f>
        <v>2552.3360468067385</v>
      </c>
      <c r="N326" s="87">
        <f>N327/Macro!N$8</f>
        <v>2739.3345620884888</v>
      </c>
      <c r="O326" s="87">
        <f>O327</f>
        <v>2802.6953705095957</v>
      </c>
      <c r="P326" s="87">
        <f t="shared" ref="P326" si="259">P327</f>
        <v>2867.521714429482</v>
      </c>
      <c r="Q326" s="87">
        <f t="shared" ref="Q326" si="260">Q327</f>
        <v>2933.8474916842356</v>
      </c>
      <c r="R326" s="87">
        <f t="shared" ref="R326" si="261">R327</f>
        <v>3001.7073841668926</v>
      </c>
      <c r="S326" s="87">
        <f t="shared" ref="S326" si="262">S327</f>
        <v>3071.1368759626721</v>
      </c>
      <c r="T326" s="87">
        <f t="shared" ref="T326:U326" si="263">T327</f>
        <v>3142.1722719036884</v>
      </c>
      <c r="U326" s="87">
        <f t="shared" si="263"/>
        <v>3214.8507165528208</v>
      </c>
      <c r="V326"/>
    </row>
    <row r="327" spans="2:22" outlineLevel="1" x14ac:dyDescent="0.25">
      <c r="B327" s="162" t="s">
        <v>253</v>
      </c>
      <c r="C327" s="162"/>
      <c r="D327" s="162"/>
      <c r="E327" s="163">
        <f t="shared" ref="E327:U327" si="264">E328*0.000001*E$310</f>
        <v>7251.0193987031062</v>
      </c>
      <c r="F327" s="163">
        <f t="shared" si="264"/>
        <v>9814.6355128698506</v>
      </c>
      <c r="G327" s="163">
        <f t="shared" si="264"/>
        <v>9693.2421086342765</v>
      </c>
      <c r="H327" s="163">
        <f t="shared" si="264"/>
        <v>7468.2709031890499</v>
      </c>
      <c r="I327" s="163">
        <f t="shared" si="264"/>
        <v>7345.5992987393902</v>
      </c>
      <c r="J327" s="163">
        <f t="shared" si="264"/>
        <v>5491.3455837462716</v>
      </c>
      <c r="K327" s="163">
        <f t="shared" si="264"/>
        <v>2667.123456473948</v>
      </c>
      <c r="L327" s="163">
        <f t="shared" si="264"/>
        <v>2915.2128945067529</v>
      </c>
      <c r="M327" s="163">
        <f t="shared" si="264"/>
        <v>2620.1005688494574</v>
      </c>
      <c r="N327" s="163">
        <f t="shared" si="264"/>
        <v>2739.3345620884888</v>
      </c>
      <c r="O327" s="163">
        <f t="shared" si="264"/>
        <v>2802.6953705095957</v>
      </c>
      <c r="P327" s="163">
        <f t="shared" si="264"/>
        <v>2867.521714429482</v>
      </c>
      <c r="Q327" s="163">
        <f t="shared" si="264"/>
        <v>2933.8474916842356</v>
      </c>
      <c r="R327" s="163">
        <f t="shared" si="264"/>
        <v>3001.7073841668926</v>
      </c>
      <c r="S327" s="163">
        <f t="shared" si="264"/>
        <v>3071.1368759626721</v>
      </c>
      <c r="T327" s="163">
        <f t="shared" si="264"/>
        <v>3142.1722719036884</v>
      </c>
      <c r="U327" s="163">
        <f t="shared" si="264"/>
        <v>3214.8507165528208</v>
      </c>
      <c r="V327"/>
    </row>
    <row r="328" spans="2:22" outlineLevel="1" x14ac:dyDescent="0.25">
      <c r="B328" s="33" t="s">
        <v>254</v>
      </c>
      <c r="E328" s="75">
        <v>360029</v>
      </c>
      <c r="F328" s="75">
        <v>491151</v>
      </c>
      <c r="G328" s="75">
        <v>532391</v>
      </c>
      <c r="H328" s="75">
        <v>448959</v>
      </c>
      <c r="I328" s="75">
        <v>453223</v>
      </c>
      <c r="J328" s="75">
        <v>346275</v>
      </c>
      <c r="K328" s="75">
        <v>150782</v>
      </c>
      <c r="L328" s="75">
        <v>129667</v>
      </c>
      <c r="M328" s="75">
        <v>117380</v>
      </c>
      <c r="N328" s="75">
        <v>121811</v>
      </c>
      <c r="O328" s="70">
        <f>N328*(1+O329)</f>
        <v>123029.11</v>
      </c>
      <c r="P328" s="70">
        <f t="shared" ref="P328:T328" si="265">O328*(1+P329)</f>
        <v>124259.4011</v>
      </c>
      <c r="Q328" s="70">
        <f t="shared" si="265"/>
        <v>125501.99511100001</v>
      </c>
      <c r="R328" s="70">
        <f t="shared" si="265"/>
        <v>126757.01506211002</v>
      </c>
      <c r="S328" s="70">
        <f t="shared" si="265"/>
        <v>128024.58521273112</v>
      </c>
      <c r="T328" s="70">
        <f t="shared" si="265"/>
        <v>129304.83106485843</v>
      </c>
      <c r="U328" s="70">
        <f t="shared" ref="U328" si="266">T328*(1+U329)</f>
        <v>130597.87937550702</v>
      </c>
      <c r="V328"/>
    </row>
    <row r="329" spans="2:22" ht="13" outlineLevel="1" x14ac:dyDescent="0.3">
      <c r="B329" s="64" t="s">
        <v>242</v>
      </c>
      <c r="E329" s="75"/>
      <c r="F329" s="65">
        <f t="shared" ref="F329:N329" si="267">F328/E328-1</f>
        <v>0.36419843957014564</v>
      </c>
      <c r="G329" s="65">
        <f t="shared" si="267"/>
        <v>8.3966030813334314E-2</v>
      </c>
      <c r="H329" s="65">
        <f t="shared" si="267"/>
        <v>-0.15671189032121124</v>
      </c>
      <c r="I329" s="65">
        <f t="shared" si="267"/>
        <v>9.4975265001926434E-3</v>
      </c>
      <c r="J329" s="65">
        <f t="shared" si="267"/>
        <v>-0.23597213733636646</v>
      </c>
      <c r="K329" s="65">
        <f t="shared" si="267"/>
        <v>-0.56455995956970617</v>
      </c>
      <c r="L329" s="65">
        <f t="shared" si="267"/>
        <v>-0.14003660914432758</v>
      </c>
      <c r="M329" s="65">
        <f t="shared" si="267"/>
        <v>-9.4758111161667991E-2</v>
      </c>
      <c r="N329" s="65">
        <f t="shared" si="267"/>
        <v>3.7749190662804466E-2</v>
      </c>
      <c r="O329" s="550">
        <v>0.01</v>
      </c>
      <c r="P329" s="550">
        <v>0.01</v>
      </c>
      <c r="Q329" s="550">
        <v>0.01</v>
      </c>
      <c r="R329" s="550">
        <v>0.01</v>
      </c>
      <c r="S329" s="550">
        <v>0.01</v>
      </c>
      <c r="T329" s="550">
        <v>0.01</v>
      </c>
      <c r="U329" s="550">
        <v>0.01</v>
      </c>
      <c r="V329"/>
    </row>
    <row r="330" spans="2:22" ht="13.5" outlineLevel="1" thickBot="1" x14ac:dyDescent="0.35">
      <c r="B330" s="72"/>
      <c r="C330" s="73"/>
      <c r="D330" s="73"/>
      <c r="E330" s="51"/>
      <c r="F330" s="74"/>
      <c r="G330" s="74"/>
      <c r="H330" s="74"/>
      <c r="I330" s="74"/>
      <c r="J330" s="74"/>
      <c r="K330" s="74"/>
      <c r="L330" s="74"/>
      <c r="M330" s="74"/>
      <c r="N330" s="74"/>
      <c r="O330" s="74"/>
      <c r="P330" s="74"/>
      <c r="Q330" s="74"/>
      <c r="R330" s="74"/>
      <c r="S330" s="74"/>
      <c r="T330" s="74"/>
      <c r="U330" s="74"/>
      <c r="V330"/>
    </row>
    <row r="331" spans="2:22" outlineLevel="1" x14ac:dyDescent="0.25">
      <c r="B331" s="86" t="s">
        <v>255</v>
      </c>
      <c r="C331" s="86"/>
      <c r="D331" s="86"/>
      <c r="E331" s="87">
        <f>E332/Macro!E$8</f>
        <v>1909.4170312781469</v>
      </c>
      <c r="F331" s="87">
        <f>F332/Macro!F$8</f>
        <v>2576.473880837359</v>
      </c>
      <c r="G331" s="87">
        <f>G332/Macro!G$8</f>
        <v>2788.5149264920506</v>
      </c>
      <c r="H331" s="87">
        <f>H332/Macro!H$8</f>
        <v>4361.7301775483065</v>
      </c>
      <c r="I331" s="87">
        <f>I332/Macro!I$8</f>
        <v>2350.3818401091389</v>
      </c>
      <c r="J331" s="87">
        <f>J332/Macro!J$8</f>
        <v>2005.8000722229317</v>
      </c>
      <c r="K331" s="87">
        <f>K332/Macro!K$8</f>
        <v>2926.1087123168991</v>
      </c>
      <c r="L331" s="87">
        <f>L332/Macro!L$8</f>
        <v>3506.6588835564635</v>
      </c>
      <c r="M331" s="87">
        <f>M332/Macro!M$8</f>
        <v>1924.1021648477993</v>
      </c>
      <c r="N331" s="87">
        <f>N332/Macro!N$8</f>
        <v>2077.4784448509131</v>
      </c>
      <c r="O331" s="87">
        <f>O332</f>
        <v>2171.4942784977616</v>
      </c>
      <c r="P331" s="87">
        <f t="shared" ref="P331" si="268">P332</f>
        <v>2263.1656070665617</v>
      </c>
      <c r="Q331" s="87">
        <f t="shared" ref="Q331" si="269">Q332</f>
        <v>2351.8291521566148</v>
      </c>
      <c r="R331" s="87">
        <f t="shared" ref="R331" si="270">R332</f>
        <v>2436.819040809924</v>
      </c>
      <c r="S331" s="87">
        <f t="shared" ref="S331" si="271">S332</f>
        <v>2517.4747824467436</v>
      </c>
      <c r="T331" s="87">
        <f t="shared" ref="T331:U331" si="272">T332</f>
        <v>2593.1495250103808</v>
      </c>
      <c r="U331" s="87">
        <f t="shared" si="272"/>
        <v>2663.2184524142285</v>
      </c>
      <c r="V331"/>
    </row>
    <row r="332" spans="2:22" outlineLevel="1" x14ac:dyDescent="0.25">
      <c r="B332" s="162" t="s">
        <v>256</v>
      </c>
      <c r="C332" s="162"/>
      <c r="D332" s="162"/>
      <c r="E332" s="163">
        <f t="shared" ref="E332" si="273">E333*0.000001*E$310</f>
        <v>2505.7907322683536</v>
      </c>
      <c r="F332" s="163">
        <f t="shared" ref="F332" si="274">F333*0.000001*F$310</f>
        <v>3344.4029297312572</v>
      </c>
      <c r="G332" s="163">
        <f t="shared" ref="G332" si="275">G333*0.000001*G$310</f>
        <v>3566.1865782405921</v>
      </c>
      <c r="H332" s="163">
        <f t="shared" ref="H332" si="276">H333*0.000001*H$310</f>
        <v>5485.1724115145707</v>
      </c>
      <c r="I332" s="163">
        <f t="shared" ref="I332" si="277">I333*0.000001*I$310</f>
        <v>2910.392040284652</v>
      </c>
      <c r="J332" s="163">
        <f t="shared" ref="J332" si="278">J333*0.000001*J$310</f>
        <v>2479.8157041864288</v>
      </c>
      <c r="K332" s="163">
        <f t="shared" ref="K332" si="279">K333*0.000001*K$310</f>
        <v>3434.0306773549846</v>
      </c>
      <c r="L332" s="163">
        <f t="shared" ref="L332" si="280">L333*0.000001*L$310</f>
        <v>3715.4929826777011</v>
      </c>
      <c r="M332" s="163">
        <f t="shared" ref="M332" si="281">M333*0.000001*M$310</f>
        <v>1975.1870773245084</v>
      </c>
      <c r="N332" s="163">
        <f t="shared" ref="N332" si="282">N333*0.000001*N$310</f>
        <v>2077.4784448509131</v>
      </c>
      <c r="O332" s="163">
        <f t="shared" ref="O332" si="283">O333*0.000001*O$310</f>
        <v>2171.4942784977616</v>
      </c>
      <c r="P332" s="163">
        <f t="shared" ref="P332" si="284">P333*0.000001*P$310</f>
        <v>2263.1656070665617</v>
      </c>
      <c r="Q332" s="163">
        <f t="shared" ref="Q332" si="285">Q333*0.000001*Q$310</f>
        <v>2351.8291521566148</v>
      </c>
      <c r="R332" s="163">
        <f t="shared" ref="R332" si="286">R333*0.000001*R$310</f>
        <v>2436.819040809924</v>
      </c>
      <c r="S332" s="163">
        <f t="shared" ref="S332" si="287">S333*0.000001*S$310</f>
        <v>2517.4747824467436</v>
      </c>
      <c r="T332" s="163">
        <f t="shared" ref="T332:U332" si="288">T333*0.000001*T$310</f>
        <v>2593.1495250103808</v>
      </c>
      <c r="U332" s="163">
        <f t="shared" si="288"/>
        <v>2663.2184524142285</v>
      </c>
      <c r="V332"/>
    </row>
    <row r="333" spans="2:22" outlineLevel="1" x14ac:dyDescent="0.25">
      <c r="B333" s="33" t="s">
        <v>257</v>
      </c>
      <c r="E333" s="75">
        <v>124418</v>
      </c>
      <c r="F333" s="75">
        <v>167363</v>
      </c>
      <c r="G333" s="75">
        <v>195869</v>
      </c>
      <c r="H333" s="75">
        <v>329744</v>
      </c>
      <c r="I333" s="75">
        <v>179571</v>
      </c>
      <c r="J333" s="75">
        <v>156373</v>
      </c>
      <c r="K333" s="75">
        <v>194138</v>
      </c>
      <c r="L333" s="75">
        <v>165263</v>
      </c>
      <c r="M333" s="75">
        <v>88488</v>
      </c>
      <c r="N333" s="75">
        <v>92380</v>
      </c>
      <c r="O333" s="70">
        <f>N333*(1+O334)</f>
        <v>95321.457788363332</v>
      </c>
      <c r="P333" s="70">
        <f t="shared" ref="P333:T333" si="289">O333*(1+P334)</f>
        <v>98070.609721663408</v>
      </c>
      <c r="Q333" s="70">
        <f t="shared" si="289"/>
        <v>100604.83770627917</v>
      </c>
      <c r="R333" s="70">
        <f t="shared" si="289"/>
        <v>102902.73778478545</v>
      </c>
      <c r="S333" s="70">
        <f t="shared" si="289"/>
        <v>104944.41564257139</v>
      </c>
      <c r="T333" s="70">
        <f t="shared" si="289"/>
        <v>106711.76887899886</v>
      </c>
      <c r="U333" s="70">
        <f t="shared" ref="U333" si="290">T333*(1+U334)</f>
        <v>108188.7505407915</v>
      </c>
      <c r="V333"/>
    </row>
    <row r="334" spans="2:22" ht="13" outlineLevel="1" x14ac:dyDescent="0.3">
      <c r="B334" s="64" t="s">
        <v>242</v>
      </c>
      <c r="E334" s="75"/>
      <c r="F334" s="65">
        <f t="shared" ref="F334:N334" si="291">F333/E333-1</f>
        <v>0.34516709800832679</v>
      </c>
      <c r="G334" s="65">
        <f t="shared" si="291"/>
        <v>0.17032438472063727</v>
      </c>
      <c r="H334" s="65">
        <f t="shared" si="291"/>
        <v>0.68349253838024393</v>
      </c>
      <c r="I334" s="65">
        <f t="shared" si="291"/>
        <v>-0.45542299480809356</v>
      </c>
      <c r="J334" s="65">
        <f t="shared" si="291"/>
        <v>-0.1291856702919737</v>
      </c>
      <c r="K334" s="65">
        <f t="shared" si="291"/>
        <v>0.24150588656609506</v>
      </c>
      <c r="L334" s="65">
        <f t="shared" si="291"/>
        <v>-0.14873440542294658</v>
      </c>
      <c r="M334" s="65">
        <f t="shared" si="291"/>
        <v>-0.46456254576039402</v>
      </c>
      <c r="N334" s="65">
        <f t="shared" si="291"/>
        <v>4.3983364976041939E-2</v>
      </c>
      <c r="O334" s="550">
        <f>AVERAGE(F334:N334)</f>
        <v>3.1840850707548572E-2</v>
      </c>
      <c r="P334" s="550">
        <f>O334-0.003</f>
        <v>2.8840850707548573E-2</v>
      </c>
      <c r="Q334" s="550">
        <f t="shared" ref="Q334:T334" si="292">P334-0.003</f>
        <v>2.5840850707548574E-2</v>
      </c>
      <c r="R334" s="550">
        <f t="shared" si="292"/>
        <v>2.2840850707548575E-2</v>
      </c>
      <c r="S334" s="550">
        <f t="shared" si="292"/>
        <v>1.9840850707548575E-2</v>
      </c>
      <c r="T334" s="550">
        <f t="shared" si="292"/>
        <v>1.6840850707548576E-2</v>
      </c>
      <c r="U334" s="550">
        <f t="shared" ref="U334" si="293">T334-0.003</f>
        <v>1.3840850707548577E-2</v>
      </c>
      <c r="V334"/>
    </row>
    <row r="335" spans="2:22" ht="13.5" outlineLevel="1" thickBot="1" x14ac:dyDescent="0.35">
      <c r="B335" s="72"/>
      <c r="C335" s="73"/>
      <c r="D335" s="73"/>
      <c r="E335" s="51"/>
      <c r="F335" s="74"/>
      <c r="G335" s="74"/>
      <c r="H335" s="74"/>
      <c r="I335" s="74"/>
      <c r="J335" s="74"/>
      <c r="K335" s="74"/>
      <c r="L335" s="74"/>
      <c r="M335" s="74"/>
      <c r="N335" s="74"/>
      <c r="O335" s="74"/>
      <c r="P335" s="74"/>
      <c r="Q335" s="74"/>
      <c r="R335" s="74"/>
      <c r="S335" s="74"/>
      <c r="T335" s="74"/>
      <c r="U335" s="74"/>
      <c r="V335"/>
    </row>
    <row r="336" spans="2:22" outlineLevel="1" x14ac:dyDescent="0.25">
      <c r="B336" s="86" t="s">
        <v>258</v>
      </c>
      <c r="C336" s="86"/>
      <c r="D336" s="86"/>
      <c r="E336" s="87">
        <f>E337/Macro!E$8</f>
        <v>5433.8689506238325</v>
      </c>
      <c r="F336" s="87">
        <f>F337/Macro!F$8</f>
        <v>5455.3578099838969</v>
      </c>
      <c r="G336" s="87">
        <f>G337/Macro!G$8</f>
        <v>5544.0151027452421</v>
      </c>
      <c r="H336" s="87">
        <f>H337/Macro!H$8</f>
        <v>5783.7528406055662</v>
      </c>
      <c r="I336" s="87">
        <f>I337/Macro!I$8</f>
        <v>5556.7104669151122</v>
      </c>
      <c r="J336" s="87">
        <f>J337/Macro!J$8</f>
        <v>3340.8879372459965</v>
      </c>
      <c r="K336" s="87">
        <f>K337/Macro!K$8</f>
        <v>3965.3899145564765</v>
      </c>
      <c r="L336" s="87">
        <f>L337/Macro!L$8</f>
        <v>6001.951708008135</v>
      </c>
      <c r="M336" s="87">
        <f>M337/Macro!M$8</f>
        <v>5806.2492153566991</v>
      </c>
      <c r="N336" s="87">
        <f>N337/Macro!N$8</f>
        <v>5506.3973220823818</v>
      </c>
      <c r="O336" s="87">
        <f>O337</f>
        <v>5522.2006823967577</v>
      </c>
      <c r="P336" s="87">
        <f t="shared" ref="P336" si="294">P337</f>
        <v>5538.049398355236</v>
      </c>
      <c r="Q336" s="87">
        <f t="shared" ref="Q336" si="295">Q337</f>
        <v>5553.9436001285148</v>
      </c>
      <c r="R336" s="87">
        <f t="shared" ref="R336" si="296">R337</f>
        <v>5569.8834182608834</v>
      </c>
      <c r="S336" s="87">
        <f t="shared" ref="S336" si="297">S337</f>
        <v>5585.868983671292</v>
      </c>
      <c r="T336" s="87">
        <f t="shared" ref="T336:U336" si="298">T337</f>
        <v>5601.9004276544274</v>
      </c>
      <c r="U336" s="87">
        <f t="shared" si="298"/>
        <v>5617.9778818817949</v>
      </c>
      <c r="V336"/>
    </row>
    <row r="337" spans="2:22" outlineLevel="1" x14ac:dyDescent="0.25">
      <c r="B337" s="162" t="s">
        <v>259</v>
      </c>
      <c r="C337" s="162"/>
      <c r="D337" s="162"/>
      <c r="E337" s="163">
        <f t="shared" ref="E337" si="299">E338*0.000001*E$310</f>
        <v>7131.0448339928344</v>
      </c>
      <c r="F337" s="163">
        <f t="shared" ref="F337" si="300">F338*0.000001*F$310</f>
        <v>7081.3505148023487</v>
      </c>
      <c r="G337" s="163">
        <f t="shared" ref="G337" si="301">G338*0.000001*G$310</f>
        <v>7090.1511270893971</v>
      </c>
      <c r="H337" s="163">
        <f t="shared" ref="H337" si="302">H338*0.000001*H$310</f>
        <v>7273.4626455369098</v>
      </c>
      <c r="I337" s="163">
        <f t="shared" ref="I337" si="303">I338*0.000001*I$310</f>
        <v>6880.6717432454316</v>
      </c>
      <c r="J337" s="163">
        <f t="shared" ref="J337" si="304">J338*0.000001*J$310</f>
        <v>4130.4148341803557</v>
      </c>
      <c r="K337" s="163">
        <f t="shared" ref="K337" si="305">K338*0.000001*K$310</f>
        <v>4653.7131573210818</v>
      </c>
      <c r="L337" s="163">
        <f t="shared" ref="L337" si="306">L338*0.000001*L$310</f>
        <v>6359.3894342120129</v>
      </c>
      <c r="M337" s="163">
        <f t="shared" ref="M337" si="307">M338*0.000001*M$310</f>
        <v>5960.4051320244198</v>
      </c>
      <c r="N337" s="163">
        <f t="shared" ref="N337" si="308">N338*0.000001*N$310</f>
        <v>5506.3973220823818</v>
      </c>
      <c r="O337" s="163">
        <f t="shared" ref="O337" si="309">O338*0.000001*O$310</f>
        <v>5522.2006823967577</v>
      </c>
      <c r="P337" s="163">
        <f t="shared" ref="P337" si="310">P338*0.000001*P$310</f>
        <v>5538.049398355236</v>
      </c>
      <c r="Q337" s="163">
        <f t="shared" ref="Q337" si="311">Q338*0.000001*Q$310</f>
        <v>5553.9436001285148</v>
      </c>
      <c r="R337" s="163">
        <f t="shared" ref="R337" si="312">R338*0.000001*R$310</f>
        <v>5569.8834182608834</v>
      </c>
      <c r="S337" s="163">
        <f t="shared" ref="S337" si="313">S338*0.000001*S$310</f>
        <v>5585.868983671292</v>
      </c>
      <c r="T337" s="163">
        <f t="shared" ref="T337:U337" si="314">T338*0.000001*T$310</f>
        <v>5601.9004276544274</v>
      </c>
      <c r="U337" s="163">
        <f t="shared" si="314"/>
        <v>5617.9778818817949</v>
      </c>
      <c r="V337"/>
    </row>
    <row r="338" spans="2:22" outlineLevel="1" x14ac:dyDescent="0.25">
      <c r="B338" s="33" t="s">
        <v>260</v>
      </c>
      <c r="E338" s="75">
        <v>354072</v>
      </c>
      <c r="F338" s="75">
        <v>354370</v>
      </c>
      <c r="G338" s="75">
        <v>389419</v>
      </c>
      <c r="H338" s="75">
        <v>437248</v>
      </c>
      <c r="I338" s="75">
        <v>424537</v>
      </c>
      <c r="J338" s="75">
        <v>260457</v>
      </c>
      <c r="K338" s="75">
        <v>263091</v>
      </c>
      <c r="L338" s="75">
        <v>282862</v>
      </c>
      <c r="M338" s="75">
        <v>267025</v>
      </c>
      <c r="N338" s="75">
        <v>244855</v>
      </c>
      <c r="O338" s="70">
        <f>N338*(1+O339)</f>
        <v>242406.45</v>
      </c>
      <c r="P338" s="70">
        <f t="shared" ref="P338:T338" si="315">O338*(1+P339)</f>
        <v>239982.3855</v>
      </c>
      <c r="Q338" s="70">
        <f t="shared" si="315"/>
        <v>237582.56164500001</v>
      </c>
      <c r="R338" s="70">
        <f t="shared" si="315"/>
        <v>235206.73602855002</v>
      </c>
      <c r="S338" s="70">
        <f t="shared" si="315"/>
        <v>232854.66866826452</v>
      </c>
      <c r="T338" s="70">
        <f t="shared" si="315"/>
        <v>230526.12198158188</v>
      </c>
      <c r="U338" s="70">
        <f t="shared" ref="U338" si="316">T338*(1+U339)</f>
        <v>228220.86076176606</v>
      </c>
      <c r="V338"/>
    </row>
    <row r="339" spans="2:22" ht="13" outlineLevel="1" x14ac:dyDescent="0.3">
      <c r="B339" s="64" t="s">
        <v>242</v>
      </c>
      <c r="F339" s="65">
        <f t="shared" ref="F339:N339" si="317">F338/E338-1</f>
        <v>8.4163672925274824E-4</v>
      </c>
      <c r="G339" s="65">
        <f t="shared" si="317"/>
        <v>9.8905099190111923E-2</v>
      </c>
      <c r="H339" s="65">
        <f t="shared" si="317"/>
        <v>0.12282143398242007</v>
      </c>
      <c r="I339" s="65">
        <f t="shared" si="317"/>
        <v>-2.9070458870023463E-2</v>
      </c>
      <c r="J339" s="65">
        <f t="shared" si="317"/>
        <v>-0.38649163677135323</v>
      </c>
      <c r="K339" s="65">
        <f t="shared" si="317"/>
        <v>1.0112993699535888E-2</v>
      </c>
      <c r="L339" s="65">
        <f t="shared" si="317"/>
        <v>7.514890285110476E-2</v>
      </c>
      <c r="M339" s="65">
        <f t="shared" si="317"/>
        <v>-5.5988432521865805E-2</v>
      </c>
      <c r="N339" s="65">
        <f t="shared" si="317"/>
        <v>-8.302593390132007E-2</v>
      </c>
      <c r="O339" s="550">
        <v>-0.01</v>
      </c>
      <c r="P339" s="550">
        <v>-0.01</v>
      </c>
      <c r="Q339" s="550">
        <v>-0.01</v>
      </c>
      <c r="R339" s="550">
        <v>-0.01</v>
      </c>
      <c r="S339" s="550">
        <v>-0.01</v>
      </c>
      <c r="T339" s="550">
        <v>-0.01</v>
      </c>
      <c r="U339" s="550">
        <v>-0.01</v>
      </c>
      <c r="V339"/>
    </row>
    <row r="340" spans="2:22" outlineLevel="1" x14ac:dyDescent="0.25">
      <c r="V340"/>
    </row>
    <row r="341" spans="2:22" outlineLevel="1" x14ac:dyDescent="0.25">
      <c r="E341" s="156">
        <v>2015</v>
      </c>
      <c r="F341" s="156">
        <f>+E341+1</f>
        <v>2016</v>
      </c>
      <c r="G341" s="156">
        <f t="shared" ref="G341" si="318">+F341+1</f>
        <v>2017</v>
      </c>
      <c r="H341" s="156">
        <f t="shared" ref="H341" si="319">+G341+1</f>
        <v>2018</v>
      </c>
      <c r="I341" s="156">
        <f t="shared" ref="I341" si="320">+H341+1</f>
        <v>2019</v>
      </c>
      <c r="J341" s="156">
        <f t="shared" ref="J341" si="321">+I341+1</f>
        <v>2020</v>
      </c>
      <c r="K341" s="156">
        <f t="shared" ref="K341" si="322">+J341+1</f>
        <v>2021</v>
      </c>
      <c r="L341" s="156">
        <f t="shared" ref="L341" si="323">+K341+1</f>
        <v>2022</v>
      </c>
      <c r="M341" s="156">
        <f t="shared" ref="M341" si="324">+L341+1</f>
        <v>2023</v>
      </c>
      <c r="N341" s="156">
        <f t="shared" ref="N341" si="325">+M341+1</f>
        <v>2024</v>
      </c>
      <c r="O341" s="157">
        <f t="shared" ref="O341" si="326">+N341+1</f>
        <v>2025</v>
      </c>
      <c r="P341" s="157">
        <f t="shared" ref="P341" si="327">+O341+1</f>
        <v>2026</v>
      </c>
      <c r="Q341" s="157">
        <f t="shared" ref="Q341" si="328">+P341+1</f>
        <v>2027</v>
      </c>
      <c r="R341" s="157">
        <f t="shared" ref="R341" si="329">+Q341+1</f>
        <v>2028</v>
      </c>
      <c r="S341" s="157">
        <f t="shared" ref="S341" si="330">+R341+1</f>
        <v>2029</v>
      </c>
      <c r="T341" s="157">
        <f t="shared" ref="T341" si="331">+S341+1</f>
        <v>2030</v>
      </c>
      <c r="U341" s="157">
        <f t="shared" ref="U341" si="332">+T341+1</f>
        <v>2031</v>
      </c>
      <c r="V341"/>
    </row>
    <row r="342" spans="2:22" ht="13.5" outlineLevel="1" thickBot="1" x14ac:dyDescent="0.35">
      <c r="B342" s="51"/>
      <c r="C342" s="51"/>
      <c r="D342" s="51"/>
      <c r="E342" s="158">
        <v>2015</v>
      </c>
      <c r="F342" s="158">
        <f>E342+1</f>
        <v>2016</v>
      </c>
      <c r="G342" s="158">
        <f t="shared" ref="G342" si="333">F342+1</f>
        <v>2017</v>
      </c>
      <c r="H342" s="158">
        <f t="shared" ref="H342" si="334">G342+1</f>
        <v>2018</v>
      </c>
      <c r="I342" s="158">
        <f t="shared" ref="I342" si="335">H342+1</f>
        <v>2019</v>
      </c>
      <c r="J342" s="158">
        <f t="shared" ref="J342" si="336">I342+1</f>
        <v>2020</v>
      </c>
      <c r="K342" s="158">
        <f t="shared" ref="K342" si="337">J342+1</f>
        <v>2021</v>
      </c>
      <c r="L342" s="158">
        <f t="shared" ref="L342" si="338">K342+1</f>
        <v>2022</v>
      </c>
      <c r="M342" s="158">
        <f t="shared" ref="M342" si="339">L342+1</f>
        <v>2023</v>
      </c>
      <c r="N342" s="158">
        <f t="shared" ref="N342" si="340">M342+1</f>
        <v>2024</v>
      </c>
      <c r="O342" s="159">
        <f t="shared" ref="O342" si="341">N342+1</f>
        <v>2025</v>
      </c>
      <c r="P342" s="159">
        <f t="shared" ref="P342" si="342">O342+1</f>
        <v>2026</v>
      </c>
      <c r="Q342" s="159">
        <f t="shared" ref="Q342" si="343">P342+1</f>
        <v>2027</v>
      </c>
      <c r="R342" s="159">
        <f t="shared" ref="R342" si="344">Q342+1</f>
        <v>2028</v>
      </c>
      <c r="S342" s="159">
        <f t="shared" ref="S342" si="345">R342+1</f>
        <v>2029</v>
      </c>
      <c r="T342" s="159">
        <f t="shared" ref="T342" si="346">S342+1</f>
        <v>2030</v>
      </c>
      <c r="U342" s="159">
        <f t="shared" ref="U342" si="347">T342+1</f>
        <v>2031</v>
      </c>
    </row>
    <row r="343" spans="2:22" ht="13" outlineLevel="1" x14ac:dyDescent="0.3">
      <c r="B343" s="150" t="s">
        <v>261</v>
      </c>
      <c r="C343" s="150"/>
      <c r="D343" s="150"/>
      <c r="E343" s="152">
        <v>1288</v>
      </c>
      <c r="F343" s="152">
        <v>2326</v>
      </c>
      <c r="G343" s="152">
        <v>2640</v>
      </c>
      <c r="H343" s="152">
        <v>1792</v>
      </c>
      <c r="I343" s="152">
        <v>892</v>
      </c>
      <c r="J343" s="152">
        <v>-2932</v>
      </c>
      <c r="K343" s="152">
        <v>273</v>
      </c>
      <c r="L343" s="152">
        <v>1044</v>
      </c>
      <c r="M343" s="152">
        <v>1435</v>
      </c>
      <c r="N343" s="152">
        <v>1361</v>
      </c>
      <c r="O343" s="151">
        <f t="shared" ref="O343:T343" si="348">O346+O304+O348</f>
        <v>1263.2290213239903</v>
      </c>
      <c r="P343" s="151">
        <f t="shared" si="348"/>
        <v>1600.1868343499573</v>
      </c>
      <c r="Q343" s="151">
        <f t="shared" si="348"/>
        <v>1662.8647057950584</v>
      </c>
      <c r="R343" s="151">
        <f t="shared" si="348"/>
        <v>1693.4453346500122</v>
      </c>
      <c r="S343" s="151">
        <f t="shared" si="348"/>
        <v>1758.6895037167506</v>
      </c>
      <c r="T343" s="151">
        <f t="shared" si="348"/>
        <v>1673.7720328706382</v>
      </c>
      <c r="U343" s="151">
        <f t="shared" ref="U343" si="349">U346+U304+U348</f>
        <v>1724.0404046797521</v>
      </c>
    </row>
    <row r="344" spans="2:22" ht="13" outlineLevel="1" x14ac:dyDescent="0.3">
      <c r="B344" s="64" t="s">
        <v>262</v>
      </c>
      <c r="E344" s="65">
        <f t="shared" ref="E344:T344" si="350">E343/E304</f>
        <v>2.9878444836225294E-2</v>
      </c>
      <c r="F344" s="65">
        <f t="shared" si="350"/>
        <v>4.7474232064496379E-2</v>
      </c>
      <c r="G344" s="65">
        <f t="shared" si="350"/>
        <v>4.9296958153604839E-2</v>
      </c>
      <c r="H344" s="65">
        <f t="shared" si="350"/>
        <v>3.4877384196185288E-2</v>
      </c>
      <c r="I344" s="65">
        <f t="shared" si="350"/>
        <v>1.8155173817471303E-2</v>
      </c>
      <c r="J344" s="65">
        <f t="shared" si="350"/>
        <v>-7.743298560676086E-2</v>
      </c>
      <c r="K344" s="65">
        <f t="shared" si="350"/>
        <v>6.71735439580719E-3</v>
      </c>
      <c r="L344" s="65">
        <f t="shared" si="350"/>
        <v>2.4210941304700726E-2</v>
      </c>
      <c r="M344" s="65">
        <f t="shared" si="350"/>
        <v>2.9802699896157841E-2</v>
      </c>
      <c r="N344" s="65">
        <f t="shared" si="350"/>
        <v>2.6940359072824088E-2</v>
      </c>
      <c r="O344" s="65">
        <f t="shared" si="350"/>
        <v>2.4788350221268123E-2</v>
      </c>
      <c r="P344" s="65">
        <f t="shared" si="350"/>
        <v>2.9988350221268282E-2</v>
      </c>
      <c r="Q344" s="65">
        <f t="shared" si="350"/>
        <v>2.9988350221268136E-2</v>
      </c>
      <c r="R344" s="65">
        <f t="shared" si="350"/>
        <v>2.9988350221268015E-2</v>
      </c>
      <c r="S344" s="65">
        <f t="shared" si="350"/>
        <v>2.9988350221268389E-2</v>
      </c>
      <c r="T344" s="65">
        <f t="shared" si="350"/>
        <v>2.998835022126832E-2</v>
      </c>
      <c r="U344" s="65">
        <f t="shared" ref="U344" si="351">U343/U304</f>
        <v>2.9988350221268351E-2</v>
      </c>
    </row>
    <row r="345" spans="2:22" ht="13" outlineLevel="1" x14ac:dyDescent="0.3">
      <c r="B345" s="64"/>
      <c r="E345" s="65"/>
      <c r="F345" s="65"/>
      <c r="G345" s="65"/>
      <c r="H345" s="65"/>
      <c r="I345" s="65"/>
      <c r="J345" s="65"/>
      <c r="K345" s="65"/>
      <c r="L345" s="65"/>
      <c r="M345" s="65"/>
      <c r="N345" s="65"/>
      <c r="O345" s="65"/>
      <c r="P345" s="65"/>
      <c r="Q345" s="65"/>
      <c r="R345" s="65"/>
      <c r="S345" s="65"/>
      <c r="T345" s="65"/>
    </row>
    <row r="346" spans="2:22" ht="13" outlineLevel="1" x14ac:dyDescent="0.3">
      <c r="B346" s="160" t="s">
        <v>263</v>
      </c>
      <c r="C346" s="150"/>
      <c r="D346" s="150"/>
      <c r="E346" s="161">
        <f t="shared" ref="E346:N346" si="352">E9</f>
        <v>-33385</v>
      </c>
      <c r="F346" s="161">
        <f t="shared" si="352"/>
        <v>-37374</v>
      </c>
      <c r="G346" s="161">
        <f t="shared" si="352"/>
        <v>-43370</v>
      </c>
      <c r="H346" s="161">
        <f t="shared" si="352"/>
        <v>-42072</v>
      </c>
      <c r="I346" s="161">
        <f t="shared" si="352"/>
        <v>-40860</v>
      </c>
      <c r="J346" s="161">
        <f t="shared" si="352"/>
        <v>-31508</v>
      </c>
      <c r="K346" s="161">
        <f t="shared" si="352"/>
        <v>-33481</v>
      </c>
      <c r="L346" s="161">
        <f t="shared" si="352"/>
        <v>-31348</v>
      </c>
      <c r="M346" s="161">
        <f t="shared" si="352"/>
        <v>-38229</v>
      </c>
      <c r="N346" s="161">
        <f t="shared" si="352"/>
        <v>-41332</v>
      </c>
      <c r="O346" s="161">
        <f t="shared" ref="O346:U346" si="353">O351*0.000001*O313</f>
        <v>-40730.818529937555</v>
      </c>
      <c r="P346" s="161">
        <f t="shared" si="353"/>
        <v>-42301.955159107776</v>
      </c>
      <c r="Q346" s="161">
        <f t="shared" si="353"/>
        <v>-43958.884494122845</v>
      </c>
      <c r="R346" s="161">
        <f t="shared" si="353"/>
        <v>-44767.302838025411</v>
      </c>
      <c r="S346" s="161">
        <f t="shared" si="353"/>
        <v>-46492.073880386008</v>
      </c>
      <c r="T346" s="161">
        <f t="shared" si="353"/>
        <v>-44247.22661202553</v>
      </c>
      <c r="U346" s="161">
        <f t="shared" si="353"/>
        <v>-45576.102943553553</v>
      </c>
    </row>
    <row r="347" spans="2:22" ht="13" outlineLevel="1" x14ac:dyDescent="0.3">
      <c r="B347" s="64" t="s">
        <v>262</v>
      </c>
      <c r="E347" s="65">
        <f>-E346/E$304</f>
        <v>0.77445021805697323</v>
      </c>
      <c r="F347" s="65">
        <f t="shared" ref="F347:N347" si="354">-F346/F$304</f>
        <v>0.76281253189100928</v>
      </c>
      <c r="G347" s="65">
        <f t="shared" si="354"/>
        <v>0.8098519223946371</v>
      </c>
      <c r="H347" s="65">
        <f t="shared" si="354"/>
        <v>0.81884001557026076</v>
      </c>
      <c r="I347" s="65">
        <f t="shared" si="354"/>
        <v>0.83163722217699254</v>
      </c>
      <c r="J347" s="65">
        <f t="shared" si="354"/>
        <v>0.83211408952858845</v>
      </c>
      <c r="K347" s="65">
        <f t="shared" si="354"/>
        <v>0.82382323269604585</v>
      </c>
      <c r="L347" s="65">
        <f t="shared" si="354"/>
        <v>0.72697757473156932</v>
      </c>
      <c r="M347" s="65">
        <f t="shared" si="354"/>
        <v>0.79395638629283494</v>
      </c>
      <c r="N347" s="65">
        <f t="shared" si="354"/>
        <v>0.81814762762524995</v>
      </c>
      <c r="O347" s="550">
        <f>AVERAGE(E347:N347)</f>
        <v>0.79926108209641611</v>
      </c>
      <c r="P347" s="550">
        <f>O347-0.0065</f>
        <v>0.79276108209641616</v>
      </c>
      <c r="Q347" s="550">
        <f>P347</f>
        <v>0.79276108209641616</v>
      </c>
      <c r="R347" s="550">
        <f>Q347</f>
        <v>0.79276108209641616</v>
      </c>
      <c r="S347" s="550">
        <f>R347</f>
        <v>0.79276108209641616</v>
      </c>
      <c r="T347" s="550">
        <f>S347</f>
        <v>0.79276108209641616</v>
      </c>
      <c r="U347" s="550">
        <f>T347</f>
        <v>0.79276108209641616</v>
      </c>
    </row>
    <row r="348" spans="2:22" ht="13" outlineLevel="1" x14ac:dyDescent="0.3">
      <c r="B348" s="160" t="s">
        <v>264</v>
      </c>
      <c r="C348" s="150"/>
      <c r="D348" s="150"/>
      <c r="E348" s="161">
        <f t="shared" ref="E348:N348" si="355">-E304-E346+E343</f>
        <v>-8435</v>
      </c>
      <c r="F348" s="161">
        <f t="shared" si="355"/>
        <v>-9295</v>
      </c>
      <c r="G348" s="161">
        <f t="shared" si="355"/>
        <v>-7543</v>
      </c>
      <c r="H348" s="161">
        <f t="shared" si="355"/>
        <v>-7516</v>
      </c>
      <c r="I348" s="161">
        <f t="shared" si="355"/>
        <v>-7380</v>
      </c>
      <c r="J348" s="161">
        <f t="shared" si="355"/>
        <v>-9289</v>
      </c>
      <c r="K348" s="161">
        <f t="shared" si="355"/>
        <v>-6887</v>
      </c>
      <c r="L348" s="161">
        <f t="shared" si="355"/>
        <v>-10729</v>
      </c>
      <c r="M348" s="161">
        <f t="shared" si="355"/>
        <v>-8486</v>
      </c>
      <c r="N348" s="161">
        <f t="shared" si="355"/>
        <v>-7826</v>
      </c>
      <c r="O348" s="161">
        <f t="shared" ref="O348:U348" si="356">O352*0.000001*O313</f>
        <v>-8966.5452291387483</v>
      </c>
      <c r="P348" s="161">
        <f t="shared" si="356"/>
        <v>-9458.1403342801805</v>
      </c>
      <c r="Q348" s="161">
        <f t="shared" si="356"/>
        <v>-9828.6071393158782</v>
      </c>
      <c r="R348" s="161">
        <f t="shared" si="356"/>
        <v>-10009.358457231985</v>
      </c>
      <c r="S348" s="161">
        <f t="shared" si="356"/>
        <v>-10394.993742924851</v>
      </c>
      <c r="T348" s="161">
        <f t="shared" si="356"/>
        <v>-9893.0765049787551</v>
      </c>
      <c r="U348" s="161">
        <f t="shared" si="356"/>
        <v>-10190.195131841781</v>
      </c>
    </row>
    <row r="349" spans="2:22" ht="13" outlineLevel="1" x14ac:dyDescent="0.3">
      <c r="B349" s="64" t="s">
        <v>262</v>
      </c>
      <c r="C349" s="266"/>
      <c r="D349" s="266"/>
      <c r="E349" s="65">
        <f t="shared" ref="E349:N349" si="357">-E348/E$304</f>
        <v>0.19567133710680151</v>
      </c>
      <c r="F349" s="65">
        <f t="shared" si="357"/>
        <v>0.18971323604449433</v>
      </c>
      <c r="G349" s="65">
        <f t="shared" si="357"/>
        <v>0.14085111945175807</v>
      </c>
      <c r="H349" s="65">
        <f t="shared" si="357"/>
        <v>0.14628260023355391</v>
      </c>
      <c r="I349" s="65">
        <f t="shared" si="357"/>
        <v>0.15020760400553609</v>
      </c>
      <c r="J349" s="65">
        <f t="shared" si="357"/>
        <v>0.24531889607817245</v>
      </c>
      <c r="K349" s="65">
        <f t="shared" si="357"/>
        <v>0.16945941290814695</v>
      </c>
      <c r="L349" s="65">
        <f t="shared" si="357"/>
        <v>0.24881148396372996</v>
      </c>
      <c r="M349" s="65">
        <f t="shared" si="357"/>
        <v>0.17624091381100726</v>
      </c>
      <c r="N349" s="65">
        <f t="shared" si="357"/>
        <v>0.154912013301926</v>
      </c>
      <c r="O349" s="550">
        <f>0.5*(AVERAGE(E349:I349)+AVERAGE(K349:N349))</f>
        <v>0.17595056768231565</v>
      </c>
      <c r="P349" s="550">
        <f>O349+0.0013</f>
        <v>0.17725056768231565</v>
      </c>
      <c r="Q349" s="550">
        <f>P349</f>
        <v>0.17725056768231565</v>
      </c>
      <c r="R349" s="550">
        <f>Q349</f>
        <v>0.17725056768231565</v>
      </c>
      <c r="S349" s="550">
        <f>R349</f>
        <v>0.17725056768231565</v>
      </c>
      <c r="T349" s="550">
        <f>S349</f>
        <v>0.17725056768231565</v>
      </c>
      <c r="U349" s="550">
        <f>T349</f>
        <v>0.17725056768231565</v>
      </c>
    </row>
    <row r="350" spans="2:22" outlineLevel="1" x14ac:dyDescent="0.25"/>
    <row r="351" spans="2:22" outlineLevel="1" x14ac:dyDescent="0.25">
      <c r="B351" s="33" t="s">
        <v>265</v>
      </c>
      <c r="C351"/>
      <c r="D351"/>
      <c r="E351" s="163">
        <f t="shared" ref="E351:T351" si="358">-E347*E310</f>
        <v>-15597.503407950369</v>
      </c>
      <c r="F351" s="163">
        <f t="shared" si="358"/>
        <v>-15243.228589903441</v>
      </c>
      <c r="G351" s="163">
        <f t="shared" si="358"/>
        <v>-14744.97269096231</v>
      </c>
      <c r="H351" s="163">
        <f t="shared" si="358"/>
        <v>-13621.108080359782</v>
      </c>
      <c r="I351" s="163">
        <f t="shared" si="358"/>
        <v>-13478.737389825517</v>
      </c>
      <c r="J351" s="163">
        <f t="shared" si="358"/>
        <v>-13195.945507778108</v>
      </c>
      <c r="K351" s="163">
        <f t="shared" si="358"/>
        <v>-14572.284940588526</v>
      </c>
      <c r="L351" s="163">
        <f t="shared" si="358"/>
        <v>-16344.130733916243</v>
      </c>
      <c r="M351" s="163">
        <f t="shared" si="358"/>
        <v>-17722.317084405491</v>
      </c>
      <c r="N351" s="163">
        <f t="shared" si="358"/>
        <v>-18398.831577152723</v>
      </c>
      <c r="O351" s="163">
        <f t="shared" si="358"/>
        <v>-18207.76671976344</v>
      </c>
      <c r="P351" s="163">
        <f t="shared" si="358"/>
        <v>-18294.467840196976</v>
      </c>
      <c r="Q351" s="163">
        <f t="shared" si="358"/>
        <v>-18532.295922119534</v>
      </c>
      <c r="R351" s="163">
        <f t="shared" si="358"/>
        <v>-18773.21576910709</v>
      </c>
      <c r="S351" s="163">
        <f t="shared" si="358"/>
        <v>-19017.267574105477</v>
      </c>
      <c r="T351" s="163">
        <f t="shared" si="358"/>
        <v>-19264.492052568847</v>
      </c>
      <c r="U351" s="163">
        <f t="shared" ref="U351" si="359">-U347*U310</f>
        <v>-19514.930449252239</v>
      </c>
    </row>
    <row r="352" spans="2:22" outlineLevel="1" x14ac:dyDescent="0.25">
      <c r="B352" s="33" t="s">
        <v>266</v>
      </c>
      <c r="E352" s="163">
        <f t="shared" ref="E352:T352" si="360">-E349*E310</f>
        <v>-3940.8399354818434</v>
      </c>
      <c r="F352" s="163">
        <f t="shared" si="360"/>
        <v>-3791.0261075387298</v>
      </c>
      <c r="G352" s="163">
        <f t="shared" si="360"/>
        <v>-2564.4761127029906</v>
      </c>
      <c r="H352" s="163">
        <f t="shared" si="360"/>
        <v>-2433.3582509028361</v>
      </c>
      <c r="I352" s="163">
        <f t="shared" si="360"/>
        <v>-2434.4856078539483</v>
      </c>
      <c r="J352" s="163">
        <f t="shared" si="360"/>
        <v>-3890.3496833106142</v>
      </c>
      <c r="K352" s="163">
        <f t="shared" si="360"/>
        <v>-2997.5008627530001</v>
      </c>
      <c r="L352" s="163">
        <f t="shared" si="360"/>
        <v>-5593.855386123113</v>
      </c>
      <c r="M352" s="163">
        <f t="shared" si="360"/>
        <v>-3933.9659101275206</v>
      </c>
      <c r="N352" s="163">
        <f t="shared" si="360"/>
        <v>-3483.7234085647247</v>
      </c>
      <c r="O352" s="163">
        <f t="shared" si="360"/>
        <v>-4008.2858559389833</v>
      </c>
      <c r="P352" s="163">
        <f t="shared" si="360"/>
        <v>-4090.3935414508669</v>
      </c>
      <c r="Q352" s="163">
        <f t="shared" si="360"/>
        <v>-4143.5686574897272</v>
      </c>
      <c r="R352" s="163">
        <f t="shared" si="360"/>
        <v>-4197.4350500370938</v>
      </c>
      <c r="S352" s="163">
        <f t="shared" si="360"/>
        <v>-4252.0017056875758</v>
      </c>
      <c r="T352" s="163">
        <f t="shared" si="360"/>
        <v>-4307.2777278615131</v>
      </c>
      <c r="U352" s="163">
        <f t="shared" ref="U352" si="361">-U349*U310</f>
        <v>-4363.2723383237126</v>
      </c>
    </row>
    <row r="353" spans="2:22" outlineLevel="1" x14ac:dyDescent="0.25"/>
    <row r="354" spans="2:22" outlineLevel="1" x14ac:dyDescent="0.25"/>
    <row r="355" spans="2:22" ht="13" outlineLevel="1" x14ac:dyDescent="0.3">
      <c r="B355" s="49" t="s">
        <v>267</v>
      </c>
      <c r="C355" s="49"/>
      <c r="D355" s="49"/>
      <c r="E355" s="49"/>
      <c r="F355" s="49"/>
      <c r="G355" s="49"/>
      <c r="H355" s="49"/>
      <c r="I355" s="49"/>
      <c r="J355" s="49"/>
      <c r="K355" s="49"/>
      <c r="L355" s="49"/>
      <c r="M355" s="49"/>
      <c r="N355" s="49"/>
      <c r="O355" s="49"/>
      <c r="P355" s="49"/>
      <c r="Q355" s="49"/>
      <c r="R355" s="49"/>
      <c r="S355" s="49"/>
      <c r="T355" s="49"/>
      <c r="U355" s="49"/>
    </row>
    <row r="356" spans="2:22" ht="13" outlineLevel="1" x14ac:dyDescent="0.3">
      <c r="B356" s="1" t="s">
        <v>58</v>
      </c>
    </row>
    <row r="357" spans="2:22" outlineLevel="1" x14ac:dyDescent="0.25">
      <c r="E357" s="156">
        <v>2015</v>
      </c>
      <c r="F357" s="156">
        <f>+E357+1</f>
        <v>2016</v>
      </c>
      <c r="G357" s="156">
        <f t="shared" ref="G357:T357" si="362">+F357+1</f>
        <v>2017</v>
      </c>
      <c r="H357" s="156">
        <f t="shared" si="362"/>
        <v>2018</v>
      </c>
      <c r="I357" s="156">
        <f t="shared" si="362"/>
        <v>2019</v>
      </c>
      <c r="J357" s="156">
        <f t="shared" si="362"/>
        <v>2020</v>
      </c>
      <c r="K357" s="156">
        <f t="shared" si="362"/>
        <v>2021</v>
      </c>
      <c r="L357" s="156">
        <f t="shared" si="362"/>
        <v>2022</v>
      </c>
      <c r="M357" s="156">
        <f t="shared" si="362"/>
        <v>2023</v>
      </c>
      <c r="N357" s="156">
        <f t="shared" si="362"/>
        <v>2024</v>
      </c>
      <c r="O357" s="157">
        <f t="shared" si="362"/>
        <v>2025</v>
      </c>
      <c r="P357" s="157">
        <f t="shared" si="362"/>
        <v>2026</v>
      </c>
      <c r="Q357" s="157">
        <f t="shared" si="362"/>
        <v>2027</v>
      </c>
      <c r="R357" s="157">
        <f t="shared" si="362"/>
        <v>2028</v>
      </c>
      <c r="S357" s="157">
        <f t="shared" si="362"/>
        <v>2029</v>
      </c>
      <c r="T357" s="157">
        <f t="shared" si="362"/>
        <v>2030</v>
      </c>
      <c r="U357" s="157">
        <f t="shared" ref="U357" si="363">+T357+1</f>
        <v>2031</v>
      </c>
    </row>
    <row r="358" spans="2:22" ht="13.5" outlineLevel="1" thickBot="1" x14ac:dyDescent="0.35">
      <c r="B358" s="51"/>
      <c r="C358" s="51"/>
      <c r="D358" s="51"/>
      <c r="E358" s="158">
        <v>2015</v>
      </c>
      <c r="F358" s="158">
        <f>E358+1</f>
        <v>2016</v>
      </c>
      <c r="G358" s="158">
        <f t="shared" ref="G358:T358" si="364">F358+1</f>
        <v>2017</v>
      </c>
      <c r="H358" s="158">
        <f t="shared" si="364"/>
        <v>2018</v>
      </c>
      <c r="I358" s="158">
        <f t="shared" si="364"/>
        <v>2019</v>
      </c>
      <c r="J358" s="158">
        <f t="shared" si="364"/>
        <v>2020</v>
      </c>
      <c r="K358" s="158">
        <f t="shared" si="364"/>
        <v>2021</v>
      </c>
      <c r="L358" s="158">
        <f t="shared" si="364"/>
        <v>2022</v>
      </c>
      <c r="M358" s="158">
        <f t="shared" si="364"/>
        <v>2023</v>
      </c>
      <c r="N358" s="158">
        <f t="shared" si="364"/>
        <v>2024</v>
      </c>
      <c r="O358" s="159">
        <f t="shared" si="364"/>
        <v>2025</v>
      </c>
      <c r="P358" s="159">
        <f t="shared" si="364"/>
        <v>2026</v>
      </c>
      <c r="Q358" s="159">
        <f t="shared" si="364"/>
        <v>2027</v>
      </c>
      <c r="R358" s="159">
        <f t="shared" si="364"/>
        <v>2028</v>
      </c>
      <c r="S358" s="159">
        <f t="shared" si="364"/>
        <v>2029</v>
      </c>
      <c r="T358" s="159">
        <f t="shared" si="364"/>
        <v>2030</v>
      </c>
      <c r="U358" s="159">
        <f t="shared" ref="U358" si="365">T358+1</f>
        <v>2031</v>
      </c>
    </row>
    <row r="359" spans="2:22" ht="13" outlineLevel="1" x14ac:dyDescent="0.3">
      <c r="B359" s="153" t="s">
        <v>268</v>
      </c>
      <c r="C359" s="153"/>
      <c r="D359" s="153"/>
      <c r="E359" s="155">
        <v>2219</v>
      </c>
      <c r="F359" s="155">
        <v>2248</v>
      </c>
      <c r="G359" s="155">
        <v>2513</v>
      </c>
      <c r="H359" s="155">
        <v>3208</v>
      </c>
      <c r="I359" s="155">
        <v>3405</v>
      </c>
      <c r="J359" s="155">
        <v>3138</v>
      </c>
      <c r="K359" s="155">
        <v>2935</v>
      </c>
      <c r="L359" s="155">
        <v>3235</v>
      </c>
      <c r="M359" s="155">
        <v>4181</v>
      </c>
      <c r="N359" s="155">
        <v>5644</v>
      </c>
      <c r="O359" s="155">
        <f>O362*O363</f>
        <v>6534.4686134002795</v>
      </c>
      <c r="P359" s="155">
        <f t="shared" ref="P359:T359" si="366">P362*P363</f>
        <v>6707.5183900925012</v>
      </c>
      <c r="Q359" s="155">
        <f t="shared" si="366"/>
        <v>6787.961337336319</v>
      </c>
      <c r="R359" s="155">
        <f t="shared" si="366"/>
        <v>6816.8681718546895</v>
      </c>
      <c r="S359" s="155">
        <f t="shared" si="366"/>
        <v>7157.7115804474251</v>
      </c>
      <c r="T359" s="155">
        <f t="shared" si="366"/>
        <v>7515.5971594697967</v>
      </c>
      <c r="U359" s="155">
        <f t="shared" ref="U359" si="367">U362*U363</f>
        <v>7891.3770174432884</v>
      </c>
    </row>
    <row r="360" spans="2:22" outlineLevel="1" x14ac:dyDescent="0.25"/>
    <row r="361" spans="2:22" ht="13" outlineLevel="1" x14ac:dyDescent="0.3">
      <c r="B361" s="80" t="s">
        <v>269</v>
      </c>
      <c r="C361" s="80"/>
      <c r="D361" s="80"/>
      <c r="E361" s="81"/>
      <c r="F361" s="81"/>
      <c r="G361" s="81"/>
      <c r="H361" s="81"/>
      <c r="I361" s="81"/>
      <c r="J361" s="81"/>
      <c r="K361" s="81"/>
      <c r="L361" s="81"/>
      <c r="M361" s="81"/>
      <c r="N361" s="81"/>
      <c r="O361" s="81"/>
      <c r="P361" s="81"/>
      <c r="Q361" s="81"/>
      <c r="R361" s="81"/>
      <c r="S361" s="81"/>
      <c r="T361" s="81"/>
      <c r="U361" s="81"/>
    </row>
    <row r="362" spans="2:22" ht="13" outlineLevel="1" x14ac:dyDescent="0.3">
      <c r="B362" s="33" t="s">
        <v>270</v>
      </c>
      <c r="E362" s="65">
        <f t="shared" ref="E362:N362" si="368">E359/E363</f>
        <v>0.20913049214936005</v>
      </c>
      <c r="F362" s="65">
        <f t="shared" si="368"/>
        <v>0.17906500665121355</v>
      </c>
      <c r="G362" s="65">
        <f t="shared" si="368"/>
        <v>0.16025150494847465</v>
      </c>
      <c r="H362" s="65">
        <f t="shared" si="368"/>
        <v>0.17752396130774509</v>
      </c>
      <c r="I362" s="65">
        <f t="shared" si="368"/>
        <v>0.17022616833643289</v>
      </c>
      <c r="J362" s="65">
        <f t="shared" si="368"/>
        <v>0.14770047586099774</v>
      </c>
      <c r="K362" s="65">
        <f t="shared" si="368"/>
        <v>0.1424204192546584</v>
      </c>
      <c r="L362" s="65">
        <f t="shared" si="368"/>
        <v>0.16154322467241927</v>
      </c>
      <c r="M362" s="65">
        <f t="shared" si="368"/>
        <v>0.18815704205069125</v>
      </c>
      <c r="N362" s="65">
        <f t="shared" si="368"/>
        <v>0.23826409996622763</v>
      </c>
      <c r="O362" s="550">
        <v>0.24</v>
      </c>
      <c r="P362" s="550">
        <v>0.23</v>
      </c>
      <c r="Q362" s="550">
        <v>0.22</v>
      </c>
      <c r="R362" s="550">
        <v>0.22</v>
      </c>
      <c r="S362" s="550">
        <v>0.22</v>
      </c>
      <c r="T362" s="550">
        <v>0.22</v>
      </c>
      <c r="U362" s="550">
        <v>0.22</v>
      </c>
      <c r="V362"/>
    </row>
    <row r="363" spans="2:22" outlineLevel="1" x14ac:dyDescent="0.25">
      <c r="B363" s="33" t="s">
        <v>271</v>
      </c>
      <c r="E363" s="70">
        <f>E364*E366</f>
        <v>10610.6</v>
      </c>
      <c r="F363" s="70">
        <f t="shared" ref="F363:T363" si="369">F364*F366</f>
        <v>12554.1</v>
      </c>
      <c r="G363" s="70">
        <f t="shared" si="369"/>
        <v>15681.6</v>
      </c>
      <c r="H363" s="70">
        <f t="shared" si="369"/>
        <v>18070.8</v>
      </c>
      <c r="I363" s="70">
        <f t="shared" si="369"/>
        <v>20002.8</v>
      </c>
      <c r="J363" s="70">
        <f t="shared" si="369"/>
        <v>21245.7</v>
      </c>
      <c r="K363" s="70">
        <f t="shared" si="369"/>
        <v>20608</v>
      </c>
      <c r="L363" s="70">
        <f t="shared" si="369"/>
        <v>20025.600000000002</v>
      </c>
      <c r="M363" s="70">
        <f t="shared" si="369"/>
        <v>22220.799999999999</v>
      </c>
      <c r="N363" s="70">
        <f t="shared" si="369"/>
        <v>23688</v>
      </c>
      <c r="O363" s="70">
        <f t="shared" si="369"/>
        <v>27226.952555834498</v>
      </c>
      <c r="P363" s="70">
        <f t="shared" si="369"/>
        <v>29163.123435184785</v>
      </c>
      <c r="Q363" s="70">
        <f t="shared" si="369"/>
        <v>30854.369715165085</v>
      </c>
      <c r="R363" s="70">
        <f t="shared" si="369"/>
        <v>30985.764417521317</v>
      </c>
      <c r="S363" s="70">
        <f t="shared" si="369"/>
        <v>32535.052638397388</v>
      </c>
      <c r="T363" s="70">
        <f t="shared" si="369"/>
        <v>34161.805270317258</v>
      </c>
      <c r="U363" s="70">
        <f t="shared" ref="U363" si="370">U364*U366</f>
        <v>35869.895533833129</v>
      </c>
    </row>
    <row r="364" spans="2:22" outlineLevel="1" x14ac:dyDescent="0.25">
      <c r="B364" s="33" t="s">
        <v>272</v>
      </c>
      <c r="E364" s="75">
        <v>28600</v>
      </c>
      <c r="F364" s="75">
        <v>33300</v>
      </c>
      <c r="G364" s="75">
        <v>39600</v>
      </c>
      <c r="H364" s="75">
        <v>44400</v>
      </c>
      <c r="I364" s="75">
        <v>47400</v>
      </c>
      <c r="J364" s="75">
        <v>46900</v>
      </c>
      <c r="K364" s="75">
        <v>44800</v>
      </c>
      <c r="L364" s="75">
        <v>44700</v>
      </c>
      <c r="M364" s="75">
        <v>51200</v>
      </c>
      <c r="N364" s="75">
        <v>56000</v>
      </c>
      <c r="O364" s="70">
        <f>N364*(1+O365)</f>
        <v>60504.339012965545</v>
      </c>
      <c r="P364" s="70">
        <f t="shared" ref="P364:T364" si="371">O364*(1+P365)</f>
        <v>64806.940967077302</v>
      </c>
      <c r="Q364" s="70">
        <f t="shared" si="371"/>
        <v>68565.266033700187</v>
      </c>
      <c r="R364" s="70">
        <f t="shared" si="371"/>
        <v>72059.917250049577</v>
      </c>
      <c r="S364" s="70">
        <f t="shared" si="371"/>
        <v>75662.913112552065</v>
      </c>
      <c r="T364" s="70">
        <f t="shared" si="371"/>
        <v>79446.058768179675</v>
      </c>
      <c r="U364" s="70">
        <f t="shared" ref="U364" si="372">T364*(1+U365)</f>
        <v>83418.361706588665</v>
      </c>
    </row>
    <row r="365" spans="2:22" ht="13" outlineLevel="1" x14ac:dyDescent="0.3">
      <c r="B365" s="64" t="s">
        <v>242</v>
      </c>
      <c r="E365" s="75"/>
      <c r="F365" s="65">
        <f t="shared" ref="F365:N365" si="373">F364/E364-1</f>
        <v>0.16433566433566438</v>
      </c>
      <c r="G365" s="65">
        <f t="shared" si="373"/>
        <v>0.18918918918918926</v>
      </c>
      <c r="H365" s="65">
        <f t="shared" si="373"/>
        <v>0.1212121212121211</v>
      </c>
      <c r="I365" s="65">
        <f t="shared" si="373"/>
        <v>6.7567567567567544E-2</v>
      </c>
      <c r="J365" s="65">
        <f t="shared" si="373"/>
        <v>-1.0548523206751037E-2</v>
      </c>
      <c r="K365" s="65">
        <f t="shared" si="373"/>
        <v>-4.4776119402985093E-2</v>
      </c>
      <c r="L365" s="65">
        <f t="shared" si="373"/>
        <v>-2.2321428571429047E-3</v>
      </c>
      <c r="M365" s="65">
        <f t="shared" si="373"/>
        <v>0.14541387024608499</v>
      </c>
      <c r="N365" s="65">
        <f t="shared" si="373"/>
        <v>9.375E-2</v>
      </c>
      <c r="O365" s="550">
        <f>AVERAGE(F365:N365)</f>
        <v>8.0434625231527584E-2</v>
      </c>
      <c r="P365" s="550">
        <f t="shared" ref="P365:R365" si="374">AVERAGE(G365:O365)</f>
        <v>7.111228755329016E-2</v>
      </c>
      <c r="Q365" s="550">
        <f t="shared" si="374"/>
        <v>5.7992631815968032E-2</v>
      </c>
      <c r="R365" s="550">
        <f t="shared" si="374"/>
        <v>5.096824410528436E-2</v>
      </c>
      <c r="S365" s="550">
        <v>0.05</v>
      </c>
      <c r="T365" s="550">
        <v>0.05</v>
      </c>
      <c r="U365" s="550">
        <v>0.05</v>
      </c>
      <c r="V365"/>
    </row>
    <row r="366" spans="2:22" ht="13" outlineLevel="1" x14ac:dyDescent="0.3">
      <c r="B366" s="33" t="s">
        <v>273</v>
      </c>
      <c r="E366" s="551">
        <v>0.371</v>
      </c>
      <c r="F366" s="551">
        <v>0.377</v>
      </c>
      <c r="G366" s="551">
        <v>0.39600000000000002</v>
      </c>
      <c r="H366" s="551">
        <v>0.40699999999999997</v>
      </c>
      <c r="I366" s="551">
        <v>0.42199999999999999</v>
      </c>
      <c r="J366" s="551">
        <v>0.45300000000000001</v>
      </c>
      <c r="K366" s="551">
        <v>0.46</v>
      </c>
      <c r="L366" s="551">
        <v>0.44800000000000001</v>
      </c>
      <c r="M366" s="551">
        <v>0.434</v>
      </c>
      <c r="N366" s="551">
        <v>0.42299999999999999</v>
      </c>
      <c r="O366" s="550">
        <v>0.45</v>
      </c>
      <c r="P366" s="550">
        <v>0.45</v>
      </c>
      <c r="Q366" s="550">
        <v>0.45</v>
      </c>
      <c r="R366" s="550">
        <v>0.43</v>
      </c>
      <c r="S366" s="550">
        <v>0.43</v>
      </c>
      <c r="T366" s="550">
        <v>0.43</v>
      </c>
      <c r="U366" s="550">
        <v>0.43</v>
      </c>
    </row>
    <row r="367" spans="2:22" outlineLevel="1" x14ac:dyDescent="0.25">
      <c r="E367" s="69"/>
      <c r="F367" s="69"/>
      <c r="G367" s="69"/>
      <c r="H367" s="69"/>
      <c r="I367" s="69"/>
      <c r="J367" s="69"/>
      <c r="K367" s="69"/>
      <c r="L367" s="69"/>
      <c r="M367" s="69"/>
      <c r="N367" s="69"/>
      <c r="O367" s="197"/>
      <c r="P367" s="197"/>
      <c r="Q367" s="197"/>
      <c r="R367" s="197"/>
      <c r="S367" s="197"/>
      <c r="T367" s="197"/>
    </row>
    <row r="368" spans="2:22" outlineLevel="1" x14ac:dyDescent="0.25">
      <c r="E368" s="156">
        <v>2015</v>
      </c>
      <c r="F368" s="156">
        <f t="shared" ref="F368:T368" si="375">+E368+1</f>
        <v>2016</v>
      </c>
      <c r="G368" s="156">
        <f t="shared" si="375"/>
        <v>2017</v>
      </c>
      <c r="H368" s="156">
        <f t="shared" si="375"/>
        <v>2018</v>
      </c>
      <c r="I368" s="156">
        <f t="shared" si="375"/>
        <v>2019</v>
      </c>
      <c r="J368" s="156">
        <f t="shared" si="375"/>
        <v>2020</v>
      </c>
      <c r="K368" s="156">
        <f t="shared" si="375"/>
        <v>2021</v>
      </c>
      <c r="L368" s="156">
        <f t="shared" si="375"/>
        <v>2022</v>
      </c>
      <c r="M368" s="156">
        <f t="shared" si="375"/>
        <v>2023</v>
      </c>
      <c r="N368" s="156">
        <f t="shared" si="375"/>
        <v>2024</v>
      </c>
      <c r="O368" s="157">
        <f t="shared" si="375"/>
        <v>2025</v>
      </c>
      <c r="P368" s="157">
        <f t="shared" si="375"/>
        <v>2026</v>
      </c>
      <c r="Q368" s="157">
        <f t="shared" si="375"/>
        <v>2027</v>
      </c>
      <c r="R368" s="157">
        <f t="shared" si="375"/>
        <v>2028</v>
      </c>
      <c r="S368" s="157">
        <f t="shared" si="375"/>
        <v>2029</v>
      </c>
      <c r="T368" s="157">
        <f t="shared" si="375"/>
        <v>2030</v>
      </c>
      <c r="U368" s="157">
        <f t="shared" ref="U368" si="376">+T368+1</f>
        <v>2031</v>
      </c>
    </row>
    <row r="369" spans="2:22" ht="13.5" outlineLevel="1" thickBot="1" x14ac:dyDescent="0.35">
      <c r="B369" s="51"/>
      <c r="C369" s="51"/>
      <c r="D369" s="51"/>
      <c r="E369" s="158">
        <v>2015</v>
      </c>
      <c r="F369" s="158">
        <f t="shared" ref="F369:T369" si="377">E369+1</f>
        <v>2016</v>
      </c>
      <c r="G369" s="158">
        <f t="shared" si="377"/>
        <v>2017</v>
      </c>
      <c r="H369" s="158">
        <f t="shared" si="377"/>
        <v>2018</v>
      </c>
      <c r="I369" s="158">
        <f t="shared" si="377"/>
        <v>2019</v>
      </c>
      <c r="J369" s="158">
        <f t="shared" si="377"/>
        <v>2020</v>
      </c>
      <c r="K369" s="158">
        <f t="shared" si="377"/>
        <v>2021</v>
      </c>
      <c r="L369" s="158">
        <f t="shared" si="377"/>
        <v>2022</v>
      </c>
      <c r="M369" s="158">
        <f t="shared" si="377"/>
        <v>2023</v>
      </c>
      <c r="N369" s="158">
        <f t="shared" si="377"/>
        <v>2024</v>
      </c>
      <c r="O369" s="159">
        <f t="shared" si="377"/>
        <v>2025</v>
      </c>
      <c r="P369" s="159">
        <f t="shared" si="377"/>
        <v>2026</v>
      </c>
      <c r="Q369" s="159">
        <f t="shared" si="377"/>
        <v>2027</v>
      </c>
      <c r="R369" s="159">
        <f t="shared" si="377"/>
        <v>2028</v>
      </c>
      <c r="S369" s="159">
        <f t="shared" si="377"/>
        <v>2029</v>
      </c>
      <c r="T369" s="159">
        <f t="shared" si="377"/>
        <v>2030</v>
      </c>
      <c r="U369" s="159">
        <f t="shared" ref="U369" si="378">T369+1</f>
        <v>2031</v>
      </c>
    </row>
    <row r="370" spans="2:22" ht="13" outlineLevel="1" x14ac:dyDescent="0.3">
      <c r="B370" s="150" t="s">
        <v>274</v>
      </c>
      <c r="C370" s="150"/>
      <c r="D370" s="150"/>
      <c r="E370" s="152">
        <v>822</v>
      </c>
      <c r="F370" s="152">
        <v>898</v>
      </c>
      <c r="G370" s="152">
        <v>1049</v>
      </c>
      <c r="H370" s="152">
        <v>1193</v>
      </c>
      <c r="I370" s="152">
        <v>1294</v>
      </c>
      <c r="J370" s="152">
        <v>990</v>
      </c>
      <c r="K370" s="152">
        <v>1179</v>
      </c>
      <c r="L370" s="152">
        <v>1202</v>
      </c>
      <c r="M370" s="152">
        <v>1085</v>
      </c>
      <c r="N370" s="152">
        <v>1232</v>
      </c>
      <c r="O370" s="151">
        <f t="shared" ref="O370:T370" si="379">O359+O373</f>
        <v>1850.0240517797511</v>
      </c>
      <c r="P370" s="151">
        <f t="shared" si="379"/>
        <v>1701.2724927258541</v>
      </c>
      <c r="Q370" s="151">
        <f t="shared" si="379"/>
        <v>1708.3925349579295</v>
      </c>
      <c r="R370" s="151">
        <f t="shared" si="379"/>
        <v>1791.5505949273511</v>
      </c>
      <c r="S370" s="151">
        <f t="shared" si="379"/>
        <v>1832.6791001109796</v>
      </c>
      <c r="T370" s="151">
        <f t="shared" si="379"/>
        <v>1930.3404453086951</v>
      </c>
      <c r="U370" s="151">
        <f t="shared" ref="U370" si="380">U359+U373</f>
        <v>2040.4433109664205</v>
      </c>
    </row>
    <row r="371" spans="2:22" ht="13" outlineLevel="1" x14ac:dyDescent="0.3">
      <c r="B371" s="64" t="s">
        <v>275</v>
      </c>
      <c r="E371" s="65">
        <f t="shared" ref="E371:T371" si="381">E370/E359</f>
        <v>0.3704371338440739</v>
      </c>
      <c r="F371" s="65">
        <f t="shared" si="381"/>
        <v>0.39946619217081852</v>
      </c>
      <c r="G371" s="65">
        <f t="shared" si="381"/>
        <v>0.4174293672900915</v>
      </c>
      <c r="H371" s="65">
        <f t="shared" si="381"/>
        <v>0.37188279301745636</v>
      </c>
      <c r="I371" s="65">
        <f t="shared" si="381"/>
        <v>0.38002936857562408</v>
      </c>
      <c r="J371" s="65">
        <f t="shared" si="381"/>
        <v>0.31548757170172081</v>
      </c>
      <c r="K371" s="65">
        <f t="shared" si="381"/>
        <v>0.40170357751277685</v>
      </c>
      <c r="L371" s="65">
        <f t="shared" si="381"/>
        <v>0.37156105100463677</v>
      </c>
      <c r="M371" s="65">
        <f t="shared" si="381"/>
        <v>0.25950729490552499</v>
      </c>
      <c r="N371" s="65">
        <f t="shared" si="381"/>
        <v>0.21828490432317504</v>
      </c>
      <c r="O371" s="65">
        <f t="shared" si="381"/>
        <v>0.28311775007777895</v>
      </c>
      <c r="P371" s="65">
        <f t="shared" si="381"/>
        <v>0.25363664976882644</v>
      </c>
      <c r="Q371" s="65">
        <f t="shared" si="381"/>
        <v>0.25167976805659359</v>
      </c>
      <c r="R371" s="65">
        <f t="shared" si="381"/>
        <v>0.26281138930106634</v>
      </c>
      <c r="S371" s="65">
        <f t="shared" si="381"/>
        <v>0.25604260237549548</v>
      </c>
      <c r="T371" s="65">
        <f t="shared" si="381"/>
        <v>0.25684458657771847</v>
      </c>
      <c r="U371" s="65">
        <f t="shared" ref="U371" si="382">U370/U359</f>
        <v>0.25856619275142678</v>
      </c>
    </row>
    <row r="372" spans="2:22" outlineLevel="1" x14ac:dyDescent="0.25">
      <c r="E372" s="69"/>
      <c r="F372" s="69"/>
      <c r="G372" s="69"/>
      <c r="H372" s="69"/>
      <c r="I372" s="69"/>
      <c r="J372" s="69"/>
      <c r="K372" s="69"/>
      <c r="L372" s="69"/>
      <c r="M372" s="69"/>
      <c r="N372" s="69"/>
      <c r="O372" s="197"/>
      <c r="P372" s="197"/>
      <c r="Q372" s="197"/>
      <c r="R372" s="197"/>
      <c r="S372" s="197"/>
      <c r="T372" s="197"/>
      <c r="U372" s="197"/>
    </row>
    <row r="373" spans="2:22" ht="13" outlineLevel="1" x14ac:dyDescent="0.3">
      <c r="B373" s="269" t="s">
        <v>276</v>
      </c>
      <c r="C373" s="150"/>
      <c r="D373" s="150"/>
      <c r="E373" s="270">
        <f t="shared" ref="E373:N373" si="383">-E359+E370</f>
        <v>-1397</v>
      </c>
      <c r="F373" s="270">
        <f t="shared" si="383"/>
        <v>-1350</v>
      </c>
      <c r="G373" s="270">
        <f t="shared" si="383"/>
        <v>-1464</v>
      </c>
      <c r="H373" s="270">
        <f t="shared" si="383"/>
        <v>-2015</v>
      </c>
      <c r="I373" s="270">
        <f t="shared" si="383"/>
        <v>-2111</v>
      </c>
      <c r="J373" s="270">
        <f t="shared" si="383"/>
        <v>-2148</v>
      </c>
      <c r="K373" s="270">
        <f t="shared" si="383"/>
        <v>-1756</v>
      </c>
      <c r="L373" s="270">
        <f t="shared" si="383"/>
        <v>-2033</v>
      </c>
      <c r="M373" s="270">
        <f t="shared" si="383"/>
        <v>-3096</v>
      </c>
      <c r="N373" s="270">
        <f t="shared" si="383"/>
        <v>-4412</v>
      </c>
      <c r="O373" s="270">
        <f t="shared" ref="O373:T373" si="384">-O374*O359</f>
        <v>-4684.4445616205285</v>
      </c>
      <c r="P373" s="270">
        <f t="shared" si="384"/>
        <v>-5006.2458973666471</v>
      </c>
      <c r="Q373" s="270">
        <f t="shared" si="384"/>
        <v>-5079.5688023783896</v>
      </c>
      <c r="R373" s="270">
        <f t="shared" si="384"/>
        <v>-5025.3175769273385</v>
      </c>
      <c r="S373" s="270">
        <f t="shared" si="384"/>
        <v>-5325.0324803364456</v>
      </c>
      <c r="T373" s="270">
        <f t="shared" si="384"/>
        <v>-5585.2567141611016</v>
      </c>
      <c r="U373" s="270">
        <f t="shared" ref="U373" si="385">-U374*U359</f>
        <v>-5850.9337064768679</v>
      </c>
    </row>
    <row r="374" spans="2:22" ht="13" outlineLevel="1" x14ac:dyDescent="0.3">
      <c r="B374" s="64" t="s">
        <v>275</v>
      </c>
      <c r="C374" s="266"/>
      <c r="D374" s="266"/>
      <c r="E374" s="65">
        <f t="shared" ref="E374:N374" si="386">-E373/E359</f>
        <v>0.62956286615592605</v>
      </c>
      <c r="F374" s="65">
        <f t="shared" si="386"/>
        <v>0.60053380782918153</v>
      </c>
      <c r="G374" s="65">
        <f t="shared" si="386"/>
        <v>0.5825706327099085</v>
      </c>
      <c r="H374" s="65">
        <f t="shared" si="386"/>
        <v>0.62811720698254359</v>
      </c>
      <c r="I374" s="65">
        <f t="shared" si="386"/>
        <v>0.61997063142437592</v>
      </c>
      <c r="J374" s="65">
        <f t="shared" si="386"/>
        <v>0.68451242829827919</v>
      </c>
      <c r="K374" s="65">
        <f t="shared" si="386"/>
        <v>0.59829642248722315</v>
      </c>
      <c r="L374" s="65">
        <f t="shared" si="386"/>
        <v>0.62843894899536323</v>
      </c>
      <c r="M374" s="65">
        <f t="shared" si="386"/>
        <v>0.74049270509447496</v>
      </c>
      <c r="N374" s="65">
        <f t="shared" si="386"/>
        <v>0.78171509567682496</v>
      </c>
      <c r="O374" s="550">
        <f t="shared" ref="O374:T374" si="387">AVERAGE(L374:N374)</f>
        <v>0.71688224992222105</v>
      </c>
      <c r="P374" s="550">
        <f t="shared" si="387"/>
        <v>0.74636335023117362</v>
      </c>
      <c r="Q374" s="550">
        <f t="shared" si="387"/>
        <v>0.74832023194340647</v>
      </c>
      <c r="R374" s="550">
        <f t="shared" si="387"/>
        <v>0.73718861069893371</v>
      </c>
      <c r="S374" s="550">
        <f t="shared" si="387"/>
        <v>0.74395739762450452</v>
      </c>
      <c r="T374" s="550">
        <f t="shared" si="387"/>
        <v>0.74315541342228153</v>
      </c>
      <c r="U374" s="550">
        <f t="shared" ref="U374" si="388">AVERAGE(R374:T374)</f>
        <v>0.74143380724857322</v>
      </c>
    </row>
    <row r="375" spans="2:22" outlineLevel="1" x14ac:dyDescent="0.25">
      <c r="E375" s="69"/>
      <c r="F375" s="69"/>
      <c r="G375" s="69"/>
      <c r="H375" s="69"/>
      <c r="I375" s="69"/>
      <c r="J375" s="69"/>
      <c r="K375" s="69"/>
      <c r="L375" s="69"/>
      <c r="M375" s="69"/>
      <c r="N375" s="69"/>
      <c r="O375" s="197"/>
      <c r="P375" s="197"/>
      <c r="Q375" s="197"/>
      <c r="R375" s="197"/>
      <c r="S375" s="197"/>
      <c r="T375" s="197"/>
    </row>
    <row r="376" spans="2:22" outlineLevel="1" x14ac:dyDescent="0.25">
      <c r="E376" s="83"/>
      <c r="F376" s="83"/>
      <c r="G376" s="83"/>
      <c r="H376" s="83"/>
      <c r="I376" s="83"/>
      <c r="J376" s="83"/>
      <c r="K376" s="83"/>
      <c r="L376" s="83"/>
      <c r="M376" s="83"/>
      <c r="N376" s="83"/>
    </row>
    <row r="377" spans="2:22" ht="13" outlineLevel="1" x14ac:dyDescent="0.3">
      <c r="B377" s="49" t="s">
        <v>277</v>
      </c>
      <c r="C377" s="49"/>
      <c r="D377" s="49"/>
      <c r="E377" s="49"/>
      <c r="F377" s="49"/>
      <c r="G377" s="49"/>
      <c r="H377" s="49"/>
      <c r="I377" s="49"/>
      <c r="J377" s="49"/>
      <c r="K377" s="49"/>
      <c r="L377" s="49"/>
      <c r="M377" s="49"/>
      <c r="N377" s="49"/>
      <c r="O377" s="49"/>
      <c r="P377" s="49"/>
      <c r="Q377" s="49"/>
      <c r="R377" s="49"/>
      <c r="S377" s="49"/>
      <c r="T377" s="49"/>
      <c r="U377" s="49"/>
    </row>
    <row r="378" spans="2:22" ht="13" outlineLevel="1" x14ac:dyDescent="0.3">
      <c r="B378" s="1" t="s">
        <v>58</v>
      </c>
    </row>
    <row r="379" spans="2:22" ht="13" outlineLevel="1" x14ac:dyDescent="0.3">
      <c r="E379" s="84">
        <v>2015</v>
      </c>
      <c r="F379" s="84">
        <f>+E379+1</f>
        <v>2016</v>
      </c>
      <c r="G379" s="84">
        <f t="shared" ref="G379:T379" si="389">+F379+1</f>
        <v>2017</v>
      </c>
      <c r="H379" s="84">
        <f t="shared" si="389"/>
        <v>2018</v>
      </c>
      <c r="I379" s="84">
        <f t="shared" si="389"/>
        <v>2019</v>
      </c>
      <c r="J379" s="84">
        <f t="shared" si="389"/>
        <v>2020</v>
      </c>
      <c r="K379" s="84">
        <f t="shared" si="389"/>
        <v>2021</v>
      </c>
      <c r="L379" s="84">
        <f t="shared" si="389"/>
        <v>2022</v>
      </c>
      <c r="M379" s="84">
        <f t="shared" si="389"/>
        <v>2023</v>
      </c>
      <c r="N379" s="84">
        <f t="shared" si="389"/>
        <v>2024</v>
      </c>
      <c r="O379" s="85">
        <f t="shared" si="389"/>
        <v>2025</v>
      </c>
      <c r="P379" s="85">
        <f t="shared" si="389"/>
        <v>2026</v>
      </c>
      <c r="Q379" s="85">
        <f t="shared" si="389"/>
        <v>2027</v>
      </c>
      <c r="R379" s="85">
        <f t="shared" si="389"/>
        <v>2028</v>
      </c>
      <c r="S379" s="85">
        <f t="shared" si="389"/>
        <v>2029</v>
      </c>
      <c r="T379" s="85">
        <f t="shared" si="389"/>
        <v>2030</v>
      </c>
      <c r="U379" s="85">
        <f t="shared" ref="U379" si="390">+T379+1</f>
        <v>2031</v>
      </c>
    </row>
    <row r="380" spans="2:22" ht="13" outlineLevel="1" thickBot="1" x14ac:dyDescent="0.3">
      <c r="B380" s="51"/>
      <c r="C380" s="51"/>
      <c r="D380" s="51"/>
      <c r="E380" s="52">
        <v>2015</v>
      </c>
      <c r="F380" s="52">
        <f>E380+1</f>
        <v>2016</v>
      </c>
      <c r="G380" s="52">
        <f t="shared" ref="G380:T380" si="391">F380+1</f>
        <v>2017</v>
      </c>
      <c r="H380" s="52">
        <f t="shared" si="391"/>
        <v>2018</v>
      </c>
      <c r="I380" s="52">
        <f t="shared" si="391"/>
        <v>2019</v>
      </c>
      <c r="J380" s="52">
        <f t="shared" si="391"/>
        <v>2020</v>
      </c>
      <c r="K380" s="52">
        <f t="shared" si="391"/>
        <v>2021</v>
      </c>
      <c r="L380" s="52">
        <f t="shared" si="391"/>
        <v>2022</v>
      </c>
      <c r="M380" s="52">
        <f t="shared" si="391"/>
        <v>2023</v>
      </c>
      <c r="N380" s="52">
        <f t="shared" si="391"/>
        <v>2024</v>
      </c>
      <c r="O380" s="53">
        <f t="shared" si="391"/>
        <v>2025</v>
      </c>
      <c r="P380" s="53">
        <f t="shared" si="391"/>
        <v>2026</v>
      </c>
      <c r="Q380" s="53">
        <f t="shared" si="391"/>
        <v>2027</v>
      </c>
      <c r="R380" s="53">
        <f t="shared" si="391"/>
        <v>2028</v>
      </c>
      <c r="S380" s="53">
        <f t="shared" si="391"/>
        <v>2029</v>
      </c>
      <c r="T380" s="53">
        <f t="shared" si="391"/>
        <v>2030</v>
      </c>
      <c r="U380" s="53">
        <f t="shared" ref="U380" si="392">T380+1</f>
        <v>2031</v>
      </c>
    </row>
    <row r="381" spans="2:22" outlineLevel="1" x14ac:dyDescent="0.25">
      <c r="B381" s="86" t="s">
        <v>278</v>
      </c>
      <c r="C381" s="86"/>
      <c r="D381" s="86"/>
      <c r="E381" s="87">
        <v>0</v>
      </c>
      <c r="F381" s="87">
        <v>0</v>
      </c>
      <c r="G381" s="87">
        <v>0</v>
      </c>
      <c r="H381" s="87">
        <v>0</v>
      </c>
      <c r="I381" s="87">
        <v>0</v>
      </c>
      <c r="J381" s="87">
        <v>19</v>
      </c>
      <c r="K381" s="87">
        <v>24</v>
      </c>
      <c r="L381" s="87">
        <v>35</v>
      </c>
      <c r="M381" s="87">
        <v>45</v>
      </c>
      <c r="N381" s="87">
        <v>69</v>
      </c>
      <c r="O381" s="87">
        <f>N381*(1+O382)</f>
        <v>100.05</v>
      </c>
      <c r="P381" s="87">
        <f t="shared" ref="P381:T381" si="393">O381*(1+P382)</f>
        <v>138.06899999999999</v>
      </c>
      <c r="Q381" s="87">
        <f t="shared" si="393"/>
        <v>165.68279999999999</v>
      </c>
      <c r="R381" s="87">
        <f t="shared" si="393"/>
        <v>198.81935999999999</v>
      </c>
      <c r="S381" s="87">
        <f t="shared" si="393"/>
        <v>238.58323199999998</v>
      </c>
      <c r="T381" s="87">
        <f t="shared" si="393"/>
        <v>286.29987839999995</v>
      </c>
      <c r="U381" s="87">
        <f t="shared" ref="U381" si="394">T381*(1+U382)</f>
        <v>343.55985407999992</v>
      </c>
    </row>
    <row r="382" spans="2:22" ht="13" outlineLevel="1" x14ac:dyDescent="0.3">
      <c r="B382" s="64" t="s">
        <v>242</v>
      </c>
      <c r="K382" s="65">
        <f t="shared" ref="K382:N382" si="395">K381/J381-1</f>
        <v>0.26315789473684204</v>
      </c>
      <c r="L382" s="65">
        <f t="shared" si="395"/>
        <v>0.45833333333333326</v>
      </c>
      <c r="M382" s="65">
        <f t="shared" si="395"/>
        <v>0.28571428571428581</v>
      </c>
      <c r="N382" s="65">
        <f t="shared" si="395"/>
        <v>0.53333333333333344</v>
      </c>
      <c r="O382" s="550">
        <v>0.45</v>
      </c>
      <c r="P382" s="550">
        <v>0.38</v>
      </c>
      <c r="Q382" s="550">
        <v>0.2</v>
      </c>
      <c r="R382" s="550">
        <v>0.2</v>
      </c>
      <c r="S382" s="550">
        <v>0.2</v>
      </c>
      <c r="T382" s="550">
        <v>0.2</v>
      </c>
      <c r="U382" s="550">
        <v>0.2</v>
      </c>
      <c r="V382"/>
    </row>
    <row r="383" spans="2:22" ht="13" outlineLevel="1" x14ac:dyDescent="0.3">
      <c r="B383" s="64"/>
      <c r="K383" s="65"/>
      <c r="L383" s="65"/>
      <c r="M383" s="65"/>
      <c r="N383" s="65"/>
      <c r="O383" s="197"/>
      <c r="P383" s="197"/>
      <c r="Q383" s="197"/>
      <c r="R383" s="197"/>
      <c r="S383" s="197"/>
      <c r="T383" s="197"/>
    </row>
    <row r="384" spans="2:22" outlineLevel="1" x14ac:dyDescent="0.25">
      <c r="E384" s="156">
        <v>2015</v>
      </c>
      <c r="F384" s="156">
        <f t="shared" ref="F384:T384" si="396">+E384+1</f>
        <v>2016</v>
      </c>
      <c r="G384" s="156">
        <f t="shared" si="396"/>
        <v>2017</v>
      </c>
      <c r="H384" s="156">
        <f t="shared" si="396"/>
        <v>2018</v>
      </c>
      <c r="I384" s="156">
        <f t="shared" si="396"/>
        <v>2019</v>
      </c>
      <c r="J384" s="156">
        <f t="shared" si="396"/>
        <v>2020</v>
      </c>
      <c r="K384" s="156">
        <f t="shared" si="396"/>
        <v>2021</v>
      </c>
      <c r="L384" s="156">
        <f t="shared" si="396"/>
        <v>2022</v>
      </c>
      <c r="M384" s="156">
        <f t="shared" si="396"/>
        <v>2023</v>
      </c>
      <c r="N384" s="156">
        <f t="shared" si="396"/>
        <v>2024</v>
      </c>
      <c r="O384" s="157">
        <f t="shared" si="396"/>
        <v>2025</v>
      </c>
      <c r="P384" s="157">
        <f t="shared" si="396"/>
        <v>2026</v>
      </c>
      <c r="Q384" s="157">
        <f t="shared" si="396"/>
        <v>2027</v>
      </c>
      <c r="R384" s="157">
        <f t="shared" si="396"/>
        <v>2028</v>
      </c>
      <c r="S384" s="157">
        <f t="shared" si="396"/>
        <v>2029</v>
      </c>
      <c r="T384" s="157">
        <f t="shared" si="396"/>
        <v>2030</v>
      </c>
      <c r="U384" s="157">
        <f t="shared" ref="U384" si="397">+T384+1</f>
        <v>2031</v>
      </c>
    </row>
    <row r="385" spans="1:24" ht="13.5" outlineLevel="1" thickBot="1" x14ac:dyDescent="0.35">
      <c r="B385" s="51"/>
      <c r="C385" s="51"/>
      <c r="D385" s="51"/>
      <c r="E385" s="158">
        <v>2015</v>
      </c>
      <c r="F385" s="158">
        <f t="shared" ref="F385:T385" si="398">E385+1</f>
        <v>2016</v>
      </c>
      <c r="G385" s="158">
        <f t="shared" si="398"/>
        <v>2017</v>
      </c>
      <c r="H385" s="158">
        <f t="shared" si="398"/>
        <v>2018</v>
      </c>
      <c r="I385" s="158">
        <f t="shared" si="398"/>
        <v>2019</v>
      </c>
      <c r="J385" s="158">
        <f t="shared" si="398"/>
        <v>2020</v>
      </c>
      <c r="K385" s="158">
        <f t="shared" si="398"/>
        <v>2021</v>
      </c>
      <c r="L385" s="158">
        <f t="shared" si="398"/>
        <v>2022</v>
      </c>
      <c r="M385" s="158">
        <f t="shared" si="398"/>
        <v>2023</v>
      </c>
      <c r="N385" s="158">
        <f t="shared" si="398"/>
        <v>2024</v>
      </c>
      <c r="O385" s="159">
        <f t="shared" si="398"/>
        <v>2025</v>
      </c>
      <c r="P385" s="159">
        <f t="shared" si="398"/>
        <v>2026</v>
      </c>
      <c r="Q385" s="159">
        <f t="shared" si="398"/>
        <v>2027</v>
      </c>
      <c r="R385" s="159">
        <f t="shared" si="398"/>
        <v>2028</v>
      </c>
      <c r="S385" s="159">
        <f t="shared" si="398"/>
        <v>2029</v>
      </c>
      <c r="T385" s="159">
        <f t="shared" si="398"/>
        <v>2030</v>
      </c>
      <c r="U385" s="159">
        <f t="shared" ref="U385" si="399">T385+1</f>
        <v>2031</v>
      </c>
    </row>
    <row r="386" spans="1:24" ht="13" outlineLevel="1" x14ac:dyDescent="0.3">
      <c r="B386" s="150" t="s">
        <v>279</v>
      </c>
      <c r="C386" s="150"/>
      <c r="D386" s="150"/>
      <c r="E386" s="152">
        <v>0</v>
      </c>
      <c r="F386" s="152">
        <v>0</v>
      </c>
      <c r="G386" s="152">
        <v>0</v>
      </c>
      <c r="H386" s="152">
        <v>0</v>
      </c>
      <c r="I386" s="152">
        <v>0</v>
      </c>
      <c r="J386" s="152">
        <v>-60</v>
      </c>
      <c r="K386" s="152">
        <v>-54</v>
      </c>
      <c r="L386" s="152">
        <v>-31</v>
      </c>
      <c r="M386" s="152">
        <v>-36</v>
      </c>
      <c r="N386" s="152">
        <v>-15</v>
      </c>
      <c r="O386" s="151">
        <f>O381+O389</f>
        <v>0</v>
      </c>
      <c r="P386" s="151">
        <f>P381*P387</f>
        <v>6.9034499999999994</v>
      </c>
      <c r="Q386" s="151">
        <f>Q381*Q387</f>
        <v>16.568279999999998</v>
      </c>
      <c r="R386" s="151">
        <f>R381*R387</f>
        <v>23.858323200000001</v>
      </c>
      <c r="S386" s="151">
        <f>S381*S387</f>
        <v>33.401652480000003</v>
      </c>
      <c r="T386" s="151">
        <f>T381*T387</f>
        <v>45.807980543999996</v>
      </c>
      <c r="U386" s="151">
        <f t="shared" ref="U386" si="400">U381*U387</f>
        <v>61.840773734399981</v>
      </c>
    </row>
    <row r="387" spans="1:24" ht="13" outlineLevel="1" x14ac:dyDescent="0.3">
      <c r="B387" s="64" t="s">
        <v>280</v>
      </c>
      <c r="E387" s="65"/>
      <c r="F387" s="65"/>
      <c r="G387" s="65"/>
      <c r="H387" s="65"/>
      <c r="I387" s="65"/>
      <c r="J387" s="65">
        <f>J386/J381</f>
        <v>-3.1578947368421053</v>
      </c>
      <c r="K387" s="65">
        <f>K386/K381</f>
        <v>-2.25</v>
      </c>
      <c r="L387" s="65">
        <f>L386/L381</f>
        <v>-0.88571428571428568</v>
      </c>
      <c r="M387" s="65">
        <f>M386/M381</f>
        <v>-0.8</v>
      </c>
      <c r="N387" s="65">
        <f>N386/N381</f>
        <v>-0.21739130434782608</v>
      </c>
      <c r="O387" s="82">
        <v>0</v>
      </c>
      <c r="P387" s="197">
        <v>0.05</v>
      </c>
      <c r="Q387" s="197">
        <v>0.1</v>
      </c>
      <c r="R387" s="197">
        <f>+Q387+0.02</f>
        <v>0.12000000000000001</v>
      </c>
      <c r="S387" s="197">
        <f>+R387+0.02</f>
        <v>0.14000000000000001</v>
      </c>
      <c r="T387" s="197">
        <f>+S387+0.02</f>
        <v>0.16</v>
      </c>
      <c r="U387" s="197">
        <f>+T387+0.02</f>
        <v>0.18</v>
      </c>
      <c r="V387"/>
    </row>
    <row r="388" spans="1:24" ht="13" outlineLevel="1" x14ac:dyDescent="0.3">
      <c r="B388" s="64"/>
      <c r="E388" s="65"/>
      <c r="F388" s="65"/>
      <c r="G388" s="65"/>
      <c r="H388" s="65"/>
      <c r="I388" s="65"/>
      <c r="J388" s="65"/>
      <c r="K388" s="65"/>
      <c r="L388" s="65"/>
      <c r="M388" s="65"/>
      <c r="N388" s="65"/>
      <c r="O388" s="197"/>
      <c r="P388" s="197"/>
      <c r="Q388" s="197"/>
      <c r="R388" s="197"/>
      <c r="S388" s="197"/>
      <c r="T388" s="197"/>
    </row>
    <row r="389" spans="1:24" ht="13" outlineLevel="1" x14ac:dyDescent="0.3">
      <c r="B389" s="269" t="s">
        <v>276</v>
      </c>
      <c r="C389" s="150"/>
      <c r="D389" s="150"/>
      <c r="E389" s="270">
        <v>0</v>
      </c>
      <c r="F389" s="270">
        <v>0</v>
      </c>
      <c r="G389" s="270">
        <v>0</v>
      </c>
      <c r="H389" s="270">
        <v>0</v>
      </c>
      <c r="I389" s="270">
        <v>0</v>
      </c>
      <c r="J389" s="270">
        <f>-J381+J386</f>
        <v>-79</v>
      </c>
      <c r="K389" s="270">
        <f>-K381+K386</f>
        <v>-78</v>
      </c>
      <c r="L389" s="270">
        <f>-L381+L386</f>
        <v>-66</v>
      </c>
      <c r="M389" s="270">
        <f>-M381+M386</f>
        <v>-81</v>
      </c>
      <c r="N389" s="270">
        <f>-N381+N386</f>
        <v>-84</v>
      </c>
      <c r="O389" s="270">
        <f>-O390*O381</f>
        <v>-100.05</v>
      </c>
      <c r="P389" s="270">
        <f>-P381+P386</f>
        <v>-131.16555</v>
      </c>
      <c r="Q389" s="270">
        <f>-Q381+Q386</f>
        <v>-149.11452</v>
      </c>
      <c r="R389" s="270">
        <f>-R381+R386</f>
        <v>-174.96103679999999</v>
      </c>
      <c r="S389" s="270">
        <f>-S381+S386</f>
        <v>-205.18157951999999</v>
      </c>
      <c r="T389" s="270">
        <f>-T381+T386</f>
        <v>-240.49189785599995</v>
      </c>
      <c r="U389" s="270">
        <f t="shared" ref="U389" si="401">-U381+U386</f>
        <v>-281.71908034559993</v>
      </c>
    </row>
    <row r="390" spans="1:24" ht="13" outlineLevel="1" x14ac:dyDescent="0.3">
      <c r="B390" s="64" t="s">
        <v>280</v>
      </c>
      <c r="C390" s="266"/>
      <c r="D390" s="266"/>
      <c r="E390" s="65"/>
      <c r="F390" s="65"/>
      <c r="G390" s="65"/>
      <c r="H390" s="65"/>
      <c r="I390" s="65"/>
      <c r="J390" s="65">
        <f>-J389/J381</f>
        <v>4.1578947368421053</v>
      </c>
      <c r="K390" s="65">
        <f>-K389/K381</f>
        <v>3.25</v>
      </c>
      <c r="L390" s="65">
        <f>-L389/L381</f>
        <v>1.8857142857142857</v>
      </c>
      <c r="M390" s="65">
        <f>-M389/M381</f>
        <v>1.8</v>
      </c>
      <c r="N390" s="65">
        <f>-N389/N381</f>
        <v>1.2173913043478262</v>
      </c>
      <c r="O390" s="550">
        <v>1</v>
      </c>
      <c r="P390" s="65">
        <f>AVERAGE(M390:O390)</f>
        <v>1.3391304347826087</v>
      </c>
      <c r="Q390" s="65">
        <f>AVERAGE(N390:P390)</f>
        <v>1.1855072463768117</v>
      </c>
      <c r="R390" s="65">
        <f>AVERAGE(O390:Q390)</f>
        <v>1.1748792270531403</v>
      </c>
      <c r="S390" s="65">
        <f>AVERAGE(P390:R390)</f>
        <v>1.2331723027375203</v>
      </c>
      <c r="T390" s="65">
        <f>AVERAGE(Q390:S390)</f>
        <v>1.1978529253891574</v>
      </c>
      <c r="U390" s="65">
        <f t="shared" ref="U390" si="402">AVERAGE(R390:T390)</f>
        <v>1.2019681517266061</v>
      </c>
    </row>
    <row r="392" spans="1:24" ht="18" x14ac:dyDescent="0.4">
      <c r="A392" s="33" t="s">
        <v>22</v>
      </c>
      <c r="B392" s="47" t="s">
        <v>281</v>
      </c>
      <c r="C392" s="47"/>
      <c r="D392" s="47"/>
      <c r="E392" s="47"/>
      <c r="F392" s="47"/>
      <c r="G392" s="47"/>
      <c r="H392" s="47"/>
      <c r="I392" s="47"/>
      <c r="J392" s="47"/>
      <c r="K392" s="47"/>
      <c r="L392" s="47"/>
      <c r="M392" s="47"/>
      <c r="N392" s="47"/>
      <c r="O392" s="47"/>
      <c r="P392" s="47"/>
      <c r="Q392" s="47"/>
      <c r="R392" s="47"/>
      <c r="S392" s="47"/>
      <c r="T392" s="47"/>
      <c r="U392" s="47"/>
    </row>
    <row r="393" spans="1:24" ht="13" outlineLevel="1" x14ac:dyDescent="0.3">
      <c r="A393" s="149"/>
    </row>
    <row r="394" spans="1:24" ht="13" outlineLevel="1" x14ac:dyDescent="0.3">
      <c r="A394" s="149"/>
      <c r="B394" s="118" t="s">
        <v>282</v>
      </c>
      <c r="C394" s="118"/>
      <c r="D394" s="118"/>
      <c r="E394" s="118"/>
      <c r="F394" s="118"/>
      <c r="G394" s="118"/>
      <c r="H394" s="118"/>
      <c r="I394" s="118"/>
      <c r="J394" s="118"/>
      <c r="K394" s="118"/>
      <c r="L394" s="118"/>
      <c r="M394" s="118"/>
      <c r="N394" s="118"/>
      <c r="O394" s="118"/>
      <c r="P394" s="118"/>
      <c r="Q394" s="118"/>
      <c r="R394" s="118"/>
      <c r="S394" s="118"/>
      <c r="T394" s="118"/>
      <c r="U394" s="118"/>
    </row>
    <row r="395" spans="1:24" ht="13" outlineLevel="1" x14ac:dyDescent="0.3">
      <c r="A395" s="149"/>
    </row>
    <row r="396" spans="1:24" ht="13" outlineLevel="1" x14ac:dyDescent="0.3">
      <c r="A396" s="149"/>
      <c r="B396" s="41"/>
      <c r="C396" s="41"/>
      <c r="D396" s="41"/>
      <c r="E396" s="156">
        <v>2015</v>
      </c>
      <c r="F396" s="156">
        <f>+E396+1</f>
        <v>2016</v>
      </c>
      <c r="G396" s="156">
        <f t="shared" ref="G396" si="403">+F396+1</f>
        <v>2017</v>
      </c>
      <c r="H396" s="156">
        <f t="shared" ref="H396" si="404">+G396+1</f>
        <v>2018</v>
      </c>
      <c r="I396" s="156">
        <f t="shared" ref="I396" si="405">+H396+1</f>
        <v>2019</v>
      </c>
      <c r="J396" s="156">
        <f t="shared" ref="J396" si="406">+I396+1</f>
        <v>2020</v>
      </c>
      <c r="K396" s="156">
        <f t="shared" ref="K396" si="407">+J396+1</f>
        <v>2021</v>
      </c>
      <c r="L396" s="156">
        <f t="shared" ref="L396" si="408">+K396+1</f>
        <v>2022</v>
      </c>
      <c r="M396" s="156">
        <f t="shared" ref="M396" si="409">+L396+1</f>
        <v>2023</v>
      </c>
      <c r="N396" s="156">
        <f t="shared" ref="N396" si="410">+M396+1</f>
        <v>2024</v>
      </c>
      <c r="O396" s="157">
        <f t="shared" ref="O396" si="411">+N396+1</f>
        <v>2025</v>
      </c>
      <c r="P396" s="157">
        <f t="shared" ref="P396" si="412">+O396+1</f>
        <v>2026</v>
      </c>
      <c r="Q396" s="157">
        <f t="shared" ref="Q396" si="413">+P396+1</f>
        <v>2027</v>
      </c>
      <c r="R396" s="157">
        <f t="shared" ref="R396" si="414">+Q396+1</f>
        <v>2028</v>
      </c>
      <c r="S396" s="157">
        <f t="shared" ref="S396" si="415">+R396+1</f>
        <v>2029</v>
      </c>
      <c r="T396" s="157">
        <f t="shared" ref="T396" si="416">+S396+1</f>
        <v>2030</v>
      </c>
      <c r="U396" s="157">
        <f t="shared" ref="U396" si="417">+T396+1</f>
        <v>2031</v>
      </c>
    </row>
    <row r="397" spans="1:24" ht="13.5" outlineLevel="1" thickBot="1" x14ac:dyDescent="0.35">
      <c r="A397" s="149"/>
      <c r="B397" s="73"/>
      <c r="C397" s="73"/>
      <c r="D397" s="73"/>
      <c r="E397" s="158">
        <v>2015</v>
      </c>
      <c r="F397" s="158">
        <f>E397+1</f>
        <v>2016</v>
      </c>
      <c r="G397" s="158">
        <f t="shared" ref="G397" si="418">F397+1</f>
        <v>2017</v>
      </c>
      <c r="H397" s="158">
        <f t="shared" ref="H397" si="419">G397+1</f>
        <v>2018</v>
      </c>
      <c r="I397" s="158">
        <f t="shared" ref="I397" si="420">H397+1</f>
        <v>2019</v>
      </c>
      <c r="J397" s="158">
        <f t="shared" ref="J397" si="421">I397+1</f>
        <v>2020</v>
      </c>
      <c r="K397" s="158">
        <f t="shared" ref="K397" si="422">J397+1</f>
        <v>2021</v>
      </c>
      <c r="L397" s="158">
        <f t="shared" ref="L397" si="423">K397+1</f>
        <v>2022</v>
      </c>
      <c r="M397" s="158">
        <f t="shared" ref="M397" si="424">L397+1</f>
        <v>2023</v>
      </c>
      <c r="N397" s="158">
        <f t="shared" ref="N397" si="425">M397+1</f>
        <v>2024</v>
      </c>
      <c r="O397" s="159">
        <f t="shared" ref="O397" si="426">N397+1</f>
        <v>2025</v>
      </c>
      <c r="P397" s="159">
        <f t="shared" ref="P397" si="427">O397+1</f>
        <v>2026</v>
      </c>
      <c r="Q397" s="159">
        <f t="shared" ref="Q397" si="428">P397+1</f>
        <v>2027</v>
      </c>
      <c r="R397" s="159">
        <f t="shared" ref="R397" si="429">Q397+1</f>
        <v>2028</v>
      </c>
      <c r="S397" s="159">
        <f t="shared" ref="S397" si="430">R397+1</f>
        <v>2029</v>
      </c>
      <c r="T397" s="159">
        <f t="shared" ref="T397" si="431">S397+1</f>
        <v>2030</v>
      </c>
      <c r="U397" s="159">
        <f t="shared" ref="U397" si="432">T397+1</f>
        <v>2031</v>
      </c>
    </row>
    <row r="398" spans="1:24" ht="13" outlineLevel="1" x14ac:dyDescent="0.3">
      <c r="A398" s="149"/>
      <c r="B398" s="33" t="s">
        <v>283</v>
      </c>
      <c r="E398" s="82">
        <f t="shared" ref="E398:T398" si="433">ABS(E413/E410)</f>
        <v>0.17342505430847213</v>
      </c>
      <c r="F398" s="82">
        <f t="shared" si="433"/>
        <v>0.17227018526497201</v>
      </c>
      <c r="G398" s="82">
        <f t="shared" si="433"/>
        <v>0.15787696131336229</v>
      </c>
      <c r="H398" s="82">
        <f t="shared" si="433"/>
        <v>0.16732820687178926</v>
      </c>
      <c r="I398" s="82">
        <f t="shared" si="433"/>
        <v>0.17820190156599552</v>
      </c>
      <c r="J398" s="82">
        <f t="shared" si="433"/>
        <v>0.16976331360946745</v>
      </c>
      <c r="K398" s="82">
        <f t="shared" si="433"/>
        <v>0.16294134811788735</v>
      </c>
      <c r="L398" s="82">
        <f t="shared" si="433"/>
        <v>0.21785117832622009</v>
      </c>
      <c r="M398" s="82">
        <f t="shared" si="433"/>
        <v>0.1664246048697138</v>
      </c>
      <c r="N398" s="82">
        <f t="shared" si="433"/>
        <v>0.17304709819606562</v>
      </c>
      <c r="O398" s="82">
        <f t="shared" si="433"/>
        <v>0.16620766580708629</v>
      </c>
      <c r="P398" s="82">
        <f t="shared" si="433"/>
        <v>0.1601516496617198</v>
      </c>
      <c r="Q398" s="82">
        <f t="shared" si="433"/>
        <v>0.15358929107050184</v>
      </c>
      <c r="R398" s="82">
        <f t="shared" si="433"/>
        <v>0.14478941495502165</v>
      </c>
      <c r="S398" s="82">
        <f t="shared" si="433"/>
        <v>0.14007637333553571</v>
      </c>
      <c r="T398" s="82">
        <f t="shared" si="433"/>
        <v>0.12566312986549175</v>
      </c>
      <c r="U398" s="82">
        <f t="shared" ref="U398" si="434">ABS(U413/U410)</f>
        <v>0.12158917427451588</v>
      </c>
    </row>
    <row r="399" spans="1:24" ht="13" outlineLevel="1" x14ac:dyDescent="0.3">
      <c r="A399" s="149"/>
      <c r="B399" s="33" t="s">
        <v>284</v>
      </c>
      <c r="E399" s="65">
        <f t="shared" ref="E399:N399" si="435">ABS(E413/E$8)</f>
        <v>4.2270611335407153E-2</v>
      </c>
      <c r="F399" s="65">
        <f t="shared" si="435"/>
        <v>3.90140214273169E-2</v>
      </c>
      <c r="G399" s="65">
        <f t="shared" si="435"/>
        <v>3.8110562451664921E-2</v>
      </c>
      <c r="H399" s="65">
        <f t="shared" si="435"/>
        <v>4.3658966265019687E-2</v>
      </c>
      <c r="I399" s="65">
        <f t="shared" si="435"/>
        <v>4.8518187182366716E-2</v>
      </c>
      <c r="J399" s="65">
        <f t="shared" si="435"/>
        <v>6.9938082004777913E-2</v>
      </c>
      <c r="K399" s="65">
        <f t="shared" si="435"/>
        <v>6.4036697247706428E-2</v>
      </c>
      <c r="L399" s="65">
        <f t="shared" si="435"/>
        <v>7.5919898256127272E-2</v>
      </c>
      <c r="M399" s="65">
        <f t="shared" si="435"/>
        <v>3.7192607301053927E-2</v>
      </c>
      <c r="N399" s="65">
        <f t="shared" si="435"/>
        <v>3.7700953193910938E-2</v>
      </c>
      <c r="O399" s="552">
        <v>0.04</v>
      </c>
      <c r="P399" s="552">
        <v>0.04</v>
      </c>
      <c r="Q399" s="552">
        <v>0.04</v>
      </c>
      <c r="R399" s="552">
        <v>0.04</v>
      </c>
      <c r="S399" s="552">
        <v>0.04</v>
      </c>
      <c r="T399" s="552">
        <v>0.04</v>
      </c>
      <c r="U399" s="552">
        <v>0.04</v>
      </c>
      <c r="V399"/>
      <c r="W399"/>
      <c r="X399"/>
    </row>
    <row r="400" spans="1:24" ht="13" outlineLevel="1" x14ac:dyDescent="0.3">
      <c r="A400" s="149"/>
      <c r="H400" s="76"/>
      <c r="J400" s="82"/>
      <c r="K400" s="82"/>
      <c r="L400" s="82"/>
      <c r="M400" s="82"/>
      <c r="N400" s="82"/>
      <c r="O400" s="76"/>
      <c r="P400" s="76"/>
      <c r="Q400" s="76"/>
      <c r="R400" s="76"/>
      <c r="S400" s="76"/>
      <c r="T400" s="76"/>
      <c r="V400"/>
      <c r="W400"/>
      <c r="X400"/>
    </row>
    <row r="401" spans="1:24" ht="13" outlineLevel="1" x14ac:dyDescent="0.3">
      <c r="A401" s="149"/>
      <c r="B401" s="33" t="s">
        <v>285</v>
      </c>
      <c r="E401" s="195">
        <f t="shared" ref="E401:T401" si="436">E$8/AVERAGE(E410,E415)</f>
        <v>4.0800216031324545</v>
      </c>
      <c r="F401" s="195">
        <f t="shared" si="436"/>
        <v>4.1672833733176109</v>
      </c>
      <c r="G401" s="195">
        <f t="shared" si="436"/>
        <v>4.1352706888921666</v>
      </c>
      <c r="H401" s="195">
        <f t="shared" si="436"/>
        <v>3.8244298875538578</v>
      </c>
      <c r="I401" s="195">
        <f t="shared" si="436"/>
        <v>3.3673247019612869</v>
      </c>
      <c r="J401" s="195">
        <f t="shared" si="436"/>
        <v>2.4105773468488323</v>
      </c>
      <c r="K401" s="195">
        <f t="shared" si="436"/>
        <v>2.6184613536724521</v>
      </c>
      <c r="L401" s="195">
        <f t="shared" si="436"/>
        <v>3.3288605051664755</v>
      </c>
      <c r="M401" s="195">
        <f t="shared" si="436"/>
        <v>4.3726832526298205</v>
      </c>
      <c r="N401" s="195">
        <f t="shared" si="436"/>
        <v>4.3069852941176476</v>
      </c>
      <c r="O401" s="195">
        <f t="shared" si="436"/>
        <v>3.9860670558366924</v>
      </c>
      <c r="P401" s="195">
        <f t="shared" si="436"/>
        <v>3.8483249392741419</v>
      </c>
      <c r="Q401" s="195">
        <f t="shared" si="436"/>
        <v>3.6935312582363555</v>
      </c>
      <c r="R401" s="195">
        <f t="shared" si="436"/>
        <v>3.4884543190974111</v>
      </c>
      <c r="S401" s="195">
        <f t="shared" si="436"/>
        <v>3.3773710717293084</v>
      </c>
      <c r="T401" s="195">
        <f t="shared" si="436"/>
        <v>3.0386093861196475</v>
      </c>
      <c r="U401" s="195">
        <f t="shared" ref="U401" si="437">U$8/AVERAGE(U410,U415)</f>
        <v>2.943198422769465</v>
      </c>
      <c r="V401"/>
      <c r="W401"/>
      <c r="X401"/>
    </row>
    <row r="402" spans="1:24" ht="13" outlineLevel="1" x14ac:dyDescent="0.3">
      <c r="A402" s="149"/>
      <c r="B402" s="33" t="s">
        <v>286</v>
      </c>
      <c r="E402" s="65">
        <f t="shared" ref="E402:T402" si="438">ABS(E417/E410)</f>
        <v>0.22230267921795799</v>
      </c>
      <c r="F402" s="65">
        <f t="shared" si="438"/>
        <v>0.24885825075398535</v>
      </c>
      <c r="G402" s="65">
        <f t="shared" si="438"/>
        <v>0.21811733412147186</v>
      </c>
      <c r="H402" s="65">
        <f t="shared" si="438"/>
        <v>0.22607596714175385</v>
      </c>
      <c r="I402" s="65">
        <f t="shared" si="438"/>
        <v>0.29138702460850113</v>
      </c>
      <c r="J402" s="65">
        <f t="shared" si="438"/>
        <v>0.211301775147929</v>
      </c>
      <c r="K402" s="65">
        <f t="shared" si="438"/>
        <v>0.10131310183834258</v>
      </c>
      <c r="L402" s="65">
        <f t="shared" si="438"/>
        <v>0.10076080905548339</v>
      </c>
      <c r="M402" s="65">
        <f t="shared" si="438"/>
        <v>0.19333618111917983</v>
      </c>
      <c r="N402" s="65">
        <f t="shared" si="438"/>
        <v>0.2100236715370174</v>
      </c>
      <c r="O402" s="65">
        <f t="shared" si="438"/>
        <v>0.22853554048474362</v>
      </c>
      <c r="P402" s="65">
        <f t="shared" si="438"/>
        <v>0.22020851828486471</v>
      </c>
      <c r="Q402" s="65">
        <f t="shared" si="438"/>
        <v>0.21118527522194003</v>
      </c>
      <c r="R402" s="65">
        <f t="shared" si="438"/>
        <v>0.19908544556315474</v>
      </c>
      <c r="S402" s="65">
        <f t="shared" si="438"/>
        <v>0.1926050133363616</v>
      </c>
      <c r="T402" s="65">
        <f t="shared" si="438"/>
        <v>0.17278680356505116</v>
      </c>
      <c r="U402" s="65">
        <f t="shared" ref="U402" si="439">ABS(U417/U410)</f>
        <v>0.16718511462745933</v>
      </c>
      <c r="V402"/>
      <c r="W402"/>
      <c r="X402"/>
    </row>
    <row r="403" spans="1:24" ht="13" outlineLevel="1" x14ac:dyDescent="0.3">
      <c r="A403" s="149"/>
      <c r="B403" s="33" t="s">
        <v>287</v>
      </c>
      <c r="E403" s="65">
        <f t="shared" ref="E403:N403" si="440">ABS(E417/E$8)</f>
        <v>5.4184040417411254E-2</v>
      </c>
      <c r="F403" s="65">
        <f t="shared" si="440"/>
        <v>5.6358917315535779E-2</v>
      </c>
      <c r="G403" s="65">
        <f t="shared" si="440"/>
        <v>5.2652231298826388E-2</v>
      </c>
      <c r="H403" s="65">
        <f t="shared" si="440"/>
        <v>5.8987323221220786E-2</v>
      </c>
      <c r="I403" s="65">
        <f t="shared" si="440"/>
        <v>7.9334564211888767E-2</v>
      </c>
      <c r="J403" s="65">
        <f t="shared" si="440"/>
        <v>8.70508507630052E-2</v>
      </c>
      <c r="K403" s="65">
        <f t="shared" si="440"/>
        <v>3.9816513761467887E-2</v>
      </c>
      <c r="L403" s="65">
        <f t="shared" si="440"/>
        <v>3.5114569636351879E-2</v>
      </c>
      <c r="M403" s="65">
        <f t="shared" si="440"/>
        <v>4.3206812280433798E-2</v>
      </c>
      <c r="N403" s="65">
        <f t="shared" si="440"/>
        <v>4.5756864418836245E-2</v>
      </c>
      <c r="O403" s="65">
        <f>SUM(O399,O404)</f>
        <v>5.5E-2</v>
      </c>
      <c r="P403" s="65">
        <f t="shared" ref="P403:T403" si="441">SUM(P399,P404)</f>
        <v>5.5E-2</v>
      </c>
      <c r="Q403" s="65">
        <f t="shared" si="441"/>
        <v>5.5E-2</v>
      </c>
      <c r="R403" s="65">
        <f t="shared" si="441"/>
        <v>5.5E-2</v>
      </c>
      <c r="S403" s="65">
        <f t="shared" si="441"/>
        <v>5.5E-2</v>
      </c>
      <c r="T403" s="65">
        <f t="shared" si="441"/>
        <v>5.5E-2</v>
      </c>
      <c r="U403" s="65">
        <f t="shared" ref="U403" si="442">SUM(U399,U404)</f>
        <v>5.5E-2</v>
      </c>
      <c r="V403"/>
      <c r="W403"/>
      <c r="X403"/>
    </row>
    <row r="404" spans="1:24" ht="13" outlineLevel="1" x14ac:dyDescent="0.3">
      <c r="A404" s="149"/>
      <c r="B404" s="33" t="s">
        <v>288</v>
      </c>
      <c r="E404" s="65">
        <f t="shared" ref="E404:N404" si="443">ABS(SUM(E411:E413)/E$8)</f>
        <v>1.1913429082004103E-2</v>
      </c>
      <c r="F404" s="65">
        <f t="shared" si="443"/>
        <v>1.7344895888218879E-2</v>
      </c>
      <c r="G404" s="65">
        <f t="shared" si="443"/>
        <v>1.4541668847161467E-2</v>
      </c>
      <c r="H404" s="65">
        <f t="shared" si="443"/>
        <v>1.5328356956201099E-2</v>
      </c>
      <c r="I404" s="65">
        <f t="shared" si="443"/>
        <v>3.081637702952205E-2</v>
      </c>
      <c r="J404" s="65">
        <f t="shared" si="443"/>
        <v>1.711276875822729E-2</v>
      </c>
      <c r="K404" s="65">
        <f t="shared" si="443"/>
        <v>2.4220183486238531E-2</v>
      </c>
      <c r="L404" s="65">
        <f t="shared" si="443"/>
        <v>4.0805328619775386E-2</v>
      </c>
      <c r="M404" s="65">
        <f t="shared" si="443"/>
        <v>6.0142049793798702E-3</v>
      </c>
      <c r="N404" s="65">
        <f t="shared" si="443"/>
        <v>8.0559112249253082E-3</v>
      </c>
      <c r="O404" s="552">
        <v>1.4999999999999999E-2</v>
      </c>
      <c r="P404" s="552">
        <v>1.4999999999999999E-2</v>
      </c>
      <c r="Q404" s="552">
        <v>1.4999999999999999E-2</v>
      </c>
      <c r="R404" s="552">
        <v>1.4999999999999999E-2</v>
      </c>
      <c r="S404" s="552">
        <v>1.4999999999999999E-2</v>
      </c>
      <c r="T404" s="552">
        <v>1.4999999999999999E-2</v>
      </c>
      <c r="U404" s="552">
        <v>1.4999999999999999E-2</v>
      </c>
      <c r="V404"/>
      <c r="W404"/>
      <c r="X404"/>
    </row>
    <row r="405" spans="1:24" ht="13" outlineLevel="1" x14ac:dyDescent="0.3">
      <c r="A405" s="149"/>
      <c r="J405" s="76"/>
    </row>
    <row r="406" spans="1:24" ht="13" outlineLevel="1" x14ac:dyDescent="0.3">
      <c r="A406" s="149"/>
      <c r="B406" s="118" t="s">
        <v>229</v>
      </c>
      <c r="C406" s="118"/>
      <c r="D406" s="118"/>
      <c r="E406" s="118"/>
      <c r="F406" s="118"/>
      <c r="G406" s="118"/>
      <c r="H406" s="118"/>
      <c r="I406" s="118"/>
      <c r="J406" s="118"/>
      <c r="K406" s="118"/>
      <c r="L406" s="118"/>
      <c r="M406" s="118"/>
      <c r="N406" s="118"/>
      <c r="O406" s="118"/>
      <c r="P406" s="118"/>
      <c r="Q406" s="118"/>
      <c r="R406" s="118"/>
      <c r="S406" s="118"/>
      <c r="T406" s="118"/>
      <c r="U406" s="118"/>
    </row>
    <row r="407" spans="1:24" ht="13" outlineLevel="1" x14ac:dyDescent="0.3">
      <c r="A407" s="149"/>
    </row>
    <row r="408" spans="1:24" ht="13" outlineLevel="1" x14ac:dyDescent="0.3">
      <c r="A408" s="149"/>
      <c r="B408" s="41"/>
      <c r="C408" s="41"/>
      <c r="D408" s="41"/>
      <c r="E408" s="156">
        <v>2015</v>
      </c>
      <c r="F408" s="156">
        <f t="shared" ref="F408:T408" si="444">+E408+1</f>
        <v>2016</v>
      </c>
      <c r="G408" s="156">
        <f t="shared" si="444"/>
        <v>2017</v>
      </c>
      <c r="H408" s="156">
        <f t="shared" si="444"/>
        <v>2018</v>
      </c>
      <c r="I408" s="156">
        <f t="shared" si="444"/>
        <v>2019</v>
      </c>
      <c r="J408" s="156">
        <f t="shared" si="444"/>
        <v>2020</v>
      </c>
      <c r="K408" s="156">
        <f t="shared" si="444"/>
        <v>2021</v>
      </c>
      <c r="L408" s="156">
        <f t="shared" si="444"/>
        <v>2022</v>
      </c>
      <c r="M408" s="156">
        <f t="shared" si="444"/>
        <v>2023</v>
      </c>
      <c r="N408" s="156">
        <f t="shared" si="444"/>
        <v>2024</v>
      </c>
      <c r="O408" s="157">
        <f t="shared" si="444"/>
        <v>2025</v>
      </c>
      <c r="P408" s="157">
        <f t="shared" si="444"/>
        <v>2026</v>
      </c>
      <c r="Q408" s="157">
        <f t="shared" si="444"/>
        <v>2027</v>
      </c>
      <c r="R408" s="157">
        <f t="shared" si="444"/>
        <v>2028</v>
      </c>
      <c r="S408" s="157">
        <f t="shared" si="444"/>
        <v>2029</v>
      </c>
      <c r="T408" s="157">
        <f t="shared" si="444"/>
        <v>2030</v>
      </c>
      <c r="U408" s="157">
        <f t="shared" ref="U408" si="445">+T408+1</f>
        <v>2031</v>
      </c>
    </row>
    <row r="409" spans="1:24" ht="13.5" outlineLevel="1" thickBot="1" x14ac:dyDescent="0.35">
      <c r="A409" s="149"/>
      <c r="B409" s="73"/>
      <c r="C409" s="73"/>
      <c r="D409" s="73"/>
      <c r="E409" s="158">
        <v>2015</v>
      </c>
      <c r="F409" s="158">
        <f t="shared" ref="F409:T409" si="446">E409+1</f>
        <v>2016</v>
      </c>
      <c r="G409" s="158">
        <f t="shared" si="446"/>
        <v>2017</v>
      </c>
      <c r="H409" s="158">
        <f t="shared" si="446"/>
        <v>2018</v>
      </c>
      <c r="I409" s="158">
        <f t="shared" si="446"/>
        <v>2019</v>
      </c>
      <c r="J409" s="158">
        <f t="shared" si="446"/>
        <v>2020</v>
      </c>
      <c r="K409" s="158">
        <f t="shared" si="446"/>
        <v>2021</v>
      </c>
      <c r="L409" s="158">
        <f t="shared" si="446"/>
        <v>2022</v>
      </c>
      <c r="M409" s="158">
        <f t="shared" si="446"/>
        <v>2023</v>
      </c>
      <c r="N409" s="158">
        <f t="shared" si="446"/>
        <v>2024</v>
      </c>
      <c r="O409" s="159">
        <f t="shared" si="446"/>
        <v>2025</v>
      </c>
      <c r="P409" s="159">
        <f t="shared" si="446"/>
        <v>2026</v>
      </c>
      <c r="Q409" s="159">
        <f t="shared" si="446"/>
        <v>2027</v>
      </c>
      <c r="R409" s="159">
        <f t="shared" si="446"/>
        <v>2028</v>
      </c>
      <c r="S409" s="159">
        <f t="shared" si="446"/>
        <v>2029</v>
      </c>
      <c r="T409" s="159">
        <f t="shared" si="446"/>
        <v>2030</v>
      </c>
      <c r="U409" s="159">
        <f t="shared" ref="U409" si="447">T409+1</f>
        <v>2031</v>
      </c>
    </row>
    <row r="410" spans="1:24" ht="13" outlineLevel="1" x14ac:dyDescent="0.3">
      <c r="A410" s="149"/>
      <c r="B410" s="33" t="s">
        <v>230</v>
      </c>
      <c r="E410" s="50">
        <f t="shared" ref="E410:N410" si="448">E276</f>
        <v>11048</v>
      </c>
      <c r="F410" s="50">
        <f t="shared" si="448"/>
        <v>11605</v>
      </c>
      <c r="G410" s="50">
        <f t="shared" si="448"/>
        <v>13534</v>
      </c>
      <c r="H410" s="50">
        <f t="shared" si="448"/>
        <v>14243</v>
      </c>
      <c r="I410" s="50">
        <f t="shared" si="448"/>
        <v>14304</v>
      </c>
      <c r="J410" s="50">
        <f t="shared" si="448"/>
        <v>16900</v>
      </c>
      <c r="K410" s="50">
        <f t="shared" si="448"/>
        <v>17135</v>
      </c>
      <c r="L410" s="50">
        <f t="shared" si="448"/>
        <v>16167</v>
      </c>
      <c r="M410" s="50">
        <f t="shared" si="448"/>
        <v>11705</v>
      </c>
      <c r="N410" s="50">
        <f t="shared" si="448"/>
        <v>12251</v>
      </c>
      <c r="O410" s="50">
        <f t="shared" ref="O410:T410" si="449">N415</f>
        <v>13861</v>
      </c>
      <c r="P410" s="50">
        <f t="shared" si="449"/>
        <v>15037.21500090701</v>
      </c>
      <c r="Q410" s="50">
        <f t="shared" si="449"/>
        <v>16252.17488579328</v>
      </c>
      <c r="R410" s="50">
        <f t="shared" si="449"/>
        <v>17538.794305228392</v>
      </c>
      <c r="S410" s="50">
        <f t="shared" si="449"/>
        <v>18858.869734235464</v>
      </c>
      <c r="T410" s="50">
        <f t="shared" si="449"/>
        <v>20249.685729088069</v>
      </c>
      <c r="U410" s="50">
        <f t="shared" ref="U410" si="450">T415</f>
        <v>21622.08132220991</v>
      </c>
    </row>
    <row r="411" spans="1:24" ht="13" outlineLevel="1" x14ac:dyDescent="0.3">
      <c r="A411" s="149"/>
      <c r="B411" s="33" t="s">
        <v>231</v>
      </c>
      <c r="E411" s="50">
        <f t="shared" ref="E411:N411" si="451">E277</f>
        <v>2876</v>
      </c>
      <c r="F411" s="50">
        <f t="shared" si="451"/>
        <v>3273</v>
      </c>
      <c r="G411" s="50">
        <f t="shared" si="451"/>
        <v>3237</v>
      </c>
      <c r="H411" s="50">
        <f t="shared" si="451"/>
        <v>4029</v>
      </c>
      <c r="I411" s="50">
        <f t="shared" si="451"/>
        <v>4904</v>
      </c>
      <c r="J411" s="50">
        <f t="shared" si="451"/>
        <v>4567</v>
      </c>
      <c r="K411" s="50">
        <f t="shared" si="451"/>
        <v>3045</v>
      </c>
      <c r="L411" s="50">
        <f t="shared" si="451"/>
        <v>2794</v>
      </c>
      <c r="M411" s="50">
        <f t="shared" si="451"/>
        <v>3293</v>
      </c>
      <c r="N411" s="50">
        <f t="shared" si="451"/>
        <v>3412</v>
      </c>
      <c r="O411" s="50">
        <f>O$8*O403</f>
        <v>3167.7311266590314</v>
      </c>
      <c r="P411" s="50">
        <f t="shared" ref="P411:T411" si="452">P$8*P403</f>
        <v>3311.322834480673</v>
      </c>
      <c r="Q411" s="50">
        <f t="shared" si="452"/>
        <v>3432.2200262113556</v>
      </c>
      <c r="R411" s="50">
        <f t="shared" si="452"/>
        <v>3491.7186788969152</v>
      </c>
      <c r="S411" s="50">
        <f t="shared" si="452"/>
        <v>3632.3128566711275</v>
      </c>
      <c r="T411" s="50">
        <f t="shared" si="452"/>
        <v>3498.8784703259598</v>
      </c>
      <c r="U411" s="50">
        <f t="shared" ref="U411" si="453">U$8*U403</f>
        <v>3614.8901443379109</v>
      </c>
    </row>
    <row r="412" spans="1:24" ht="13" outlineLevel="1" x14ac:dyDescent="0.3">
      <c r="A412" s="149"/>
      <c r="B412" s="33" t="s">
        <v>232</v>
      </c>
      <c r="E412" s="50">
        <f t="shared" ref="E412:N412" si="454">E278</f>
        <v>-420</v>
      </c>
      <c r="F412" s="50">
        <f t="shared" si="454"/>
        <v>-385</v>
      </c>
      <c r="G412" s="50">
        <f t="shared" si="454"/>
        <v>-285</v>
      </c>
      <c r="H412" s="50">
        <f t="shared" si="454"/>
        <v>-809</v>
      </c>
      <c r="I412" s="50">
        <f t="shared" si="454"/>
        <v>-736</v>
      </c>
      <c r="J412" s="50">
        <f t="shared" si="454"/>
        <v>-996</v>
      </c>
      <c r="K412" s="50">
        <f t="shared" si="454"/>
        <v>-1309</v>
      </c>
      <c r="L412" s="50">
        <f t="shared" si="454"/>
        <v>-1165</v>
      </c>
      <c r="M412" s="50">
        <f t="shared" si="454"/>
        <v>-1030</v>
      </c>
      <c r="N412" s="50">
        <f t="shared" si="454"/>
        <v>-839</v>
      </c>
      <c r="O412" s="196">
        <v>0</v>
      </c>
      <c r="P412" s="196">
        <v>0</v>
      </c>
      <c r="Q412" s="196">
        <v>0</v>
      </c>
      <c r="R412" s="196">
        <v>0</v>
      </c>
      <c r="S412" s="196">
        <v>0</v>
      </c>
      <c r="T412" s="196">
        <v>0</v>
      </c>
      <c r="U412" s="196">
        <v>0</v>
      </c>
    </row>
    <row r="413" spans="1:24" ht="13" outlineLevel="1" x14ac:dyDescent="0.3">
      <c r="A413" s="149"/>
      <c r="B413" s="33" t="s">
        <v>233</v>
      </c>
      <c r="E413" s="50">
        <f t="shared" ref="E413:N413" si="455">E279</f>
        <v>-1916</v>
      </c>
      <c r="F413" s="50">
        <f t="shared" si="455"/>
        <v>-1999.1955</v>
      </c>
      <c r="G413" s="50">
        <f t="shared" si="455"/>
        <v>-2136.7067944150454</v>
      </c>
      <c r="H413" s="50">
        <f t="shared" si="455"/>
        <v>-2383.2556504748945</v>
      </c>
      <c r="I413" s="50">
        <f t="shared" si="455"/>
        <v>-2549</v>
      </c>
      <c r="J413" s="50">
        <f t="shared" si="455"/>
        <v>-2869</v>
      </c>
      <c r="K413" s="50">
        <f t="shared" si="455"/>
        <v>-2792</v>
      </c>
      <c r="L413" s="50">
        <f t="shared" si="455"/>
        <v>-3522</v>
      </c>
      <c r="M413" s="50">
        <f t="shared" si="455"/>
        <v>-1948</v>
      </c>
      <c r="N413" s="50">
        <f t="shared" si="455"/>
        <v>-2120</v>
      </c>
      <c r="O413" s="50">
        <f t="shared" ref="O413:T413" si="456">-O$8*O399</f>
        <v>-2303.8044557520229</v>
      </c>
      <c r="P413" s="50">
        <f t="shared" si="456"/>
        <v>-2408.2347887132169</v>
      </c>
      <c r="Q413" s="50">
        <f t="shared" si="456"/>
        <v>-2496.1600190628042</v>
      </c>
      <c r="R413" s="50">
        <f t="shared" si="456"/>
        <v>-2539.431766470484</v>
      </c>
      <c r="S413" s="50">
        <f t="shared" si="456"/>
        <v>-2641.682077579002</v>
      </c>
      <c r="T413" s="50">
        <f t="shared" si="456"/>
        <v>-2544.6388875097891</v>
      </c>
      <c r="U413" s="50">
        <f t="shared" ref="U413" si="457">-U$8*U399</f>
        <v>-2629.0110140639354</v>
      </c>
    </row>
    <row r="414" spans="1:24" ht="13" outlineLevel="1" x14ac:dyDescent="0.3">
      <c r="A414" s="149"/>
      <c r="B414" s="33" t="s">
        <v>234</v>
      </c>
      <c r="E414" s="50">
        <f t="shared" ref="E414:N414" si="458">E280</f>
        <v>-417</v>
      </c>
      <c r="F414" s="50">
        <f t="shared" si="458"/>
        <v>494.19549999999981</v>
      </c>
      <c r="G414" s="50">
        <f t="shared" si="458"/>
        <v>-767.29320558495419</v>
      </c>
      <c r="H414" s="50">
        <f t="shared" si="458"/>
        <v>-775.74434952510637</v>
      </c>
      <c r="I414" s="50">
        <f t="shared" si="458"/>
        <v>977</v>
      </c>
      <c r="J414" s="50">
        <f t="shared" si="458"/>
        <v>-467</v>
      </c>
      <c r="K414" s="50">
        <f t="shared" si="458"/>
        <v>88</v>
      </c>
      <c r="L414" s="50">
        <f t="shared" si="458"/>
        <v>-2569</v>
      </c>
      <c r="M414" s="50">
        <f t="shared" si="458"/>
        <v>231</v>
      </c>
      <c r="N414" s="50">
        <f t="shared" si="458"/>
        <v>1157</v>
      </c>
      <c r="O414" s="50">
        <f>O410*Macro!O$6</f>
        <v>312.28833000000003</v>
      </c>
      <c r="P414" s="50">
        <f>P410*Macro!P$6</f>
        <v>311.87183911881135</v>
      </c>
      <c r="Q414" s="50">
        <f>Q410*Macro!Q$6</f>
        <v>350.55941228656104</v>
      </c>
      <c r="R414" s="50">
        <f>R410*Macro!R$6</f>
        <v>367.78851658063934</v>
      </c>
      <c r="S414" s="50">
        <f>S410*Macro!S$6</f>
        <v>400.18521576047652</v>
      </c>
      <c r="T414" s="50">
        <f>T410*Macro!T$6</f>
        <v>418.15601030566859</v>
      </c>
      <c r="U414" s="50">
        <f>U410*Macro!U$6</f>
        <v>432.44162644419822</v>
      </c>
    </row>
    <row r="415" spans="1:24" ht="13" outlineLevel="1" x14ac:dyDescent="0.3">
      <c r="A415" s="149"/>
      <c r="B415" s="33" t="s">
        <v>235</v>
      </c>
      <c r="E415" s="50">
        <f t="shared" ref="E415:N415" si="459">E281</f>
        <v>11171</v>
      </c>
      <c r="F415" s="50">
        <f t="shared" si="459"/>
        <v>12988</v>
      </c>
      <c r="G415" s="50">
        <f t="shared" si="459"/>
        <v>13582</v>
      </c>
      <c r="H415" s="50">
        <f t="shared" si="459"/>
        <v>14304</v>
      </c>
      <c r="I415" s="50">
        <f t="shared" si="459"/>
        <v>16900</v>
      </c>
      <c r="J415" s="50">
        <f t="shared" si="459"/>
        <v>17135</v>
      </c>
      <c r="K415" s="50">
        <f t="shared" si="459"/>
        <v>16167</v>
      </c>
      <c r="L415" s="50">
        <f t="shared" si="459"/>
        <v>11705</v>
      </c>
      <c r="M415" s="50">
        <f t="shared" si="459"/>
        <v>12251</v>
      </c>
      <c r="N415" s="50">
        <f t="shared" si="459"/>
        <v>13861</v>
      </c>
      <c r="O415" s="50">
        <f t="shared" ref="O415:T415" si="460">SUM(O410:O414)</f>
        <v>15037.21500090701</v>
      </c>
      <c r="P415" s="50">
        <f t="shared" si="460"/>
        <v>16252.17488579328</v>
      </c>
      <c r="Q415" s="50">
        <f t="shared" si="460"/>
        <v>17538.794305228392</v>
      </c>
      <c r="R415" s="50">
        <f t="shared" si="460"/>
        <v>18858.869734235464</v>
      </c>
      <c r="S415" s="50">
        <f t="shared" si="460"/>
        <v>20249.685729088069</v>
      </c>
      <c r="T415" s="50">
        <f t="shared" si="460"/>
        <v>21622.08132220991</v>
      </c>
      <c r="U415" s="50">
        <f t="shared" ref="U415" si="461">SUM(U410:U414)</f>
        <v>23040.402078928084</v>
      </c>
    </row>
    <row r="416" spans="1:24" ht="13" outlineLevel="1" x14ac:dyDescent="0.3">
      <c r="A416" s="149"/>
      <c r="E416" s="50"/>
      <c r="F416" s="50"/>
      <c r="G416" s="50"/>
      <c r="H416" s="50"/>
      <c r="I416" s="50"/>
      <c r="J416" s="50"/>
      <c r="K416" s="50"/>
      <c r="L416" s="50"/>
      <c r="M416" s="50"/>
      <c r="N416" s="50"/>
    </row>
    <row r="417" spans="1:22" ht="13" outlineLevel="1" x14ac:dyDescent="0.3">
      <c r="A417" s="149"/>
      <c r="B417" s="33" t="s">
        <v>236</v>
      </c>
      <c r="E417" s="50">
        <f t="shared" ref="E417:N417" si="462">E283</f>
        <v>2456</v>
      </c>
      <c r="F417" s="50">
        <f t="shared" si="462"/>
        <v>2888</v>
      </c>
      <c r="G417" s="50">
        <f t="shared" si="462"/>
        <v>2952</v>
      </c>
      <c r="H417" s="50">
        <f t="shared" si="462"/>
        <v>3220</v>
      </c>
      <c r="I417" s="50">
        <f t="shared" si="462"/>
        <v>4168</v>
      </c>
      <c r="J417" s="50">
        <f t="shared" si="462"/>
        <v>3571</v>
      </c>
      <c r="K417" s="50">
        <f t="shared" si="462"/>
        <v>1736</v>
      </c>
      <c r="L417" s="50">
        <f t="shared" si="462"/>
        <v>1629</v>
      </c>
      <c r="M417" s="50">
        <f t="shared" si="462"/>
        <v>2263</v>
      </c>
      <c r="N417" s="50">
        <f t="shared" si="462"/>
        <v>2573</v>
      </c>
      <c r="O417" s="50">
        <f t="shared" ref="O417:T417" si="463">SUM(O411:O412)</f>
        <v>3167.7311266590314</v>
      </c>
      <c r="P417" s="50">
        <f t="shared" si="463"/>
        <v>3311.322834480673</v>
      </c>
      <c r="Q417" s="50">
        <f t="shared" si="463"/>
        <v>3432.2200262113556</v>
      </c>
      <c r="R417" s="50">
        <f t="shared" si="463"/>
        <v>3491.7186788969152</v>
      </c>
      <c r="S417" s="50">
        <f t="shared" si="463"/>
        <v>3632.3128566711275</v>
      </c>
      <c r="T417" s="50">
        <f t="shared" si="463"/>
        <v>3498.8784703259598</v>
      </c>
      <c r="U417" s="50">
        <f t="shared" ref="U417" si="464">SUM(U411:U412)</f>
        <v>3614.8901443379109</v>
      </c>
    </row>
    <row r="418" spans="1:22" ht="13" outlineLevel="1" x14ac:dyDescent="0.3">
      <c r="A418" s="149"/>
      <c r="E418" s="50"/>
    </row>
    <row r="419" spans="1:22" ht="13" outlineLevel="1" x14ac:dyDescent="0.3">
      <c r="A419" s="149"/>
      <c r="B419" s="118" t="s">
        <v>289</v>
      </c>
      <c r="C419" s="118"/>
      <c r="D419" s="118"/>
      <c r="E419" s="118"/>
      <c r="F419" s="118"/>
      <c r="G419" s="118"/>
      <c r="H419" s="118"/>
      <c r="I419" s="118"/>
      <c r="J419" s="118"/>
      <c r="K419" s="118"/>
      <c r="L419" s="118"/>
      <c r="M419" s="118"/>
      <c r="N419" s="118"/>
      <c r="O419" s="118"/>
      <c r="P419" s="118"/>
      <c r="Q419" s="118"/>
      <c r="R419" s="118"/>
      <c r="S419" s="118"/>
      <c r="T419" s="118"/>
      <c r="U419" s="118"/>
    </row>
    <row r="420" spans="1:22" ht="13" outlineLevel="1" x14ac:dyDescent="0.3">
      <c r="A420" s="149"/>
    </row>
    <row r="421" spans="1:22" ht="13" outlineLevel="1" x14ac:dyDescent="0.3">
      <c r="A421" s="149"/>
      <c r="B421" s="41"/>
      <c r="C421" s="41"/>
      <c r="D421" s="41"/>
      <c r="E421" s="156">
        <v>2015</v>
      </c>
      <c r="F421" s="156">
        <f t="shared" ref="F421:T421" si="465">+E421+1</f>
        <v>2016</v>
      </c>
      <c r="G421" s="156">
        <f t="shared" si="465"/>
        <v>2017</v>
      </c>
      <c r="H421" s="156">
        <f t="shared" si="465"/>
        <v>2018</v>
      </c>
      <c r="I421" s="156">
        <f t="shared" si="465"/>
        <v>2019</v>
      </c>
      <c r="J421" s="156">
        <f t="shared" si="465"/>
        <v>2020</v>
      </c>
      <c r="K421" s="156">
        <f t="shared" si="465"/>
        <v>2021</v>
      </c>
      <c r="L421" s="156">
        <f t="shared" si="465"/>
        <v>2022</v>
      </c>
      <c r="M421" s="156">
        <f t="shared" si="465"/>
        <v>2023</v>
      </c>
      <c r="N421" s="156">
        <f t="shared" si="465"/>
        <v>2024</v>
      </c>
      <c r="O421" s="157">
        <f t="shared" si="465"/>
        <v>2025</v>
      </c>
      <c r="P421" s="157">
        <f t="shared" si="465"/>
        <v>2026</v>
      </c>
      <c r="Q421" s="157">
        <f t="shared" si="465"/>
        <v>2027</v>
      </c>
      <c r="R421" s="157">
        <f t="shared" si="465"/>
        <v>2028</v>
      </c>
      <c r="S421" s="157">
        <f t="shared" si="465"/>
        <v>2029</v>
      </c>
      <c r="T421" s="157">
        <f t="shared" si="465"/>
        <v>2030</v>
      </c>
      <c r="U421" s="157">
        <f t="shared" ref="U421" si="466">+T421+1</f>
        <v>2031</v>
      </c>
    </row>
    <row r="422" spans="1:22" ht="13.5" outlineLevel="1" thickBot="1" x14ac:dyDescent="0.35">
      <c r="A422" s="149"/>
      <c r="B422" s="73"/>
      <c r="C422" s="73"/>
      <c r="D422" s="73"/>
      <c r="E422" s="158">
        <v>2015</v>
      </c>
      <c r="F422" s="158">
        <f t="shared" ref="F422:T422" si="467">E422+1</f>
        <v>2016</v>
      </c>
      <c r="G422" s="158">
        <f t="shared" si="467"/>
        <v>2017</v>
      </c>
      <c r="H422" s="158">
        <f t="shared" si="467"/>
        <v>2018</v>
      </c>
      <c r="I422" s="158">
        <f t="shared" si="467"/>
        <v>2019</v>
      </c>
      <c r="J422" s="158">
        <f t="shared" si="467"/>
        <v>2020</v>
      </c>
      <c r="K422" s="158">
        <f t="shared" si="467"/>
        <v>2021</v>
      </c>
      <c r="L422" s="158">
        <f t="shared" si="467"/>
        <v>2022</v>
      </c>
      <c r="M422" s="158">
        <f t="shared" si="467"/>
        <v>2023</v>
      </c>
      <c r="N422" s="158">
        <f t="shared" si="467"/>
        <v>2024</v>
      </c>
      <c r="O422" s="159">
        <f t="shared" si="467"/>
        <v>2025</v>
      </c>
      <c r="P422" s="159">
        <f t="shared" si="467"/>
        <v>2026</v>
      </c>
      <c r="Q422" s="159">
        <f t="shared" si="467"/>
        <v>2027</v>
      </c>
      <c r="R422" s="159">
        <f t="shared" si="467"/>
        <v>2028</v>
      </c>
      <c r="S422" s="159">
        <f t="shared" si="467"/>
        <v>2029</v>
      </c>
      <c r="T422" s="159">
        <f t="shared" si="467"/>
        <v>2030</v>
      </c>
      <c r="U422" s="159">
        <f t="shared" ref="U422" si="468">T422+1</f>
        <v>2031</v>
      </c>
    </row>
    <row r="423" spans="1:22" ht="13" outlineLevel="1" x14ac:dyDescent="0.3">
      <c r="A423" s="149"/>
      <c r="B423" s="33" t="s">
        <v>290</v>
      </c>
      <c r="E423" s="65">
        <f t="shared" ref="E423:U423" si="469">ABS(E440/E437)</f>
        <v>0.2358408364798141</v>
      </c>
      <c r="F423" s="65">
        <f t="shared" si="469"/>
        <v>0.24565826330532212</v>
      </c>
      <c r="G423" s="65">
        <f t="shared" si="469"/>
        <v>0.18147680570432445</v>
      </c>
      <c r="H423" s="65">
        <f t="shared" si="469"/>
        <v>0.16551215970274424</v>
      </c>
      <c r="I423" s="65">
        <f t="shared" si="469"/>
        <v>0.19274591753309528</v>
      </c>
      <c r="J423" s="65">
        <f t="shared" si="469"/>
        <v>0.27054252410418766</v>
      </c>
      <c r="K423" s="65">
        <f t="shared" si="469"/>
        <v>0.19741610209547819</v>
      </c>
      <c r="L423" s="65">
        <f t="shared" si="469"/>
        <v>0.35557986870897157</v>
      </c>
      <c r="M423" s="65">
        <f t="shared" si="469"/>
        <v>0.26319148936170211</v>
      </c>
      <c r="N423" s="65">
        <f t="shared" si="469"/>
        <v>0.22654561175961954</v>
      </c>
      <c r="O423" s="65">
        <f t="shared" si="469"/>
        <v>0.27882993509779525</v>
      </c>
      <c r="P423" s="65">
        <f t="shared" si="469"/>
        <v>0.25956619647239387</v>
      </c>
      <c r="Q423" s="65">
        <f t="shared" si="469"/>
        <v>0.24147094330993676</v>
      </c>
      <c r="R423" s="65">
        <f t="shared" si="469"/>
        <v>0.22161210901002584</v>
      </c>
      <c r="S423" s="65">
        <f t="shared" si="469"/>
        <v>0.20943470659587912</v>
      </c>
      <c r="T423" s="65">
        <f t="shared" si="469"/>
        <v>0.18396681473100568</v>
      </c>
      <c r="U423" s="65">
        <f t="shared" si="469"/>
        <v>0.17487386759629289</v>
      </c>
    </row>
    <row r="424" spans="1:22" ht="13" outlineLevel="1" x14ac:dyDescent="0.3">
      <c r="A424" s="149"/>
      <c r="B424" s="33" t="s">
        <v>291</v>
      </c>
      <c r="E424" s="65">
        <f t="shared" ref="E424:N424" si="470">ABS(E440/E$8)</f>
        <v>1.7914267434420986E-2</v>
      </c>
      <c r="F424" s="65">
        <f t="shared" si="470"/>
        <v>1.7114532716663741E-2</v>
      </c>
      <c r="G424" s="65">
        <f t="shared" si="470"/>
        <v>1.7140512966860488E-2</v>
      </c>
      <c r="H424" s="65">
        <f t="shared" si="470"/>
        <v>1.7403092254707996E-2</v>
      </c>
      <c r="I424" s="65">
        <f t="shared" si="470"/>
        <v>2.3906960808573005E-2</v>
      </c>
      <c r="J424" s="65">
        <f t="shared" si="470"/>
        <v>4.5829067329725505E-2</v>
      </c>
      <c r="K424" s="65">
        <f t="shared" si="470"/>
        <v>2.8738532110091742E-2</v>
      </c>
      <c r="L424" s="65">
        <f t="shared" si="470"/>
        <v>4.9039684421547283E-2</v>
      </c>
      <c r="M424" s="65">
        <f t="shared" si="470"/>
        <v>2.3617687490453648E-2</v>
      </c>
      <c r="N424" s="65">
        <f t="shared" si="470"/>
        <v>1.8637074975103141E-2</v>
      </c>
      <c r="O424" s="552">
        <v>2.5000000000000001E-2</v>
      </c>
      <c r="P424" s="552">
        <v>2.5000000000000001E-2</v>
      </c>
      <c r="Q424" s="552">
        <v>2.5000000000000001E-2</v>
      </c>
      <c r="R424" s="552">
        <v>2.5000000000000001E-2</v>
      </c>
      <c r="S424" s="552">
        <v>2.5000000000000001E-2</v>
      </c>
      <c r="T424" s="552">
        <v>2.5000000000000001E-2</v>
      </c>
      <c r="U424" s="552">
        <v>2.5000000000000001E-2</v>
      </c>
      <c r="V424"/>
    </row>
    <row r="425" spans="1:22" ht="13" outlineLevel="1" x14ac:dyDescent="0.3">
      <c r="A425" s="149"/>
      <c r="V425"/>
    </row>
    <row r="426" spans="1:22" ht="13" outlineLevel="1" x14ac:dyDescent="0.3">
      <c r="A426" s="149"/>
      <c r="B426" s="33" t="s">
        <v>292</v>
      </c>
      <c r="E426" s="195">
        <f t="shared" ref="E426:T426" si="471">E$8/AVERAGE(E437,E442)</f>
        <v>12.926564950805647</v>
      </c>
      <c r="F426" s="195">
        <f t="shared" si="471"/>
        <v>11.560167396416633</v>
      </c>
      <c r="G426" s="195">
        <f t="shared" si="471"/>
        <v>10.161300071482255</v>
      </c>
      <c r="H426" s="195">
        <f t="shared" si="471"/>
        <v>8.9078832914617898</v>
      </c>
      <c r="I426" s="195">
        <f t="shared" si="471"/>
        <v>7.8032872759086658</v>
      </c>
      <c r="J426" s="195">
        <f t="shared" si="471"/>
        <v>6.1705776173285214</v>
      </c>
      <c r="K426" s="195">
        <f t="shared" si="471"/>
        <v>6.8418987838367986</v>
      </c>
      <c r="L426" s="195">
        <f t="shared" si="471"/>
        <v>8.3602450892052627</v>
      </c>
      <c r="M426" s="195">
        <f t="shared" si="471"/>
        <v>11.232253913789403</v>
      </c>
      <c r="N426" s="195">
        <f t="shared" si="471"/>
        <v>11.487640449438203</v>
      </c>
      <c r="O426" s="195">
        <f t="shared" si="471"/>
        <v>10.507467420799435</v>
      </c>
      <c r="P426" s="195">
        <f t="shared" si="471"/>
        <v>9.8218969495291777</v>
      </c>
      <c r="Q426" s="195">
        <f t="shared" si="471"/>
        <v>9.1618115641309696</v>
      </c>
      <c r="R426" s="195">
        <f t="shared" si="471"/>
        <v>8.4393505600472754</v>
      </c>
      <c r="S426" s="195">
        <f t="shared" si="471"/>
        <v>7.9913406064606871</v>
      </c>
      <c r="T426" s="195">
        <f t="shared" si="471"/>
        <v>7.0523263950116668</v>
      </c>
      <c r="U426" s="195">
        <f t="shared" ref="U426" si="472">U$8/AVERAGE(U437,U442)</f>
        <v>6.7163775241124846</v>
      </c>
      <c r="V426"/>
    </row>
    <row r="427" spans="1:22" ht="13" outlineLevel="1" x14ac:dyDescent="0.3">
      <c r="A427" s="149"/>
      <c r="B427" s="33" t="s">
        <v>293</v>
      </c>
      <c r="E427" s="65">
        <f t="shared" ref="E427:T427" si="473">ABS(E444/E437)</f>
        <v>0.27417949462677899</v>
      </c>
      <c r="F427" s="65">
        <f t="shared" si="473"/>
        <v>0.29467787114845939</v>
      </c>
      <c r="G427" s="65">
        <f t="shared" si="473"/>
        <v>0.2466271677938062</v>
      </c>
      <c r="H427" s="65">
        <f t="shared" si="473"/>
        <v>0.30872373367711875</v>
      </c>
      <c r="I427" s="65">
        <f t="shared" si="473"/>
        <v>0.32011782163537955</v>
      </c>
      <c r="J427" s="65">
        <f t="shared" si="473"/>
        <v>0.21585839689163908</v>
      </c>
      <c r="K427" s="65">
        <f t="shared" si="473"/>
        <v>0.18402394832204191</v>
      </c>
      <c r="L427" s="65">
        <f t="shared" si="473"/>
        <v>0.22397624257580495</v>
      </c>
      <c r="M427" s="65">
        <f t="shared" si="473"/>
        <v>0.29021276595744683</v>
      </c>
      <c r="N427" s="65">
        <f t="shared" si="473"/>
        <v>0.32425421530479898</v>
      </c>
      <c r="O427" s="65">
        <f t="shared" si="473"/>
        <v>0.37920871173300147</v>
      </c>
      <c r="P427" s="65">
        <f t="shared" si="473"/>
        <v>0.35301002720245561</v>
      </c>
      <c r="Q427" s="65">
        <f t="shared" si="473"/>
        <v>0.32840048290151402</v>
      </c>
      <c r="R427" s="65">
        <f t="shared" si="473"/>
        <v>0.30139246825363519</v>
      </c>
      <c r="S427" s="65">
        <f t="shared" si="473"/>
        <v>0.2848312009703956</v>
      </c>
      <c r="T427" s="65">
        <f t="shared" si="473"/>
        <v>0.25019486803416774</v>
      </c>
      <c r="U427" s="65">
        <f t="shared" ref="U427" si="474">ABS(U444/U437)</f>
        <v>0.23782845993095833</v>
      </c>
      <c r="V427"/>
    </row>
    <row r="428" spans="1:22" ht="13" outlineLevel="1" x14ac:dyDescent="0.3">
      <c r="A428" s="149"/>
      <c r="B428" s="33" t="s">
        <v>294</v>
      </c>
      <c r="E428" s="65">
        <f t="shared" ref="E428:N428" si="475">ABS(E444/E$8)</f>
        <v>2.0826438987799765E-2</v>
      </c>
      <c r="F428" s="65">
        <f t="shared" si="475"/>
        <v>2.0529633315769957E-2</v>
      </c>
      <c r="G428" s="65">
        <f t="shared" si="475"/>
        <v>2.3293974958085117E-2</v>
      </c>
      <c r="H428" s="65">
        <f t="shared" si="475"/>
        <v>3.2461346816150073E-2</v>
      </c>
      <c r="I428" s="65">
        <f t="shared" si="475"/>
        <v>3.9705350514875233E-2</v>
      </c>
      <c r="J428" s="65">
        <f t="shared" si="475"/>
        <v>3.6565745209887368E-2</v>
      </c>
      <c r="K428" s="65">
        <f t="shared" si="475"/>
        <v>2.6788990825688072E-2</v>
      </c>
      <c r="L428" s="65">
        <f t="shared" si="475"/>
        <v>3.0889612209264727E-2</v>
      </c>
      <c r="M428" s="65">
        <f t="shared" si="475"/>
        <v>2.604246219642585E-2</v>
      </c>
      <c r="N428" s="65">
        <f t="shared" si="475"/>
        <v>2.6675202731540757E-2</v>
      </c>
      <c r="O428" s="65">
        <f t="shared" ref="O428:T428" si="476">SUM(O424,O429)</f>
        <v>3.4000000000000002E-2</v>
      </c>
      <c r="P428" s="65">
        <f t="shared" si="476"/>
        <v>3.4000000000000002E-2</v>
      </c>
      <c r="Q428" s="65">
        <f t="shared" si="476"/>
        <v>3.4000000000000002E-2</v>
      </c>
      <c r="R428" s="65">
        <f t="shared" si="476"/>
        <v>3.4000000000000002E-2</v>
      </c>
      <c r="S428" s="65">
        <f t="shared" si="476"/>
        <v>3.4000000000000002E-2</v>
      </c>
      <c r="T428" s="65">
        <f t="shared" si="476"/>
        <v>3.4000000000000002E-2</v>
      </c>
      <c r="U428" s="65">
        <f t="shared" ref="U428" si="477">SUM(U424,U429)</f>
        <v>3.4000000000000002E-2</v>
      </c>
      <c r="V428"/>
    </row>
    <row r="429" spans="1:22" ht="13" outlineLevel="1" x14ac:dyDescent="0.3">
      <c r="A429" s="149"/>
      <c r="B429" s="33" t="s">
        <v>295</v>
      </c>
      <c r="E429" s="65">
        <f>ABS(SUM(E438:E440)/E$8)</f>
        <v>2.912171553378781E-3</v>
      </c>
      <c r="F429" s="65">
        <f t="shared" ref="F429:N429" si="478">ABS(SUM(F438:F440)/F$8)</f>
        <v>3.4151005991062194E-3</v>
      </c>
      <c r="G429" s="65">
        <f t="shared" si="478"/>
        <v>6.1534619912246291E-3</v>
      </c>
      <c r="H429" s="65">
        <f t="shared" si="478"/>
        <v>1.5058254561442077E-2</v>
      </c>
      <c r="I429" s="65">
        <f t="shared" si="478"/>
        <v>1.5798389706302225E-2</v>
      </c>
      <c r="J429" s="65">
        <f t="shared" si="478"/>
        <v>9.2633221198381334E-3</v>
      </c>
      <c r="K429" s="65">
        <f t="shared" si="478"/>
        <v>1.9495412844036698E-3</v>
      </c>
      <c r="L429" s="65">
        <f t="shared" si="478"/>
        <v>1.8150072212282556E-2</v>
      </c>
      <c r="M429" s="65">
        <f t="shared" si="478"/>
        <v>2.4247747059722015E-3</v>
      </c>
      <c r="N429" s="65">
        <f t="shared" si="478"/>
        <v>8.0381277564376147E-3</v>
      </c>
      <c r="O429" s="552">
        <v>8.9999999999999993E-3</v>
      </c>
      <c r="P429" s="552">
        <v>8.9999999999999993E-3</v>
      </c>
      <c r="Q429" s="552">
        <v>8.9999999999999993E-3</v>
      </c>
      <c r="R429" s="552">
        <v>8.9999999999999993E-3</v>
      </c>
      <c r="S429" s="552">
        <v>8.9999999999999993E-3</v>
      </c>
      <c r="T429" s="552">
        <v>8.9999999999999993E-3</v>
      </c>
      <c r="U429" s="552">
        <v>8.9999999999999993E-3</v>
      </c>
      <c r="V429"/>
    </row>
    <row r="430" spans="1:22" ht="13" outlineLevel="1" x14ac:dyDescent="0.3">
      <c r="A430" s="149"/>
      <c r="E430" s="82"/>
      <c r="F430" s="82"/>
      <c r="G430" s="82"/>
      <c r="H430" s="82"/>
      <c r="I430" s="82"/>
      <c r="J430" s="82"/>
      <c r="K430" s="82"/>
      <c r="L430" s="82"/>
      <c r="M430" s="82"/>
      <c r="N430" s="82"/>
      <c r="O430" s="198"/>
      <c r="P430" s="198"/>
      <c r="Q430" s="198"/>
      <c r="R430" s="198"/>
      <c r="S430" s="198"/>
      <c r="T430" s="198"/>
      <c r="U430" s="198"/>
      <c r="V430"/>
    </row>
    <row r="431" spans="1:22" ht="13" outlineLevel="1" x14ac:dyDescent="0.3">
      <c r="A431" s="149"/>
      <c r="B431" s="33" t="s">
        <v>296</v>
      </c>
      <c r="E431" s="65">
        <f>E446/E$8</f>
        <v>2.4952015355086371E-2</v>
      </c>
      <c r="F431" s="65">
        <f t="shared" ref="F431:N431" si="479">F446/F$8</f>
        <v>2.6657299533594834E-2</v>
      </c>
      <c r="G431" s="65">
        <f t="shared" si="479"/>
        <v>2.5594834659151716E-2</v>
      </c>
      <c r="H431" s="65">
        <f t="shared" si="479"/>
        <v>2.7203781050780394E-2</v>
      </c>
      <c r="I431" s="65">
        <f t="shared" si="479"/>
        <v>2.3297866265679427E-2</v>
      </c>
      <c r="J431" s="65">
        <f t="shared" si="479"/>
        <v>2.3304568280434885E-2</v>
      </c>
      <c r="K431" s="65">
        <f t="shared" si="479"/>
        <v>2.2155963302752293E-2</v>
      </c>
      <c r="L431" s="65">
        <f t="shared" si="479"/>
        <v>2.0219439115345648E-2</v>
      </c>
      <c r="M431" s="65">
        <f t="shared" si="479"/>
        <v>1.4968687948678788E-2</v>
      </c>
      <c r="N431" s="65">
        <f t="shared" si="479"/>
        <v>1.8725992317541611E-2</v>
      </c>
      <c r="O431" s="552">
        <v>0.02</v>
      </c>
      <c r="P431" s="552">
        <v>0.02</v>
      </c>
      <c r="Q431" s="552">
        <v>0.02</v>
      </c>
      <c r="R431" s="552">
        <v>0.02</v>
      </c>
      <c r="S431" s="552">
        <v>0.02</v>
      </c>
      <c r="T431" s="552">
        <v>0.02</v>
      </c>
      <c r="U431" s="552">
        <v>0.02</v>
      </c>
      <c r="V431"/>
    </row>
    <row r="432" spans="1:22" ht="13" outlineLevel="1" x14ac:dyDescent="0.3">
      <c r="A432" s="149"/>
      <c r="N432" s="82"/>
      <c r="V432"/>
    </row>
    <row r="433" spans="1:21" ht="13" outlineLevel="1" x14ac:dyDescent="0.3">
      <c r="A433" s="149"/>
      <c r="B433" s="118" t="s">
        <v>297</v>
      </c>
      <c r="C433" s="118"/>
      <c r="D433" s="118"/>
      <c r="E433" s="118"/>
      <c r="F433" s="118"/>
      <c r="G433" s="118"/>
      <c r="H433" s="118"/>
      <c r="I433" s="118"/>
      <c r="J433" s="118"/>
      <c r="K433" s="118"/>
      <c r="L433" s="118"/>
      <c r="M433" s="118"/>
      <c r="N433" s="118"/>
      <c r="O433" s="118"/>
      <c r="P433" s="118"/>
      <c r="Q433" s="118"/>
      <c r="R433" s="118"/>
      <c r="S433" s="118"/>
      <c r="T433" s="118"/>
      <c r="U433" s="118"/>
    </row>
    <row r="434" spans="1:21" ht="13" outlineLevel="1" x14ac:dyDescent="0.3">
      <c r="A434" s="149"/>
    </row>
    <row r="435" spans="1:21" ht="13" outlineLevel="1" x14ac:dyDescent="0.3">
      <c r="A435" s="149"/>
      <c r="B435" s="41"/>
      <c r="C435" s="41"/>
      <c r="D435" s="41"/>
      <c r="E435" s="156">
        <v>2015</v>
      </c>
      <c r="F435" s="156">
        <f t="shared" ref="F435:T435" si="480">+E435+1</f>
        <v>2016</v>
      </c>
      <c r="G435" s="156">
        <f t="shared" si="480"/>
        <v>2017</v>
      </c>
      <c r="H435" s="156">
        <f t="shared" si="480"/>
        <v>2018</v>
      </c>
      <c r="I435" s="156">
        <f t="shared" si="480"/>
        <v>2019</v>
      </c>
      <c r="J435" s="156">
        <f t="shared" si="480"/>
        <v>2020</v>
      </c>
      <c r="K435" s="156">
        <f t="shared" si="480"/>
        <v>2021</v>
      </c>
      <c r="L435" s="156">
        <f t="shared" si="480"/>
        <v>2022</v>
      </c>
      <c r="M435" s="156">
        <f t="shared" si="480"/>
        <v>2023</v>
      </c>
      <c r="N435" s="156">
        <f t="shared" si="480"/>
        <v>2024</v>
      </c>
      <c r="O435" s="157">
        <f t="shared" si="480"/>
        <v>2025</v>
      </c>
      <c r="P435" s="157">
        <f t="shared" si="480"/>
        <v>2026</v>
      </c>
      <c r="Q435" s="157">
        <f t="shared" si="480"/>
        <v>2027</v>
      </c>
      <c r="R435" s="157">
        <f t="shared" si="480"/>
        <v>2028</v>
      </c>
      <c r="S435" s="157">
        <f t="shared" si="480"/>
        <v>2029</v>
      </c>
      <c r="T435" s="157">
        <f t="shared" si="480"/>
        <v>2030</v>
      </c>
      <c r="U435" s="157">
        <f t="shared" ref="U435" si="481">+T435+1</f>
        <v>2031</v>
      </c>
    </row>
    <row r="436" spans="1:21" ht="13.5" outlineLevel="1" thickBot="1" x14ac:dyDescent="0.35">
      <c r="A436" s="149"/>
      <c r="B436" s="73"/>
      <c r="C436" s="73"/>
      <c r="D436" s="73"/>
      <c r="E436" s="158">
        <v>2015</v>
      </c>
      <c r="F436" s="158">
        <f t="shared" ref="F436:T436" si="482">E436+1</f>
        <v>2016</v>
      </c>
      <c r="G436" s="158">
        <f t="shared" si="482"/>
        <v>2017</v>
      </c>
      <c r="H436" s="158">
        <f t="shared" si="482"/>
        <v>2018</v>
      </c>
      <c r="I436" s="158">
        <f t="shared" si="482"/>
        <v>2019</v>
      </c>
      <c r="J436" s="158">
        <f t="shared" si="482"/>
        <v>2020</v>
      </c>
      <c r="K436" s="158">
        <f t="shared" si="482"/>
        <v>2021</v>
      </c>
      <c r="L436" s="158">
        <f t="shared" si="482"/>
        <v>2022</v>
      </c>
      <c r="M436" s="158">
        <f t="shared" si="482"/>
        <v>2023</v>
      </c>
      <c r="N436" s="158">
        <f t="shared" si="482"/>
        <v>2024</v>
      </c>
      <c r="O436" s="159">
        <f t="shared" si="482"/>
        <v>2025</v>
      </c>
      <c r="P436" s="159">
        <f t="shared" si="482"/>
        <v>2026</v>
      </c>
      <c r="Q436" s="159">
        <f t="shared" si="482"/>
        <v>2027</v>
      </c>
      <c r="R436" s="159">
        <f t="shared" si="482"/>
        <v>2028</v>
      </c>
      <c r="S436" s="159">
        <f t="shared" si="482"/>
        <v>2029</v>
      </c>
      <c r="T436" s="159">
        <f t="shared" si="482"/>
        <v>2030</v>
      </c>
      <c r="U436" s="159">
        <f t="shared" ref="U436" si="483">T436+1</f>
        <v>2031</v>
      </c>
    </row>
    <row r="437" spans="1:21" ht="13" outlineLevel="1" x14ac:dyDescent="0.3">
      <c r="A437" s="149"/>
      <c r="B437" s="33" t="s">
        <v>230</v>
      </c>
      <c r="E437" s="50">
        <f t="shared" ref="E437:N437" si="484">E289</f>
        <v>3443</v>
      </c>
      <c r="F437" s="50">
        <f t="shared" si="484"/>
        <v>3570</v>
      </c>
      <c r="G437" s="50">
        <f t="shared" si="484"/>
        <v>5295.4425568065863</v>
      </c>
      <c r="H437" s="50">
        <f t="shared" si="484"/>
        <v>5739.7595542597992</v>
      </c>
      <c r="I437" s="50">
        <f t="shared" si="484"/>
        <v>6516.3507278141942</v>
      </c>
      <c r="J437" s="50">
        <f t="shared" si="484"/>
        <v>6949</v>
      </c>
      <c r="K437" s="50">
        <f t="shared" si="484"/>
        <v>6347</v>
      </c>
      <c r="L437" s="50">
        <f t="shared" si="484"/>
        <v>6398</v>
      </c>
      <c r="M437" s="50">
        <f t="shared" si="484"/>
        <v>4700</v>
      </c>
      <c r="N437" s="50">
        <f t="shared" si="484"/>
        <v>4626</v>
      </c>
      <c r="O437" s="50">
        <f t="shared" ref="O437:T437" si="485">N442</f>
        <v>5164</v>
      </c>
      <c r="P437" s="50">
        <f t="shared" si="485"/>
        <v>5798.7009225442052</v>
      </c>
      <c r="Q437" s="50">
        <f t="shared" si="485"/>
        <v>6460.8188071382465</v>
      </c>
      <c r="R437" s="50">
        <f t="shared" si="485"/>
        <v>7161.8146730973494</v>
      </c>
      <c r="S437" s="50">
        <f t="shared" si="485"/>
        <v>7883.3700742480596</v>
      </c>
      <c r="T437" s="50">
        <f t="shared" si="485"/>
        <v>8645.0336546788785</v>
      </c>
      <c r="U437" s="50">
        <f t="shared" ref="U437" si="486">T442</f>
        <v>9396.0973493377005</v>
      </c>
    </row>
    <row r="438" spans="1:21" ht="13" outlineLevel="1" x14ac:dyDescent="0.3">
      <c r="A438" s="149"/>
      <c r="B438" s="33" t="s">
        <v>231</v>
      </c>
      <c r="E438" s="50">
        <f t="shared" ref="E438:N438" si="487">E290</f>
        <v>956</v>
      </c>
      <c r="F438" s="50">
        <f t="shared" si="487"/>
        <v>1058</v>
      </c>
      <c r="G438" s="50">
        <f t="shared" si="487"/>
        <v>1310</v>
      </c>
      <c r="H438" s="50">
        <f t="shared" si="487"/>
        <v>1772</v>
      </c>
      <c r="I438" s="50">
        <f t="shared" si="487"/>
        <v>2086</v>
      </c>
      <c r="J438" s="50">
        <f t="shared" si="487"/>
        <v>1500</v>
      </c>
      <c r="K438" s="50">
        <f t="shared" si="487"/>
        <v>1177</v>
      </c>
      <c r="L438" s="50">
        <f t="shared" si="487"/>
        <v>1437</v>
      </c>
      <c r="M438" s="50">
        <f t="shared" si="487"/>
        <v>1365</v>
      </c>
      <c r="N438" s="50">
        <f t="shared" si="487"/>
        <v>1514</v>
      </c>
      <c r="O438" s="50">
        <f t="shared" ref="O438:T438" si="488">O$8*O428</f>
        <v>1958.2337873892195</v>
      </c>
      <c r="P438" s="50">
        <f t="shared" si="488"/>
        <v>2046.9995704062344</v>
      </c>
      <c r="Q438" s="50">
        <f t="shared" si="488"/>
        <v>2121.7360162033838</v>
      </c>
      <c r="R438" s="50">
        <f t="shared" si="488"/>
        <v>2158.5170014999117</v>
      </c>
      <c r="S438" s="50">
        <f t="shared" si="488"/>
        <v>2245.4297659421518</v>
      </c>
      <c r="T438" s="50">
        <f t="shared" si="488"/>
        <v>2162.9430543833209</v>
      </c>
      <c r="U438" s="50">
        <f t="shared" ref="U438" si="489">U$8*U428</f>
        <v>2234.6593619543451</v>
      </c>
    </row>
    <row r="439" spans="1:21" ht="13" outlineLevel="1" x14ac:dyDescent="0.3">
      <c r="A439" s="149"/>
      <c r="B439" s="33" t="s">
        <v>232</v>
      </c>
      <c r="E439" s="50">
        <f t="shared" ref="E439:N439" si="490">E291</f>
        <v>-12</v>
      </c>
      <c r="F439" s="50">
        <f t="shared" si="490"/>
        <v>-6</v>
      </c>
      <c r="G439" s="50">
        <f t="shared" si="490"/>
        <v>-4</v>
      </c>
      <c r="H439" s="50">
        <f t="shared" si="490"/>
        <v>0</v>
      </c>
      <c r="I439" s="50">
        <f t="shared" si="490"/>
        <v>0</v>
      </c>
      <c r="J439" s="50">
        <f t="shared" si="490"/>
        <v>0</v>
      </c>
      <c r="K439" s="50">
        <f t="shared" si="490"/>
        <v>-9</v>
      </c>
      <c r="L439" s="50">
        <f t="shared" si="490"/>
        <v>-4</v>
      </c>
      <c r="M439" s="50">
        <f t="shared" si="490"/>
        <v>-1</v>
      </c>
      <c r="N439" s="50">
        <f t="shared" si="490"/>
        <v>-14</v>
      </c>
      <c r="O439" s="50">
        <v>0</v>
      </c>
      <c r="P439" s="50">
        <v>0</v>
      </c>
      <c r="Q439" s="50">
        <v>0</v>
      </c>
      <c r="R439" s="50">
        <v>0</v>
      </c>
      <c r="S439" s="50">
        <v>0</v>
      </c>
      <c r="T439" s="50">
        <v>0</v>
      </c>
      <c r="U439" s="50">
        <v>0</v>
      </c>
    </row>
    <row r="440" spans="1:21" ht="13" outlineLevel="1" x14ac:dyDescent="0.3">
      <c r="A440" s="149"/>
      <c r="B440" s="33" t="s">
        <v>238</v>
      </c>
      <c r="E440" s="50">
        <f t="shared" ref="E440:N440" si="491">E292</f>
        <v>-812</v>
      </c>
      <c r="F440" s="50">
        <f t="shared" si="491"/>
        <v>-877</v>
      </c>
      <c r="G440" s="50">
        <f t="shared" si="491"/>
        <v>-961</v>
      </c>
      <c r="H440" s="50">
        <f t="shared" si="491"/>
        <v>-950</v>
      </c>
      <c r="I440" s="50">
        <f t="shared" si="491"/>
        <v>-1256</v>
      </c>
      <c r="J440" s="50">
        <f t="shared" si="491"/>
        <v>-1880</v>
      </c>
      <c r="K440" s="50">
        <f t="shared" si="491"/>
        <v>-1253</v>
      </c>
      <c r="L440" s="50">
        <f t="shared" si="491"/>
        <v>-2275</v>
      </c>
      <c r="M440" s="50">
        <f t="shared" si="491"/>
        <v>-1237</v>
      </c>
      <c r="N440" s="50">
        <f t="shared" si="491"/>
        <v>-1048</v>
      </c>
      <c r="O440" s="50">
        <f t="shared" ref="O440:T440" si="492">-O$8*O424</f>
        <v>-1439.8777848450145</v>
      </c>
      <c r="P440" s="50">
        <f t="shared" si="492"/>
        <v>-1505.1467429457607</v>
      </c>
      <c r="Q440" s="50">
        <f t="shared" si="492"/>
        <v>-1560.1000119142527</v>
      </c>
      <c r="R440" s="50">
        <f t="shared" si="492"/>
        <v>-1587.1448540440524</v>
      </c>
      <c r="S440" s="50">
        <f t="shared" si="492"/>
        <v>-1651.0512984868762</v>
      </c>
      <c r="T440" s="50">
        <f t="shared" si="492"/>
        <v>-1590.3993046936182</v>
      </c>
      <c r="U440" s="50">
        <f t="shared" ref="U440" si="493">-U$8*U424</f>
        <v>-1643.1318837899596</v>
      </c>
    </row>
    <row r="441" spans="1:21" ht="13" outlineLevel="1" x14ac:dyDescent="0.3">
      <c r="A441" s="149"/>
      <c r="B441" s="33" t="s">
        <v>234</v>
      </c>
      <c r="E441" s="50">
        <f t="shared" ref="E441:N441" si="494">E293</f>
        <v>-5</v>
      </c>
      <c r="F441" s="50">
        <f t="shared" si="494"/>
        <v>1550.4425568065863</v>
      </c>
      <c r="G441" s="50">
        <f t="shared" si="494"/>
        <v>99.316997453212934</v>
      </c>
      <c r="H441" s="50">
        <f t="shared" si="494"/>
        <v>-45.408826445604973</v>
      </c>
      <c r="I441" s="50">
        <f t="shared" si="494"/>
        <v>-397.35072781419512</v>
      </c>
      <c r="J441" s="50">
        <f t="shared" si="494"/>
        <v>-222</v>
      </c>
      <c r="K441" s="50">
        <f t="shared" si="494"/>
        <v>136</v>
      </c>
      <c r="L441" s="50">
        <f t="shared" si="494"/>
        <v>-856</v>
      </c>
      <c r="M441" s="50">
        <f t="shared" si="494"/>
        <v>-201</v>
      </c>
      <c r="N441" s="50">
        <f t="shared" si="494"/>
        <v>86</v>
      </c>
      <c r="O441" s="50">
        <f>O437*Macro!O$6</f>
        <v>116.34492</v>
      </c>
      <c r="P441" s="50">
        <f>P437*Macro!P$6</f>
        <v>120.2650571335668</v>
      </c>
      <c r="Q441" s="50">
        <f>Q437*Macro!Q$6</f>
        <v>139.35986166997196</v>
      </c>
      <c r="R441" s="50">
        <f>R437*Macro!R$6</f>
        <v>150.1832536948514</v>
      </c>
      <c r="S441" s="50">
        <f>S437*Macro!S$6</f>
        <v>167.28511297554383</v>
      </c>
      <c r="T441" s="50">
        <f>T437*Macro!T$6</f>
        <v>178.51994496911882</v>
      </c>
      <c r="U441" s="50">
        <f>U437*Macro!U$6</f>
        <v>187.92194698675402</v>
      </c>
    </row>
    <row r="442" spans="1:21" ht="13" outlineLevel="1" x14ac:dyDescent="0.3">
      <c r="A442" s="149"/>
      <c r="B442" s="33" t="s">
        <v>235</v>
      </c>
      <c r="E442" s="50">
        <f t="shared" ref="E442:N442" si="495">E294</f>
        <v>3570</v>
      </c>
      <c r="F442" s="50">
        <f t="shared" si="495"/>
        <v>5295.4425568065863</v>
      </c>
      <c r="G442" s="50">
        <f t="shared" si="495"/>
        <v>5739.7595542597992</v>
      </c>
      <c r="H442" s="50">
        <f t="shared" si="495"/>
        <v>6516.3507278141942</v>
      </c>
      <c r="I442" s="50">
        <f t="shared" si="495"/>
        <v>6949</v>
      </c>
      <c r="J442" s="50">
        <f t="shared" si="495"/>
        <v>6347</v>
      </c>
      <c r="K442" s="50">
        <f t="shared" si="495"/>
        <v>6398</v>
      </c>
      <c r="L442" s="50">
        <f t="shared" si="495"/>
        <v>4700</v>
      </c>
      <c r="M442" s="50">
        <f t="shared" si="495"/>
        <v>4626</v>
      </c>
      <c r="N442" s="50">
        <f t="shared" si="495"/>
        <v>5164</v>
      </c>
      <c r="O442" s="50">
        <f t="shared" ref="O442:T442" si="496">SUM(O437:O441)</f>
        <v>5798.7009225442052</v>
      </c>
      <c r="P442" s="50">
        <f t="shared" si="496"/>
        <v>6460.8188071382465</v>
      </c>
      <c r="Q442" s="50">
        <f t="shared" si="496"/>
        <v>7161.8146730973494</v>
      </c>
      <c r="R442" s="50">
        <f t="shared" si="496"/>
        <v>7883.3700742480596</v>
      </c>
      <c r="S442" s="50">
        <f t="shared" si="496"/>
        <v>8645.0336546788785</v>
      </c>
      <c r="T442" s="50">
        <f t="shared" si="496"/>
        <v>9396.0973493377005</v>
      </c>
      <c r="U442" s="50">
        <f t="shared" ref="U442" si="497">SUM(U437:U441)</f>
        <v>10175.546774488841</v>
      </c>
    </row>
    <row r="443" spans="1:21" ht="13" outlineLevel="1" x14ac:dyDescent="0.3">
      <c r="A443" s="149"/>
      <c r="E443" s="50"/>
      <c r="F443" s="50"/>
      <c r="G443" s="50"/>
      <c r="H443" s="50"/>
      <c r="I443" s="50"/>
      <c r="J443" s="50"/>
      <c r="K443" s="50"/>
      <c r="L443" s="50"/>
      <c r="M443" s="50"/>
      <c r="N443" s="50"/>
    </row>
    <row r="444" spans="1:21" ht="13" outlineLevel="1" x14ac:dyDescent="0.3">
      <c r="A444" s="149"/>
      <c r="B444" s="33" t="s">
        <v>236</v>
      </c>
      <c r="E444" s="50">
        <f>E296</f>
        <v>944</v>
      </c>
      <c r="F444" s="50">
        <f t="shared" ref="F444:N444" si="498">F296</f>
        <v>1052</v>
      </c>
      <c r="G444" s="50">
        <f t="shared" si="498"/>
        <v>1306</v>
      </c>
      <c r="H444" s="50">
        <f t="shared" si="498"/>
        <v>1772</v>
      </c>
      <c r="I444" s="50">
        <f t="shared" si="498"/>
        <v>2086</v>
      </c>
      <c r="J444" s="50">
        <f t="shared" si="498"/>
        <v>1500</v>
      </c>
      <c r="K444" s="50">
        <f t="shared" si="498"/>
        <v>1168</v>
      </c>
      <c r="L444" s="50">
        <f t="shared" si="498"/>
        <v>1433</v>
      </c>
      <c r="M444" s="50">
        <f t="shared" si="498"/>
        <v>1364</v>
      </c>
      <c r="N444" s="50">
        <f t="shared" si="498"/>
        <v>1500</v>
      </c>
      <c r="O444" s="50">
        <f t="shared" ref="O444:T444" si="499">SUM(O438:O439)</f>
        <v>1958.2337873892195</v>
      </c>
      <c r="P444" s="50">
        <f t="shared" si="499"/>
        <v>2046.9995704062344</v>
      </c>
      <c r="Q444" s="50">
        <f t="shared" si="499"/>
        <v>2121.7360162033838</v>
      </c>
      <c r="R444" s="50">
        <f t="shared" si="499"/>
        <v>2158.5170014999117</v>
      </c>
      <c r="S444" s="50">
        <f t="shared" si="499"/>
        <v>2245.4297659421518</v>
      </c>
      <c r="T444" s="50">
        <f t="shared" si="499"/>
        <v>2162.9430543833209</v>
      </c>
      <c r="U444" s="50">
        <f t="shared" ref="U444" si="500">SUM(U438:U439)</f>
        <v>2234.6593619543451</v>
      </c>
    </row>
    <row r="445" spans="1:21" ht="13" outlineLevel="1" x14ac:dyDescent="0.3">
      <c r="A445" s="149"/>
      <c r="E445" s="50"/>
      <c r="F445" s="50"/>
      <c r="G445" s="50"/>
      <c r="H445" s="50"/>
      <c r="I445" s="50"/>
      <c r="J445" s="50"/>
      <c r="K445" s="50"/>
      <c r="L445" s="50"/>
      <c r="M445" s="50"/>
      <c r="N445" s="50"/>
      <c r="O445" s="50"/>
      <c r="P445" s="50"/>
      <c r="Q445" s="50"/>
      <c r="R445" s="50"/>
      <c r="S445" s="50"/>
      <c r="T445" s="50"/>
      <c r="U445" s="50"/>
    </row>
    <row r="446" spans="1:21" ht="13" outlineLevel="1" x14ac:dyDescent="0.3">
      <c r="A446" s="149"/>
      <c r="B446" s="33" t="s">
        <v>154</v>
      </c>
      <c r="E446" s="50">
        <f>E95</f>
        <v>1131</v>
      </c>
      <c r="F446" s="50">
        <f t="shared" ref="F446:N446" si="501">F95</f>
        <v>1366</v>
      </c>
      <c r="G446" s="50">
        <f t="shared" si="501"/>
        <v>1435</v>
      </c>
      <c r="H446" s="50">
        <f t="shared" si="501"/>
        <v>1485</v>
      </c>
      <c r="I446" s="50">
        <f t="shared" si="501"/>
        <v>1224</v>
      </c>
      <c r="J446" s="50">
        <f t="shared" si="501"/>
        <v>956</v>
      </c>
      <c r="K446" s="50">
        <f t="shared" si="501"/>
        <v>966</v>
      </c>
      <c r="L446" s="50">
        <f t="shared" si="501"/>
        <v>938</v>
      </c>
      <c r="M446" s="50">
        <f t="shared" si="501"/>
        <v>784</v>
      </c>
      <c r="N446" s="50">
        <f t="shared" si="501"/>
        <v>1053</v>
      </c>
      <c r="O446" s="50">
        <f t="shared" ref="O446:T446" si="502">O431*O8</f>
        <v>1151.9022278760115</v>
      </c>
      <c r="P446" s="50">
        <f t="shared" si="502"/>
        <v>1204.1173943566084</v>
      </c>
      <c r="Q446" s="50">
        <f t="shared" si="502"/>
        <v>1248.0800095314021</v>
      </c>
      <c r="R446" s="50">
        <f t="shared" si="502"/>
        <v>1269.715883235242</v>
      </c>
      <c r="S446" s="50">
        <f t="shared" si="502"/>
        <v>1320.841038789501</v>
      </c>
      <c r="T446" s="50">
        <f t="shared" si="502"/>
        <v>1272.3194437548946</v>
      </c>
      <c r="U446" s="50">
        <f t="shared" ref="U446" si="503">U431*U8</f>
        <v>1314.5055070319677</v>
      </c>
    </row>
    <row r="447" spans="1:21" ht="13" outlineLevel="1" x14ac:dyDescent="0.3">
      <c r="A447" s="149"/>
      <c r="E447" s="50"/>
    </row>
    <row r="448" spans="1:21" ht="13" outlineLevel="1" x14ac:dyDescent="0.3">
      <c r="A448" s="149"/>
      <c r="B448" s="118" t="s">
        <v>298</v>
      </c>
      <c r="C448" s="118"/>
      <c r="D448" s="118"/>
      <c r="E448" s="118"/>
      <c r="F448" s="118"/>
      <c r="G448" s="118"/>
      <c r="H448" s="118"/>
      <c r="I448" s="118"/>
      <c r="J448" s="118"/>
      <c r="K448" s="118"/>
      <c r="L448" s="118"/>
      <c r="M448" s="118"/>
      <c r="N448" s="118"/>
      <c r="O448" s="118"/>
      <c r="P448" s="118"/>
      <c r="Q448" s="118"/>
      <c r="R448" s="118"/>
      <c r="S448" s="118"/>
      <c r="T448" s="118"/>
      <c r="U448" s="118"/>
    </row>
    <row r="449" spans="1:22" ht="13" outlineLevel="1" x14ac:dyDescent="0.3">
      <c r="A449" s="149"/>
    </row>
    <row r="450" spans="1:22" ht="13" outlineLevel="1" x14ac:dyDescent="0.3">
      <c r="A450" s="149"/>
      <c r="B450" s="41"/>
      <c r="C450" s="41"/>
      <c r="D450" s="41"/>
      <c r="E450" s="156">
        <v>2015</v>
      </c>
      <c r="F450" s="156">
        <f t="shared" ref="F450:T450" si="504">+E450+1</f>
        <v>2016</v>
      </c>
      <c r="G450" s="156">
        <f t="shared" si="504"/>
        <v>2017</v>
      </c>
      <c r="H450" s="156">
        <f t="shared" si="504"/>
        <v>2018</v>
      </c>
      <c r="I450" s="156">
        <f t="shared" si="504"/>
        <v>2019</v>
      </c>
      <c r="J450" s="156">
        <f t="shared" si="504"/>
        <v>2020</v>
      </c>
      <c r="K450" s="156">
        <f t="shared" si="504"/>
        <v>2021</v>
      </c>
      <c r="L450" s="156">
        <f t="shared" si="504"/>
        <v>2022</v>
      </c>
      <c r="M450" s="156">
        <f t="shared" si="504"/>
        <v>2023</v>
      </c>
      <c r="N450" s="156">
        <f t="shared" si="504"/>
        <v>2024</v>
      </c>
      <c r="O450" s="157">
        <f t="shared" si="504"/>
        <v>2025</v>
      </c>
      <c r="P450" s="157">
        <f t="shared" si="504"/>
        <v>2026</v>
      </c>
      <c r="Q450" s="157">
        <f t="shared" si="504"/>
        <v>2027</v>
      </c>
      <c r="R450" s="157">
        <f t="shared" si="504"/>
        <v>2028</v>
      </c>
      <c r="S450" s="157">
        <f t="shared" si="504"/>
        <v>2029</v>
      </c>
      <c r="T450" s="157">
        <f t="shared" si="504"/>
        <v>2030</v>
      </c>
      <c r="U450" s="157">
        <f t="shared" ref="U450" si="505">+T450+1</f>
        <v>2031</v>
      </c>
    </row>
    <row r="451" spans="1:22" ht="13.5" outlineLevel="1" thickBot="1" x14ac:dyDescent="0.35">
      <c r="A451" s="149"/>
      <c r="B451" s="73"/>
      <c r="C451" s="73"/>
      <c r="D451" s="73"/>
      <c r="E451" s="158">
        <v>2015</v>
      </c>
      <c r="F451" s="158">
        <f t="shared" ref="F451:T451" si="506">E451+1</f>
        <v>2016</v>
      </c>
      <c r="G451" s="158">
        <f t="shared" si="506"/>
        <v>2017</v>
      </c>
      <c r="H451" s="158">
        <f t="shared" si="506"/>
        <v>2018</v>
      </c>
      <c r="I451" s="158">
        <f t="shared" si="506"/>
        <v>2019</v>
      </c>
      <c r="J451" s="158">
        <f t="shared" si="506"/>
        <v>2020</v>
      </c>
      <c r="K451" s="158">
        <f t="shared" si="506"/>
        <v>2021</v>
      </c>
      <c r="L451" s="158">
        <f t="shared" si="506"/>
        <v>2022</v>
      </c>
      <c r="M451" s="158">
        <f t="shared" si="506"/>
        <v>2023</v>
      </c>
      <c r="N451" s="158">
        <f t="shared" si="506"/>
        <v>2024</v>
      </c>
      <c r="O451" s="159">
        <f t="shared" si="506"/>
        <v>2025</v>
      </c>
      <c r="P451" s="159">
        <f t="shared" si="506"/>
        <v>2026</v>
      </c>
      <c r="Q451" s="159">
        <f t="shared" si="506"/>
        <v>2027</v>
      </c>
      <c r="R451" s="159">
        <f t="shared" si="506"/>
        <v>2028</v>
      </c>
      <c r="S451" s="159">
        <f t="shared" si="506"/>
        <v>2029</v>
      </c>
      <c r="T451" s="159">
        <f t="shared" si="506"/>
        <v>2030</v>
      </c>
      <c r="U451" s="159">
        <f t="shared" ref="U451" si="507">T451+1</f>
        <v>2031</v>
      </c>
    </row>
    <row r="452" spans="1:22" ht="13" outlineLevel="1" x14ac:dyDescent="0.3">
      <c r="A452" s="149"/>
      <c r="B452" s="33" t="s">
        <v>299</v>
      </c>
      <c r="D452" s="55"/>
      <c r="E452" s="55">
        <v>365</v>
      </c>
      <c r="F452" s="55">
        <v>365</v>
      </c>
      <c r="G452" s="55">
        <v>365</v>
      </c>
      <c r="H452" s="55">
        <v>365</v>
      </c>
      <c r="I452" s="55">
        <v>365</v>
      </c>
      <c r="J452" s="55">
        <v>365</v>
      </c>
      <c r="K452" s="55">
        <v>365</v>
      </c>
      <c r="L452" s="55">
        <v>365</v>
      </c>
      <c r="M452" s="55">
        <v>365</v>
      </c>
      <c r="N452" s="55">
        <v>365</v>
      </c>
      <c r="O452" s="55">
        <v>365</v>
      </c>
      <c r="P452" s="55">
        <v>365</v>
      </c>
      <c r="Q452" s="55">
        <v>365</v>
      </c>
      <c r="R452" s="55">
        <v>365</v>
      </c>
      <c r="S452" s="55">
        <v>365</v>
      </c>
      <c r="T452" s="55">
        <v>365</v>
      </c>
      <c r="U452" s="55">
        <v>365</v>
      </c>
    </row>
    <row r="453" spans="1:22" ht="13" outlineLevel="1" x14ac:dyDescent="0.3">
      <c r="A453" s="149"/>
    </row>
    <row r="454" spans="1:22" ht="13" outlineLevel="1" x14ac:dyDescent="0.3">
      <c r="A454" s="149"/>
      <c r="B454" s="33" t="s">
        <v>156</v>
      </c>
      <c r="D454" s="33" t="s">
        <v>300</v>
      </c>
      <c r="E454" s="200">
        <f t="shared" ref="E454:N454" si="508">(E467/(-E$9))*E$452</f>
        <v>45.131645948779394</v>
      </c>
      <c r="F454" s="200">
        <f t="shared" si="508"/>
        <v>56.848745116926203</v>
      </c>
      <c r="G454" s="200">
        <f t="shared" si="508"/>
        <v>53.256167857966339</v>
      </c>
      <c r="H454" s="200">
        <f t="shared" si="508"/>
        <v>51.003874310705463</v>
      </c>
      <c r="I454" s="200">
        <f t="shared" si="508"/>
        <v>51.632403328438571</v>
      </c>
      <c r="J454" s="200">
        <f t="shared" si="508"/>
        <v>65.335787736447884</v>
      </c>
      <c r="K454" s="200">
        <f t="shared" si="508"/>
        <v>52.240972491861051</v>
      </c>
      <c r="L454" s="200">
        <f t="shared" si="508"/>
        <v>60.697492663008802</v>
      </c>
      <c r="M454" s="200">
        <f t="shared" si="508"/>
        <v>47.013000601637508</v>
      </c>
      <c r="N454" s="200">
        <f t="shared" si="508"/>
        <v>48.28752540404529</v>
      </c>
      <c r="O454" s="202">
        <v>50</v>
      </c>
      <c r="P454" s="203">
        <v>50</v>
      </c>
      <c r="Q454" s="203">
        <v>50</v>
      </c>
      <c r="R454" s="203">
        <v>50</v>
      </c>
      <c r="S454" s="203">
        <v>50</v>
      </c>
      <c r="T454" s="203">
        <v>50</v>
      </c>
      <c r="U454" s="203">
        <v>50</v>
      </c>
      <c r="V454"/>
    </row>
    <row r="455" spans="1:22" ht="13" outlineLevel="1" x14ac:dyDescent="0.3">
      <c r="A455" s="149"/>
      <c r="B455" s="33" t="s">
        <v>118</v>
      </c>
      <c r="D455" s="33" t="s">
        <v>300</v>
      </c>
      <c r="E455" s="200">
        <f t="shared" ref="E455:N455" si="509">(E468/(E$8))*E$452</f>
        <v>230.34449665762128</v>
      </c>
      <c r="F455" s="200">
        <f t="shared" si="509"/>
        <v>244.72942645824799</v>
      </c>
      <c r="G455" s="200">
        <f t="shared" si="509"/>
        <v>256.07159419255879</v>
      </c>
      <c r="H455" s="200">
        <f t="shared" si="509"/>
        <v>281.2789440902763</v>
      </c>
      <c r="I455" s="200">
        <f t="shared" si="509"/>
        <v>315.2351675961703</v>
      </c>
      <c r="J455" s="200">
        <f t="shared" si="509"/>
        <v>363.20267173711659</v>
      </c>
      <c r="K455" s="200">
        <f t="shared" si="509"/>
        <v>330.65986238532111</v>
      </c>
      <c r="L455" s="200">
        <f t="shared" si="509"/>
        <v>348.13121079519732</v>
      </c>
      <c r="M455" s="200">
        <f t="shared" si="509"/>
        <v>345.75903085382629</v>
      </c>
      <c r="N455" s="200">
        <f t="shared" si="509"/>
        <v>352.81645682173848</v>
      </c>
      <c r="O455" s="202">
        <v>340</v>
      </c>
      <c r="P455" s="203">
        <v>340</v>
      </c>
      <c r="Q455" s="203">
        <v>340</v>
      </c>
      <c r="R455" s="203">
        <v>340</v>
      </c>
      <c r="S455" s="203">
        <v>340</v>
      </c>
      <c r="T455" s="203">
        <v>340</v>
      </c>
      <c r="U455" s="203">
        <v>340</v>
      </c>
      <c r="V455"/>
    </row>
    <row r="456" spans="1:22" ht="13" outlineLevel="1" x14ac:dyDescent="0.3">
      <c r="A456" s="149"/>
      <c r="B456" s="33" t="s">
        <v>119</v>
      </c>
      <c r="D456" s="33" t="s">
        <v>300</v>
      </c>
      <c r="E456" s="200">
        <f t="shared" ref="E456:N456" si="510">(E469/(E$8))*E$452</f>
        <v>34.867738875284047</v>
      </c>
      <c r="F456" s="200">
        <f t="shared" si="510"/>
        <v>39.361278613664304</v>
      </c>
      <c r="G456" s="200">
        <f t="shared" si="510"/>
        <v>37.544233581849966</v>
      </c>
      <c r="H456" s="200">
        <f t="shared" si="510"/>
        <v>34.622444493295234</v>
      </c>
      <c r="I456" s="200">
        <f t="shared" si="510"/>
        <v>37.099567923558638</v>
      </c>
      <c r="J456" s="200">
        <f t="shared" si="510"/>
        <v>42.566427770464621</v>
      </c>
      <c r="K456" s="200">
        <f t="shared" si="510"/>
        <v>37.471100917431194</v>
      </c>
      <c r="L456" s="200">
        <f t="shared" si="510"/>
        <v>40.086978077644368</v>
      </c>
      <c r="M456" s="200">
        <f t="shared" si="510"/>
        <v>39.353043378646717</v>
      </c>
      <c r="N456" s="200">
        <f t="shared" si="510"/>
        <v>39.835058329776636</v>
      </c>
      <c r="O456" s="202">
        <v>40</v>
      </c>
      <c r="P456" s="202">
        <v>40</v>
      </c>
      <c r="Q456" s="202">
        <v>40</v>
      </c>
      <c r="R456" s="202">
        <v>40</v>
      </c>
      <c r="S456" s="202">
        <v>40</v>
      </c>
      <c r="T456" s="202">
        <v>40</v>
      </c>
      <c r="U456" s="202">
        <v>40</v>
      </c>
      <c r="V456"/>
    </row>
    <row r="457" spans="1:22" ht="13" outlineLevel="1" x14ac:dyDescent="0.3">
      <c r="A457" s="149"/>
      <c r="B457" s="33" t="s">
        <v>120</v>
      </c>
      <c r="D457" s="33" t="s">
        <v>300</v>
      </c>
      <c r="E457" s="200">
        <f t="shared" ref="E457:N457" si="511">((-E470)/(-E$9))*E$452</f>
        <v>90.689680994458584</v>
      </c>
      <c r="F457" s="200">
        <f t="shared" si="511"/>
        <v>93.100684968159683</v>
      </c>
      <c r="G457" s="200">
        <f t="shared" si="511"/>
        <v>83.351625547613551</v>
      </c>
      <c r="H457" s="200">
        <f t="shared" si="511"/>
        <v>82.461613424605446</v>
      </c>
      <c r="I457" s="200">
        <f t="shared" si="511"/>
        <v>85.595447870778273</v>
      </c>
      <c r="J457" s="200">
        <f t="shared" si="511"/>
        <v>95.883743811095584</v>
      </c>
      <c r="K457" s="200">
        <f t="shared" si="511"/>
        <v>86.941100922911502</v>
      </c>
      <c r="L457" s="200">
        <f t="shared" si="511"/>
        <v>97.863500063799933</v>
      </c>
      <c r="M457" s="200">
        <f t="shared" si="511"/>
        <v>76.047633995134575</v>
      </c>
      <c r="N457" s="200">
        <f t="shared" si="511"/>
        <v>86.622592664279495</v>
      </c>
      <c r="O457" s="202">
        <v>90</v>
      </c>
      <c r="P457" s="203">
        <v>90</v>
      </c>
      <c r="Q457" s="203">
        <v>90</v>
      </c>
      <c r="R457" s="203">
        <v>90</v>
      </c>
      <c r="S457" s="203">
        <v>90</v>
      </c>
      <c r="T457" s="203">
        <v>90</v>
      </c>
      <c r="U457" s="202">
        <v>90</v>
      </c>
      <c r="V457"/>
    </row>
    <row r="458" spans="1:22" ht="13" outlineLevel="1" x14ac:dyDescent="0.3">
      <c r="A458" s="149"/>
      <c r="B458" s="33" t="s">
        <v>202</v>
      </c>
      <c r="D458" s="33" t="s">
        <v>300</v>
      </c>
      <c r="E458" s="200">
        <f t="shared" ref="E458:N458" si="512">(-E471/(E$8))*E$452</f>
        <v>247.53678822776709</v>
      </c>
      <c r="F458" s="200">
        <f t="shared" si="512"/>
        <v>256.71730772983625</v>
      </c>
      <c r="G458" s="200">
        <f t="shared" si="512"/>
        <v>269.48908429351121</v>
      </c>
      <c r="H458" s="200">
        <f t="shared" si="512"/>
        <v>297.51364768813664</v>
      </c>
      <c r="I458" s="200">
        <f t="shared" si="512"/>
        <v>329.76235795724921</v>
      </c>
      <c r="J458" s="200">
        <f t="shared" si="512"/>
        <v>423.05726195699862</v>
      </c>
      <c r="K458" s="200">
        <f t="shared" si="512"/>
        <v>377.74988532110092</v>
      </c>
      <c r="L458" s="200">
        <f t="shared" si="512"/>
        <v>385.51949731628986</v>
      </c>
      <c r="M458" s="200">
        <f t="shared" si="512"/>
        <v>376.9794371467849</v>
      </c>
      <c r="N458" s="200">
        <f t="shared" si="512"/>
        <v>392.30100298762267</v>
      </c>
      <c r="O458" s="202">
        <v>380</v>
      </c>
      <c r="P458" s="202">
        <v>380</v>
      </c>
      <c r="Q458" s="202">
        <v>380</v>
      </c>
      <c r="R458" s="202">
        <v>380</v>
      </c>
      <c r="S458" s="202">
        <v>380</v>
      </c>
      <c r="T458" s="202">
        <v>380</v>
      </c>
      <c r="U458" s="202">
        <v>380</v>
      </c>
      <c r="V458"/>
    </row>
    <row r="459" spans="1:22" ht="13" outlineLevel="1" x14ac:dyDescent="0.3">
      <c r="A459" s="149"/>
      <c r="O459" s="557"/>
      <c r="P459" s="202"/>
      <c r="Q459" s="202"/>
      <c r="R459" s="202"/>
      <c r="S459" s="202"/>
      <c r="T459" s="202"/>
      <c r="U459" s="202"/>
    </row>
    <row r="460" spans="1:22" ht="13" outlineLevel="1" x14ac:dyDescent="0.3">
      <c r="A460" s="149"/>
      <c r="B460" s="33" t="s">
        <v>161</v>
      </c>
      <c r="E460" s="201">
        <f>E473</f>
        <v>488</v>
      </c>
      <c r="F460" s="201">
        <f t="shared" ref="F460:N460" si="513">F473</f>
        <v>539</v>
      </c>
      <c r="G460" s="201">
        <f t="shared" si="513"/>
        <v>263</v>
      </c>
      <c r="H460" s="201">
        <f t="shared" si="513"/>
        <v>378</v>
      </c>
      <c r="I460" s="201">
        <f t="shared" si="513"/>
        <v>216</v>
      </c>
      <c r="J460" s="201">
        <f t="shared" si="513"/>
        <v>298</v>
      </c>
      <c r="K460" s="201">
        <f t="shared" si="513"/>
        <v>181</v>
      </c>
      <c r="L460" s="201">
        <f t="shared" si="513"/>
        <v>410</v>
      </c>
      <c r="M460" s="201">
        <f t="shared" si="513"/>
        <v>119</v>
      </c>
      <c r="N460" s="201">
        <f t="shared" si="513"/>
        <v>356</v>
      </c>
      <c r="O460" s="535">
        <v>324.8</v>
      </c>
      <c r="P460" s="535">
        <f>O460</f>
        <v>324.8</v>
      </c>
      <c r="Q460" s="535">
        <f t="shared" ref="Q460:T460" si="514">P460</f>
        <v>324.8</v>
      </c>
      <c r="R460" s="535">
        <f t="shared" si="514"/>
        <v>324.8</v>
      </c>
      <c r="S460" s="535">
        <f t="shared" si="514"/>
        <v>324.8</v>
      </c>
      <c r="T460" s="535">
        <f t="shared" si="514"/>
        <v>324.8</v>
      </c>
      <c r="U460" s="535">
        <f t="shared" ref="U460" si="515">T460</f>
        <v>324.8</v>
      </c>
    </row>
    <row r="461" spans="1:22" ht="13" outlineLevel="1" x14ac:dyDescent="0.3">
      <c r="A461" s="149"/>
      <c r="B461" s="33" t="s">
        <v>301</v>
      </c>
      <c r="E461" s="553">
        <f ca="1">E474/SUM(E468,E469)</f>
        <v>0.42911795961742827</v>
      </c>
      <c r="F461" s="553">
        <f t="shared" ref="F461:M461" ca="1" si="516">F474/SUM(F468,F469)</f>
        <v>0.34733226356433655</v>
      </c>
      <c r="G461" s="553">
        <f t="shared" ca="1" si="516"/>
        <v>0.31167823329859651</v>
      </c>
      <c r="H461" s="553">
        <f t="shared" ca="1" si="516"/>
        <v>0.3127738385014287</v>
      </c>
      <c r="I461" s="553">
        <f t="shared" ca="1" si="516"/>
        <v>0.29542138265567691</v>
      </c>
      <c r="J461" s="553">
        <f t="shared" ca="1" si="516"/>
        <v>0.43558087708932797</v>
      </c>
      <c r="K461" s="553">
        <f t="shared" ca="1" si="516"/>
        <v>0.44393232869513577</v>
      </c>
      <c r="L461" s="553">
        <f t="shared" ca="1" si="516"/>
        <v>0.41156388931005483</v>
      </c>
      <c r="M461" s="553">
        <f t="shared" ca="1" si="516"/>
        <v>0.37416307770258045</v>
      </c>
      <c r="N461" s="553">
        <f ca="1">N474/SUM(N468,N469)</f>
        <v>0.36704704129444543</v>
      </c>
      <c r="O461" s="554">
        <v>0.37</v>
      </c>
      <c r="P461" s="554">
        <v>0.37</v>
      </c>
      <c r="Q461" s="554">
        <v>0.37</v>
      </c>
      <c r="R461" s="554">
        <v>0.37</v>
      </c>
      <c r="S461" s="554">
        <v>0.37</v>
      </c>
      <c r="T461" s="554">
        <v>0.37</v>
      </c>
      <c r="U461" s="554">
        <v>0.37</v>
      </c>
    </row>
    <row r="462" spans="1:22" ht="13" outlineLevel="1" x14ac:dyDescent="0.3">
      <c r="A462" s="149"/>
      <c r="N462" s="558"/>
    </row>
    <row r="463" spans="1:22" ht="13" outlineLevel="1" x14ac:dyDescent="0.3">
      <c r="A463" s="149"/>
      <c r="B463" s="118" t="s">
        <v>117</v>
      </c>
      <c r="C463" s="118"/>
      <c r="D463" s="118"/>
      <c r="E463" s="118"/>
      <c r="F463" s="118"/>
      <c r="G463" s="118"/>
      <c r="H463" s="118"/>
      <c r="I463" s="118"/>
      <c r="J463" s="118"/>
      <c r="K463" s="118"/>
      <c r="L463" s="118"/>
      <c r="M463" s="118"/>
      <c r="N463" s="118"/>
      <c r="O463" s="118"/>
      <c r="P463" s="118"/>
      <c r="Q463" s="118"/>
      <c r="R463" s="118"/>
      <c r="S463" s="118"/>
      <c r="T463" s="118"/>
      <c r="U463" s="118"/>
    </row>
    <row r="464" spans="1:22" ht="13" outlineLevel="1" x14ac:dyDescent="0.3">
      <c r="A464" s="149"/>
    </row>
    <row r="465" spans="1:22" ht="13" outlineLevel="1" x14ac:dyDescent="0.3">
      <c r="A465" s="149"/>
      <c r="B465" s="41"/>
      <c r="C465" s="41"/>
      <c r="D465" s="41"/>
      <c r="E465" s="156">
        <v>2015</v>
      </c>
      <c r="F465" s="156">
        <f t="shared" ref="F465:T465" si="517">+E465+1</f>
        <v>2016</v>
      </c>
      <c r="G465" s="156">
        <f t="shared" si="517"/>
        <v>2017</v>
      </c>
      <c r="H465" s="156">
        <f t="shared" si="517"/>
        <v>2018</v>
      </c>
      <c r="I465" s="156">
        <f t="shared" si="517"/>
        <v>2019</v>
      </c>
      <c r="J465" s="156">
        <f t="shared" si="517"/>
        <v>2020</v>
      </c>
      <c r="K465" s="156">
        <f t="shared" si="517"/>
        <v>2021</v>
      </c>
      <c r="L465" s="156">
        <f t="shared" si="517"/>
        <v>2022</v>
      </c>
      <c r="M465" s="156">
        <f t="shared" si="517"/>
        <v>2023</v>
      </c>
      <c r="N465" s="156">
        <f t="shared" si="517"/>
        <v>2024</v>
      </c>
      <c r="O465" s="157">
        <f t="shared" si="517"/>
        <v>2025</v>
      </c>
      <c r="P465" s="157">
        <f t="shared" si="517"/>
        <v>2026</v>
      </c>
      <c r="Q465" s="157">
        <f t="shared" si="517"/>
        <v>2027</v>
      </c>
      <c r="R465" s="157">
        <f t="shared" si="517"/>
        <v>2028</v>
      </c>
      <c r="S465" s="157">
        <f t="shared" si="517"/>
        <v>2029</v>
      </c>
      <c r="T465" s="157">
        <f t="shared" si="517"/>
        <v>2030</v>
      </c>
      <c r="U465" s="157">
        <f t="shared" ref="U465" si="518">+T465+1</f>
        <v>2031</v>
      </c>
    </row>
    <row r="466" spans="1:22" ht="13.5" outlineLevel="1" thickBot="1" x14ac:dyDescent="0.35">
      <c r="A466" s="149"/>
      <c r="B466" s="73"/>
      <c r="C466" s="73"/>
      <c r="D466" s="73"/>
      <c r="E466" s="158">
        <v>2015</v>
      </c>
      <c r="F466" s="158">
        <f t="shared" ref="F466:T466" si="519">E466+1</f>
        <v>2016</v>
      </c>
      <c r="G466" s="158">
        <f t="shared" si="519"/>
        <v>2017</v>
      </c>
      <c r="H466" s="158">
        <f t="shared" si="519"/>
        <v>2018</v>
      </c>
      <c r="I466" s="158">
        <f t="shared" si="519"/>
        <v>2019</v>
      </c>
      <c r="J466" s="158">
        <f t="shared" si="519"/>
        <v>2020</v>
      </c>
      <c r="K466" s="158">
        <f t="shared" si="519"/>
        <v>2021</v>
      </c>
      <c r="L466" s="158">
        <f t="shared" si="519"/>
        <v>2022</v>
      </c>
      <c r="M466" s="158">
        <f t="shared" si="519"/>
        <v>2023</v>
      </c>
      <c r="N466" s="158">
        <f t="shared" si="519"/>
        <v>2024</v>
      </c>
      <c r="O466" s="159">
        <f t="shared" si="519"/>
        <v>2025</v>
      </c>
      <c r="P466" s="159">
        <f t="shared" si="519"/>
        <v>2026</v>
      </c>
      <c r="Q466" s="159">
        <f t="shared" si="519"/>
        <v>2027</v>
      </c>
      <c r="R466" s="159">
        <f t="shared" si="519"/>
        <v>2028</v>
      </c>
      <c r="S466" s="159">
        <f t="shared" si="519"/>
        <v>2029</v>
      </c>
      <c r="T466" s="159">
        <f t="shared" si="519"/>
        <v>2030</v>
      </c>
      <c r="U466" s="159">
        <f t="shared" ref="U466" si="520">T466+1</f>
        <v>2031</v>
      </c>
    </row>
    <row r="467" spans="1:22" ht="13" outlineLevel="1" x14ac:dyDescent="0.3">
      <c r="A467" s="149"/>
      <c r="B467" s="33" t="s">
        <v>156</v>
      </c>
      <c r="E467" s="50">
        <f t="shared" ref="E467:N467" si="521">E98</f>
        <v>4128</v>
      </c>
      <c r="F467" s="50">
        <f t="shared" si="521"/>
        <v>5821</v>
      </c>
      <c r="G467" s="50">
        <f t="shared" si="521"/>
        <v>6328</v>
      </c>
      <c r="H467" s="50">
        <f t="shared" si="521"/>
        <v>5879</v>
      </c>
      <c r="I467" s="50">
        <f t="shared" si="521"/>
        <v>5780</v>
      </c>
      <c r="J467" s="50">
        <f t="shared" si="521"/>
        <v>5640</v>
      </c>
      <c r="K467" s="50">
        <f t="shared" si="521"/>
        <v>4792</v>
      </c>
      <c r="L467" s="50">
        <f t="shared" si="521"/>
        <v>5213</v>
      </c>
      <c r="M467" s="50">
        <f t="shared" si="521"/>
        <v>4924</v>
      </c>
      <c r="N467" s="50">
        <f t="shared" si="521"/>
        <v>5468</v>
      </c>
      <c r="O467" s="67">
        <f t="shared" ref="O467:T467" si="522">O454/O$452*-O$9</f>
        <v>5579.564182183226</v>
      </c>
      <c r="P467" s="67">
        <f t="shared" si="522"/>
        <v>5794.7883779599688</v>
      </c>
      <c r="Q467" s="67">
        <f t="shared" si="522"/>
        <v>6021.7649991949102</v>
      </c>
      <c r="R467" s="67">
        <f t="shared" si="522"/>
        <v>6132.5072380856727</v>
      </c>
      <c r="S467" s="67">
        <f t="shared" si="522"/>
        <v>6368.777243888494</v>
      </c>
      <c r="T467" s="67">
        <f t="shared" si="522"/>
        <v>6061.2639194555513</v>
      </c>
      <c r="U467" s="67">
        <f t="shared" ref="U467" si="523">U454/U$452*-U$9</f>
        <v>6243.3017730895272</v>
      </c>
    </row>
    <row r="468" spans="1:22" ht="13" outlineLevel="1" x14ac:dyDescent="0.3">
      <c r="A468" s="149"/>
      <c r="B468" s="33" t="s">
        <v>118</v>
      </c>
      <c r="E468" s="50">
        <f t="shared" ref="E468:N468" si="524">E99</f>
        <v>28605</v>
      </c>
      <c r="F468" s="50">
        <f t="shared" si="524"/>
        <v>34358</v>
      </c>
      <c r="G468" s="50">
        <f t="shared" si="524"/>
        <v>39334</v>
      </c>
      <c r="H468" s="50">
        <f t="shared" si="524"/>
        <v>42067</v>
      </c>
      <c r="I468" s="50">
        <f t="shared" si="524"/>
        <v>45374</v>
      </c>
      <c r="J468" s="50">
        <f t="shared" si="524"/>
        <v>40820</v>
      </c>
      <c r="K468" s="50">
        <f t="shared" si="524"/>
        <v>39498</v>
      </c>
      <c r="L468" s="50">
        <f t="shared" si="524"/>
        <v>44247</v>
      </c>
      <c r="M468" s="50">
        <f t="shared" si="524"/>
        <v>49615</v>
      </c>
      <c r="N468" s="50">
        <f t="shared" si="524"/>
        <v>54355</v>
      </c>
      <c r="O468" s="67">
        <f t="shared" ref="O468:T469" si="525">O455/O$452*O$8</f>
        <v>53650.240750389574</v>
      </c>
      <c r="P468" s="67">
        <f t="shared" si="525"/>
        <v>56082.180011129705</v>
      </c>
      <c r="Q468" s="67">
        <f t="shared" si="525"/>
        <v>58129.753868585845</v>
      </c>
      <c r="R468" s="67">
        <f t="shared" si="525"/>
        <v>59137.45209588798</v>
      </c>
      <c r="S468" s="67">
        <f t="shared" si="525"/>
        <v>61518.623724442507</v>
      </c>
      <c r="T468" s="67">
        <f t="shared" si="525"/>
        <v>59258.713818721109</v>
      </c>
      <c r="U468" s="67">
        <f t="shared" ref="U468" si="526">U455/U$452*U$8</f>
        <v>61223.544163132734</v>
      </c>
    </row>
    <row r="469" spans="1:22" ht="13" outlineLevel="1" x14ac:dyDescent="0.3">
      <c r="A469" s="149"/>
      <c r="B469" s="33" t="s">
        <v>119</v>
      </c>
      <c r="E469" s="50">
        <f t="shared" ref="E469:N469" si="527">E100</f>
        <v>4330</v>
      </c>
      <c r="F469" s="50">
        <f t="shared" si="527"/>
        <v>5526</v>
      </c>
      <c r="G469" s="50">
        <f t="shared" si="527"/>
        <v>5767</v>
      </c>
      <c r="H469" s="50">
        <f t="shared" si="527"/>
        <v>5178</v>
      </c>
      <c r="I469" s="50">
        <f t="shared" si="527"/>
        <v>5340</v>
      </c>
      <c r="J469" s="50">
        <f t="shared" si="527"/>
        <v>4784</v>
      </c>
      <c r="K469" s="50">
        <f t="shared" si="527"/>
        <v>4476</v>
      </c>
      <c r="L469" s="50">
        <f t="shared" si="527"/>
        <v>5095</v>
      </c>
      <c r="M469" s="50">
        <f t="shared" si="527"/>
        <v>5647</v>
      </c>
      <c r="N469" s="50">
        <f t="shared" si="527"/>
        <v>6137</v>
      </c>
      <c r="O469" s="67">
        <f>O456/O$452*O$8</f>
        <v>6311.7930294575963</v>
      </c>
      <c r="P469" s="67">
        <f t="shared" si="525"/>
        <v>6597.9035307211416</v>
      </c>
      <c r="Q469" s="67">
        <f t="shared" si="525"/>
        <v>6838.7945727748056</v>
      </c>
      <c r="R469" s="67">
        <f t="shared" si="525"/>
        <v>6957.3473053985854</v>
      </c>
      <c r="S469" s="67">
        <f t="shared" si="525"/>
        <v>7237.4851440520597</v>
      </c>
      <c r="T469" s="67">
        <f t="shared" si="525"/>
        <v>6971.6133904377775</v>
      </c>
      <c r="U469" s="67">
        <f t="shared" ref="U469" si="528">U456/U$452*U$8</f>
        <v>7202.7699015450271</v>
      </c>
    </row>
    <row r="470" spans="1:22" ht="13" outlineLevel="1" x14ac:dyDescent="0.3">
      <c r="A470" s="149"/>
      <c r="B470" s="33" t="s">
        <v>120</v>
      </c>
      <c r="E470" s="50">
        <f t="shared" ref="E470:N470" si="529">E104</f>
        <v>-8295</v>
      </c>
      <c r="F470" s="50">
        <f t="shared" si="529"/>
        <v>-9533</v>
      </c>
      <c r="G470" s="50">
        <f t="shared" si="529"/>
        <v>-9904</v>
      </c>
      <c r="H470" s="50">
        <f t="shared" si="529"/>
        <v>-9505</v>
      </c>
      <c r="I470" s="50">
        <f t="shared" si="529"/>
        <v>-9582</v>
      </c>
      <c r="J470" s="50">
        <f t="shared" si="529"/>
        <v>-8277</v>
      </c>
      <c r="K470" s="50">
        <f t="shared" si="529"/>
        <v>-7975</v>
      </c>
      <c r="L470" s="50">
        <f t="shared" si="529"/>
        <v>-8405</v>
      </c>
      <c r="M470" s="50">
        <f t="shared" si="529"/>
        <v>-7965</v>
      </c>
      <c r="N470" s="50">
        <f t="shared" si="529"/>
        <v>-9809</v>
      </c>
      <c r="O470" s="67">
        <f>O457/O$452*O$9</f>
        <v>-10043.215527929808</v>
      </c>
      <c r="P470" s="67">
        <f t="shared" ref="P470:T470" si="530">P457/P$452*P$9</f>
        <v>-10430.619080327944</v>
      </c>
      <c r="Q470" s="67">
        <f t="shared" si="530"/>
        <v>-10839.176998550838</v>
      </c>
      <c r="R470" s="67">
        <f t="shared" si="530"/>
        <v>-11038.513028554211</v>
      </c>
      <c r="S470" s="67">
        <f t="shared" si="530"/>
        <v>-11463.799038999288</v>
      </c>
      <c r="T470" s="67">
        <f t="shared" si="530"/>
        <v>-10910.275055019993</v>
      </c>
      <c r="U470" s="67">
        <f t="shared" ref="U470" si="531">U457/U$452*U$9</f>
        <v>-11237.943191561149</v>
      </c>
    </row>
    <row r="471" spans="1:22" ht="13" outlineLevel="1" x14ac:dyDescent="0.3">
      <c r="A471" s="149"/>
      <c r="B471" s="33" t="s">
        <v>202</v>
      </c>
      <c r="E471" s="50">
        <f t="shared" ref="E471:N471" si="532">E103</f>
        <v>-30740</v>
      </c>
      <c r="F471" s="50">
        <f t="shared" si="532"/>
        <v>-36041</v>
      </c>
      <c r="G471" s="50">
        <f t="shared" si="532"/>
        <v>-41395</v>
      </c>
      <c r="H471" s="50">
        <f t="shared" si="532"/>
        <v>-44495</v>
      </c>
      <c r="I471" s="50">
        <f t="shared" si="532"/>
        <v>-47465</v>
      </c>
      <c r="J471" s="50">
        <f t="shared" si="532"/>
        <v>-47547</v>
      </c>
      <c r="K471" s="50">
        <f t="shared" si="532"/>
        <v>-45123</v>
      </c>
      <c r="L471" s="50">
        <f t="shared" si="532"/>
        <v>-48999</v>
      </c>
      <c r="M471" s="50">
        <f t="shared" si="532"/>
        <v>-54095</v>
      </c>
      <c r="N471" s="50">
        <f t="shared" si="532"/>
        <v>-60438</v>
      </c>
      <c r="O471" s="67">
        <f t="shared" ref="O471:T471" si="533">-O458/O$452*O$8</f>
        <v>-59962.033779847166</v>
      </c>
      <c r="P471" s="67">
        <f t="shared" si="533"/>
        <v>-62680.083541850843</v>
      </c>
      <c r="Q471" s="67">
        <f t="shared" si="533"/>
        <v>-64968.548441360646</v>
      </c>
      <c r="R471" s="67">
        <f t="shared" si="533"/>
        <v>-66094.799401286567</v>
      </c>
      <c r="S471" s="67">
        <f t="shared" si="533"/>
        <v>-68756.108868494557</v>
      </c>
      <c r="T471" s="67">
        <f t="shared" si="533"/>
        <v>-66230.327209158888</v>
      </c>
      <c r="U471" s="67">
        <f t="shared" ref="U471" si="534">-U458/U$452*U$8</f>
        <v>-68426.314064677761</v>
      </c>
    </row>
    <row r="472" spans="1:22" ht="13" outlineLevel="1" x14ac:dyDescent="0.3">
      <c r="A472" s="149"/>
      <c r="O472" s="67"/>
      <c r="P472" s="67"/>
      <c r="Q472" s="67"/>
      <c r="R472" s="67"/>
      <c r="S472" s="67"/>
      <c r="T472" s="67"/>
      <c r="U472" s="67"/>
    </row>
    <row r="473" spans="1:22" ht="13" outlineLevel="1" x14ac:dyDescent="0.3">
      <c r="A473" s="149"/>
      <c r="B473" s="33" t="s">
        <v>161</v>
      </c>
      <c r="E473" s="50">
        <f t="shared" ref="E473:N473" si="535">E101</f>
        <v>488</v>
      </c>
      <c r="F473" s="50">
        <f t="shared" si="535"/>
        <v>539</v>
      </c>
      <c r="G473" s="50">
        <f t="shared" si="535"/>
        <v>263</v>
      </c>
      <c r="H473" s="50">
        <f t="shared" si="535"/>
        <v>378</v>
      </c>
      <c r="I473" s="50">
        <f t="shared" si="535"/>
        <v>216</v>
      </c>
      <c r="J473" s="50">
        <f t="shared" si="535"/>
        <v>298</v>
      </c>
      <c r="K473" s="50">
        <f t="shared" si="535"/>
        <v>181</v>
      </c>
      <c r="L473" s="50">
        <f t="shared" si="535"/>
        <v>410</v>
      </c>
      <c r="M473" s="50">
        <f t="shared" si="535"/>
        <v>119</v>
      </c>
      <c r="N473" s="50">
        <f t="shared" si="535"/>
        <v>356</v>
      </c>
      <c r="O473" s="67">
        <f t="shared" ref="O473:T473" si="536">O460</f>
        <v>324.8</v>
      </c>
      <c r="P473" s="67">
        <f t="shared" si="536"/>
        <v>324.8</v>
      </c>
      <c r="Q473" s="67">
        <f t="shared" si="536"/>
        <v>324.8</v>
      </c>
      <c r="R473" s="67">
        <f t="shared" si="536"/>
        <v>324.8</v>
      </c>
      <c r="S473" s="67">
        <f t="shared" si="536"/>
        <v>324.8</v>
      </c>
      <c r="T473" s="67">
        <f t="shared" si="536"/>
        <v>324.8</v>
      </c>
      <c r="U473" s="67">
        <f t="shared" ref="U473" si="537">U460</f>
        <v>324.8</v>
      </c>
    </row>
    <row r="474" spans="1:22" ht="13" outlineLevel="1" x14ac:dyDescent="0.3">
      <c r="A474" s="149"/>
      <c r="B474" s="33" t="s">
        <v>167</v>
      </c>
      <c r="E474" s="50">
        <f t="shared" ref="E474:N474" ca="1" si="538">E102</f>
        <v>14133</v>
      </c>
      <c r="F474" s="50">
        <f t="shared" ca="1" si="538"/>
        <v>13853</v>
      </c>
      <c r="G474" s="50">
        <f t="shared" ca="1" si="538"/>
        <v>14057</v>
      </c>
      <c r="H474" s="50">
        <f t="shared" ca="1" si="538"/>
        <v>14777</v>
      </c>
      <c r="I474" s="50">
        <f t="shared" ca="1" si="538"/>
        <v>14982</v>
      </c>
      <c r="J474" s="50">
        <f t="shared" ca="1" si="538"/>
        <v>19864.230318781712</v>
      </c>
      <c r="K474" s="50">
        <f t="shared" ca="1" si="538"/>
        <v>19521.4802220399</v>
      </c>
      <c r="L474" s="50">
        <f t="shared" ca="1" si="538"/>
        <v>20307.385426336725</v>
      </c>
      <c r="M474" s="50">
        <f t="shared" ca="1" si="538"/>
        <v>20677</v>
      </c>
      <c r="N474" s="50">
        <f t="shared" ca="1" si="538"/>
        <v>22203.409621983592</v>
      </c>
      <c r="O474" s="67">
        <f>SUM(O468:O469)*O461</f>
        <v>22185.952498543455</v>
      </c>
      <c r="P474" s="67">
        <f t="shared" ref="P474:T474" si="539">SUM(P468:P469)*P461</f>
        <v>23191.630910484815</v>
      </c>
      <c r="Q474" s="67">
        <f t="shared" si="539"/>
        <v>24038.362923303441</v>
      </c>
      <c r="R474" s="67">
        <f t="shared" si="539"/>
        <v>24455.075778476028</v>
      </c>
      <c r="S474" s="67">
        <f t="shared" si="539"/>
        <v>25439.760281342991</v>
      </c>
      <c r="T474" s="67">
        <f t="shared" si="539"/>
        <v>24505.221067388789</v>
      </c>
      <c r="U474" s="67">
        <f t="shared" ref="U474" si="540">SUM(U468:U469)*U461</f>
        <v>25317.73620393077</v>
      </c>
    </row>
    <row r="475" spans="1:22" ht="13" outlineLevel="1" x14ac:dyDescent="0.3">
      <c r="A475" s="149"/>
    </row>
    <row r="476" spans="1:22" ht="13" outlineLevel="1" x14ac:dyDescent="0.3">
      <c r="A476" s="149"/>
      <c r="B476" s="118" t="s">
        <v>302</v>
      </c>
      <c r="C476" s="118"/>
      <c r="D476" s="118"/>
      <c r="E476" s="118"/>
      <c r="F476" s="118"/>
      <c r="G476" s="118"/>
      <c r="H476" s="118"/>
      <c r="I476" s="118"/>
      <c r="J476" s="118"/>
      <c r="K476" s="118"/>
      <c r="L476" s="118"/>
      <c r="M476" s="118"/>
      <c r="N476" s="118"/>
      <c r="O476" s="118"/>
      <c r="P476" s="118"/>
      <c r="Q476" s="118"/>
      <c r="R476" s="118"/>
      <c r="S476" s="118"/>
      <c r="T476" s="118"/>
      <c r="U476" s="118"/>
    </row>
    <row r="477" spans="1:22" ht="13" outlineLevel="1" x14ac:dyDescent="0.3">
      <c r="A477" s="149"/>
    </row>
    <row r="478" spans="1:22" ht="13" outlineLevel="1" x14ac:dyDescent="0.3">
      <c r="A478" s="149"/>
      <c r="B478" s="41"/>
      <c r="C478" s="41"/>
      <c r="D478" s="41"/>
      <c r="E478" s="156">
        <v>2015</v>
      </c>
      <c r="F478" s="156">
        <f t="shared" ref="F478" si="541">+E478+1</f>
        <v>2016</v>
      </c>
      <c r="G478" s="156">
        <f t="shared" ref="G478" si="542">+F478+1</f>
        <v>2017</v>
      </c>
      <c r="H478" s="156">
        <f t="shared" ref="H478" si="543">+G478+1</f>
        <v>2018</v>
      </c>
      <c r="I478" s="156">
        <f t="shared" ref="I478" si="544">+H478+1</f>
        <v>2019</v>
      </c>
      <c r="J478" s="156">
        <f t="shared" ref="J478" si="545">+I478+1</f>
        <v>2020</v>
      </c>
      <c r="K478" s="156">
        <f t="shared" ref="K478" si="546">+J478+1</f>
        <v>2021</v>
      </c>
      <c r="L478" s="156">
        <f t="shared" ref="L478" si="547">+K478+1</f>
        <v>2022</v>
      </c>
      <c r="M478" s="156">
        <f t="shared" ref="M478" si="548">+L478+1</f>
        <v>2023</v>
      </c>
      <c r="N478" s="156">
        <f t="shared" ref="N478" si="549">+M478+1</f>
        <v>2024</v>
      </c>
      <c r="O478" s="157">
        <f t="shared" ref="O478" si="550">+N478+1</f>
        <v>2025</v>
      </c>
      <c r="P478" s="157">
        <f t="shared" ref="P478" si="551">+O478+1</f>
        <v>2026</v>
      </c>
      <c r="Q478" s="157">
        <f t="shared" ref="Q478" si="552">+P478+1</f>
        <v>2027</v>
      </c>
      <c r="R478" s="157">
        <f t="shared" ref="R478" si="553">+Q478+1</f>
        <v>2028</v>
      </c>
      <c r="S478" s="157">
        <f t="shared" ref="S478" si="554">+R478+1</f>
        <v>2029</v>
      </c>
      <c r="T478" s="157">
        <f t="shared" ref="T478" si="555">+S478+1</f>
        <v>2030</v>
      </c>
      <c r="U478" s="157">
        <f t="shared" ref="U478" si="556">+T478+1</f>
        <v>2031</v>
      </c>
    </row>
    <row r="479" spans="1:22" ht="13.5" outlineLevel="1" thickBot="1" x14ac:dyDescent="0.35">
      <c r="A479" s="149"/>
      <c r="B479" s="73"/>
      <c r="C479" s="73"/>
      <c r="D479" s="73"/>
      <c r="E479" s="158">
        <v>2015</v>
      </c>
      <c r="F479" s="158">
        <f t="shared" ref="F479" si="557">E479+1</f>
        <v>2016</v>
      </c>
      <c r="G479" s="158">
        <f t="shared" ref="G479" si="558">F479+1</f>
        <v>2017</v>
      </c>
      <c r="H479" s="158">
        <f t="shared" ref="H479" si="559">G479+1</f>
        <v>2018</v>
      </c>
      <c r="I479" s="158">
        <f t="shared" ref="I479" si="560">H479+1</f>
        <v>2019</v>
      </c>
      <c r="J479" s="158">
        <f t="shared" ref="J479" si="561">I479+1</f>
        <v>2020</v>
      </c>
      <c r="K479" s="158">
        <f t="shared" ref="K479" si="562">J479+1</f>
        <v>2021</v>
      </c>
      <c r="L479" s="158">
        <f t="shared" ref="L479" si="563">K479+1</f>
        <v>2022</v>
      </c>
      <c r="M479" s="158">
        <f t="shared" ref="M479" si="564">L479+1</f>
        <v>2023</v>
      </c>
      <c r="N479" s="158">
        <f t="shared" ref="N479" si="565">M479+1</f>
        <v>2024</v>
      </c>
      <c r="O479" s="159">
        <f t="shared" ref="O479" si="566">N479+1</f>
        <v>2025</v>
      </c>
      <c r="P479" s="159">
        <f t="shared" ref="P479" si="567">O479+1</f>
        <v>2026</v>
      </c>
      <c r="Q479" s="159">
        <f t="shared" ref="Q479" si="568">P479+1</f>
        <v>2027</v>
      </c>
      <c r="R479" s="159">
        <f t="shared" ref="R479" si="569">Q479+1</f>
        <v>2028</v>
      </c>
      <c r="S479" s="159">
        <f t="shared" ref="S479" si="570">R479+1</f>
        <v>2029</v>
      </c>
      <c r="T479" s="159">
        <f t="shared" ref="T479" si="571">S479+1</f>
        <v>2030</v>
      </c>
      <c r="U479" s="159">
        <f t="shared" ref="U479" si="572">T479+1</f>
        <v>2031</v>
      </c>
    </row>
    <row r="480" spans="1:22" ht="13" outlineLevel="1" x14ac:dyDescent="0.3">
      <c r="A480" s="149"/>
      <c r="B480" s="33" t="s">
        <v>303</v>
      </c>
      <c r="C480" s="41"/>
      <c r="D480" s="41"/>
      <c r="E480" s="65">
        <f>-E491/E8</f>
        <v>0.27204535927813445</v>
      </c>
      <c r="F480" s="65">
        <f t="shared" ref="F480:N480" si="573">-F491/F8</f>
        <v>0.28392170637940795</v>
      </c>
      <c r="G480" s="65">
        <f t="shared" si="573"/>
        <v>0.27194734776870122</v>
      </c>
      <c r="H480" s="65">
        <f t="shared" si="573"/>
        <v>0.29116289294350411</v>
      </c>
      <c r="I480" s="65">
        <f t="shared" si="573"/>
        <v>0.32681729067133641</v>
      </c>
      <c r="J480" s="65">
        <f t="shared" si="573"/>
        <v>0.39152162254400069</v>
      </c>
      <c r="K480" s="65">
        <f t="shared" si="573"/>
        <v>0.33887614678899081</v>
      </c>
      <c r="L480" s="65">
        <f t="shared" si="573"/>
        <v>0.3145437692655903</v>
      </c>
      <c r="M480" s="65">
        <f t="shared" si="573"/>
        <v>0.2868680311593097</v>
      </c>
      <c r="N480" s="65">
        <f t="shared" si="573"/>
        <v>0.28417982643334755</v>
      </c>
      <c r="O480" s="555">
        <v>0.28000000000000003</v>
      </c>
      <c r="P480" s="555">
        <v>0.28000000000000003</v>
      </c>
      <c r="Q480" s="555">
        <v>0.28000000000000003</v>
      </c>
      <c r="R480" s="555">
        <v>0.28000000000000003</v>
      </c>
      <c r="S480" s="555">
        <v>0.28000000000000003</v>
      </c>
      <c r="T480" s="555">
        <v>0.28000000000000003</v>
      </c>
      <c r="U480" s="555">
        <v>0.28000000000000003</v>
      </c>
      <c r="V480"/>
    </row>
    <row r="481" spans="1:22" ht="13" outlineLevel="1" x14ac:dyDescent="0.3">
      <c r="A481" s="149"/>
      <c r="B481" s="33" t="s">
        <v>304</v>
      </c>
      <c r="C481" s="41"/>
      <c r="D481" s="41"/>
      <c r="E481" s="65"/>
      <c r="F481" s="65"/>
      <c r="G481" s="65"/>
      <c r="H481" s="65"/>
      <c r="I481" s="65"/>
      <c r="J481" s="65"/>
      <c r="K481" s="65"/>
      <c r="L481" s="65"/>
      <c r="M481" s="65"/>
      <c r="N481" s="65"/>
      <c r="O481" s="555"/>
      <c r="P481" s="555"/>
      <c r="Q481" s="555"/>
      <c r="R481" s="555"/>
      <c r="S481" s="555"/>
      <c r="T481" s="555"/>
      <c r="U481" s="555"/>
      <c r="V481"/>
    </row>
    <row r="482" spans="1:22" ht="13" outlineLevel="1" x14ac:dyDescent="0.3">
      <c r="A482" s="149"/>
      <c r="B482" s="45" t="s">
        <v>305</v>
      </c>
      <c r="E482" s="65">
        <f>E492/E$491</f>
        <v>6.5444813883707723E-2</v>
      </c>
      <c r="F482" s="65">
        <f t="shared" ref="F482:N482" si="574">F492/F$491</f>
        <v>4.7907072651041306E-2</v>
      </c>
      <c r="G482" s="65">
        <f t="shared" si="574"/>
        <v>6.9062766445858195E-2</v>
      </c>
      <c r="H482" s="65">
        <f t="shared" si="574"/>
        <v>9.0411476028690069E-2</v>
      </c>
      <c r="I482" s="65">
        <f t="shared" si="574"/>
        <v>9.8718695398951659E-2</v>
      </c>
      <c r="J482" s="65">
        <f t="shared" si="574"/>
        <v>8.7292198493244502E-2</v>
      </c>
      <c r="K482" s="65">
        <f t="shared" si="574"/>
        <v>0.10118443316412859</v>
      </c>
      <c r="L482" s="65">
        <f t="shared" si="574"/>
        <v>0.10464638157894737</v>
      </c>
      <c r="M482" s="65">
        <f t="shared" si="574"/>
        <v>9.3843594009983364E-2</v>
      </c>
      <c r="N482" s="65">
        <f t="shared" si="574"/>
        <v>7.9411764705882348E-2</v>
      </c>
      <c r="O482" s="555">
        <v>0.08</v>
      </c>
      <c r="P482" s="555">
        <v>0.08</v>
      </c>
      <c r="Q482" s="555">
        <v>0.08</v>
      </c>
      <c r="R482" s="555">
        <v>0.08</v>
      </c>
      <c r="S482" s="555">
        <v>0.08</v>
      </c>
      <c r="T482" s="555">
        <v>0.08</v>
      </c>
      <c r="U482" s="555">
        <v>0.08</v>
      </c>
      <c r="V482"/>
    </row>
    <row r="483" spans="1:22" ht="13" outlineLevel="1" x14ac:dyDescent="0.3">
      <c r="A483" s="149"/>
      <c r="B483" s="45" t="s">
        <v>306</v>
      </c>
      <c r="E483" s="65">
        <f>E493/E$491</f>
        <v>1.7760116778850053E-2</v>
      </c>
      <c r="F483" s="65">
        <f t="shared" ref="F483:N483" si="575">F493/F$491</f>
        <v>2.2063372053062066E-2</v>
      </c>
      <c r="G483" s="65">
        <f t="shared" si="575"/>
        <v>1.6134321505870006E-2</v>
      </c>
      <c r="H483" s="65">
        <f t="shared" si="575"/>
        <v>1.8182962124071975E-2</v>
      </c>
      <c r="I483" s="65">
        <f t="shared" si="575"/>
        <v>1.2987769365171811E-2</v>
      </c>
      <c r="J483" s="65">
        <f t="shared" si="575"/>
        <v>1.3760039848079199E-2</v>
      </c>
      <c r="K483" s="65">
        <f t="shared" si="575"/>
        <v>1.8003384094754653E-2</v>
      </c>
      <c r="L483" s="65">
        <f t="shared" si="575"/>
        <v>2.1381578947368422E-2</v>
      </c>
      <c r="M483" s="65">
        <f t="shared" si="575"/>
        <v>2.3893510815307821E-2</v>
      </c>
      <c r="N483" s="65">
        <f t="shared" si="575"/>
        <v>2.3153942428035045E-2</v>
      </c>
      <c r="O483" s="555">
        <v>2.1999999999999999E-2</v>
      </c>
      <c r="P483" s="555">
        <v>2.1999999999999999E-2</v>
      </c>
      <c r="Q483" s="555">
        <v>2.1999999999999999E-2</v>
      </c>
      <c r="R483" s="555">
        <v>2.1999999999999999E-2</v>
      </c>
      <c r="S483" s="555">
        <v>2.1999999999999999E-2</v>
      </c>
      <c r="T483" s="555">
        <v>2.1999999999999999E-2</v>
      </c>
      <c r="U483" s="555">
        <v>2.1999999999999999E-2</v>
      </c>
      <c r="V483"/>
    </row>
    <row r="484" spans="1:22" ht="13" outlineLevel="1" x14ac:dyDescent="0.3">
      <c r="A484" s="149"/>
      <c r="B484" s="45" t="s">
        <v>124</v>
      </c>
      <c r="E484" s="65">
        <f>E494/E$491</f>
        <v>0.17638472143378478</v>
      </c>
      <c r="F484" s="65">
        <f t="shared" ref="F484:N484" si="576">F494/F$491</f>
        <v>0.1760945769468692</v>
      </c>
      <c r="G484" s="65">
        <f t="shared" si="576"/>
        <v>0.1593100282022693</v>
      </c>
      <c r="H484" s="65">
        <f t="shared" si="576"/>
        <v>0.16786208632188246</v>
      </c>
      <c r="I484" s="65">
        <f t="shared" si="576"/>
        <v>0.15824111822947001</v>
      </c>
      <c r="J484" s="65">
        <f t="shared" si="576"/>
        <v>0.19369902247680718</v>
      </c>
      <c r="K484" s="65">
        <f t="shared" si="576"/>
        <v>0.20737732656514382</v>
      </c>
      <c r="L484" s="65">
        <f t="shared" si="576"/>
        <v>0.18386787280701755</v>
      </c>
      <c r="M484" s="65">
        <f t="shared" si="576"/>
        <v>0.17371048252911814</v>
      </c>
      <c r="N484" s="65">
        <f t="shared" si="576"/>
        <v>0.16458072590738423</v>
      </c>
      <c r="O484" s="555">
        <v>0.17</v>
      </c>
      <c r="P484" s="555">
        <v>0.17</v>
      </c>
      <c r="Q484" s="555">
        <v>0.17</v>
      </c>
      <c r="R484" s="555">
        <v>0.17</v>
      </c>
      <c r="S484" s="555">
        <v>0.17</v>
      </c>
      <c r="T484" s="555">
        <v>0.17</v>
      </c>
      <c r="U484" s="555">
        <v>0.17</v>
      </c>
      <c r="V484"/>
    </row>
    <row r="485" spans="1:22" ht="13" outlineLevel="1" x14ac:dyDescent="0.3">
      <c r="A485" s="149"/>
      <c r="B485" s="45" t="s">
        <v>125</v>
      </c>
      <c r="E485" s="65">
        <f>E495/E$491</f>
        <v>0.74041034790365745</v>
      </c>
      <c r="F485" s="65">
        <f t="shared" ref="F485:N485" si="577">F495/F$491</f>
        <v>0.75393497834902745</v>
      </c>
      <c r="G485" s="65">
        <f t="shared" si="577"/>
        <v>0.75549288384600244</v>
      </c>
      <c r="H485" s="65">
        <f t="shared" si="577"/>
        <v>0.72354347552535547</v>
      </c>
      <c r="I485" s="65">
        <f t="shared" si="577"/>
        <v>0.73005241700640655</v>
      </c>
      <c r="J485" s="65">
        <f t="shared" si="577"/>
        <v>0.70524873918186914</v>
      </c>
      <c r="K485" s="65">
        <f t="shared" si="577"/>
        <v>0.67343485617597287</v>
      </c>
      <c r="L485" s="65">
        <f t="shared" si="577"/>
        <v>0.69010416666666663</v>
      </c>
      <c r="M485" s="65">
        <f t="shared" si="577"/>
        <v>0.70855241264559066</v>
      </c>
      <c r="N485" s="65">
        <f t="shared" si="577"/>
        <v>0.73285356695869841</v>
      </c>
      <c r="O485" s="555">
        <v>0.73499999999999999</v>
      </c>
      <c r="P485" s="555">
        <v>0.73499999999999999</v>
      </c>
      <c r="Q485" s="555">
        <v>0.73499999999999999</v>
      </c>
      <c r="R485" s="555">
        <v>0.73499999999999999</v>
      </c>
      <c r="S485" s="555">
        <v>0.73499999999999999</v>
      </c>
      <c r="T485" s="555">
        <v>0.73499999999999999</v>
      </c>
      <c r="U485" s="555">
        <v>0.73499999999999999</v>
      </c>
      <c r="V485"/>
    </row>
    <row r="486" spans="1:22" ht="13" outlineLevel="1" x14ac:dyDescent="0.3">
      <c r="A486" s="149"/>
      <c r="E486" s="76"/>
      <c r="F486" s="76"/>
      <c r="H486" s="76"/>
      <c r="I486" s="76"/>
      <c r="N486" s="76"/>
    </row>
    <row r="487" spans="1:22" ht="13" outlineLevel="1" x14ac:dyDescent="0.3">
      <c r="A487" s="149"/>
      <c r="B487" s="118" t="s">
        <v>307</v>
      </c>
      <c r="C487" s="118"/>
      <c r="D487" s="118"/>
      <c r="E487" s="118"/>
      <c r="F487" s="118"/>
      <c r="G487" s="118"/>
      <c r="H487" s="118"/>
      <c r="I487" s="118"/>
      <c r="J487" s="118"/>
      <c r="K487" s="118"/>
      <c r="L487" s="118"/>
      <c r="M487" s="118"/>
      <c r="N487" s="118"/>
      <c r="O487" s="118"/>
      <c r="P487" s="118"/>
      <c r="Q487" s="118"/>
      <c r="R487" s="118"/>
      <c r="S487" s="118"/>
      <c r="T487" s="118"/>
      <c r="U487" s="118"/>
    </row>
    <row r="488" spans="1:22" ht="13" outlineLevel="1" x14ac:dyDescent="0.3">
      <c r="A488" s="149"/>
    </row>
    <row r="489" spans="1:22" ht="13" outlineLevel="1" x14ac:dyDescent="0.3">
      <c r="A489" s="149"/>
      <c r="B489" s="41"/>
      <c r="C489" s="41"/>
      <c r="D489" s="41"/>
      <c r="E489" s="156">
        <v>2015</v>
      </c>
      <c r="F489" s="156">
        <f t="shared" ref="F489" si="578">+E489+1</f>
        <v>2016</v>
      </c>
      <c r="G489" s="156">
        <f t="shared" ref="G489" si="579">+F489+1</f>
        <v>2017</v>
      </c>
      <c r="H489" s="156">
        <f t="shared" ref="H489" si="580">+G489+1</f>
        <v>2018</v>
      </c>
      <c r="I489" s="156">
        <f t="shared" ref="I489" si="581">+H489+1</f>
        <v>2019</v>
      </c>
      <c r="J489" s="156">
        <f t="shared" ref="J489" si="582">+I489+1</f>
        <v>2020</v>
      </c>
      <c r="K489" s="156">
        <f t="shared" ref="K489" si="583">+J489+1</f>
        <v>2021</v>
      </c>
      <c r="L489" s="156">
        <f t="shared" ref="L489" si="584">+K489+1</f>
        <v>2022</v>
      </c>
      <c r="M489" s="156">
        <f t="shared" ref="M489" si="585">+L489+1</f>
        <v>2023</v>
      </c>
      <c r="N489" s="156">
        <f t="shared" ref="N489" si="586">+M489+1</f>
        <v>2024</v>
      </c>
      <c r="O489" s="157">
        <f t="shared" ref="O489" si="587">+N489+1</f>
        <v>2025</v>
      </c>
      <c r="P489" s="157">
        <f t="shared" ref="P489" si="588">+O489+1</f>
        <v>2026</v>
      </c>
      <c r="Q489" s="157">
        <f t="shared" ref="Q489" si="589">+P489+1</f>
        <v>2027</v>
      </c>
      <c r="R489" s="157">
        <f t="shared" ref="R489" si="590">+Q489+1</f>
        <v>2028</v>
      </c>
      <c r="S489" s="157">
        <f t="shared" ref="S489" si="591">+R489+1</f>
        <v>2029</v>
      </c>
      <c r="T489" s="157">
        <f t="shared" ref="T489" si="592">+S489+1</f>
        <v>2030</v>
      </c>
      <c r="U489" s="157">
        <f t="shared" ref="U489" si="593">+T489+1</f>
        <v>2031</v>
      </c>
    </row>
    <row r="490" spans="1:22" ht="13.5" outlineLevel="1" thickBot="1" x14ac:dyDescent="0.35">
      <c r="A490" s="149"/>
      <c r="B490" s="73"/>
      <c r="C490" s="73"/>
      <c r="D490" s="73"/>
      <c r="E490" s="158">
        <v>2015</v>
      </c>
      <c r="F490" s="158">
        <f t="shared" ref="F490" si="594">E490+1</f>
        <v>2016</v>
      </c>
      <c r="G490" s="158">
        <f t="shared" ref="G490" si="595">F490+1</f>
        <v>2017</v>
      </c>
      <c r="H490" s="158">
        <f t="shared" ref="H490" si="596">G490+1</f>
        <v>2018</v>
      </c>
      <c r="I490" s="158">
        <f t="shared" ref="I490" si="597">H490+1</f>
        <v>2019</v>
      </c>
      <c r="J490" s="158">
        <f t="shared" ref="J490" si="598">I490+1</f>
        <v>2020</v>
      </c>
      <c r="K490" s="158">
        <f t="shared" ref="K490" si="599">J490+1</f>
        <v>2021</v>
      </c>
      <c r="L490" s="158">
        <f t="shared" ref="L490" si="600">K490+1</f>
        <v>2022</v>
      </c>
      <c r="M490" s="158">
        <f t="shared" ref="M490" si="601">L490+1</f>
        <v>2023</v>
      </c>
      <c r="N490" s="158">
        <f t="shared" ref="N490" si="602">M490+1</f>
        <v>2024</v>
      </c>
      <c r="O490" s="159">
        <f t="shared" ref="O490" si="603">N490+1</f>
        <v>2025</v>
      </c>
      <c r="P490" s="159">
        <f t="shared" ref="P490" si="604">O490+1</f>
        <v>2026</v>
      </c>
      <c r="Q490" s="159">
        <f t="shared" ref="Q490" si="605">P490+1</f>
        <v>2027</v>
      </c>
      <c r="R490" s="159">
        <f t="shared" ref="R490" si="606">Q490+1</f>
        <v>2028</v>
      </c>
      <c r="S490" s="159">
        <f t="shared" ref="S490" si="607">R490+1</f>
        <v>2029</v>
      </c>
      <c r="T490" s="159">
        <f t="shared" ref="T490" si="608">S490+1</f>
        <v>2030</v>
      </c>
      <c r="U490" s="159">
        <f t="shared" ref="U490" si="609">T490+1</f>
        <v>2031</v>
      </c>
    </row>
    <row r="491" spans="1:22" ht="13" outlineLevel="1" x14ac:dyDescent="0.3">
      <c r="A491" s="149"/>
      <c r="B491" s="33" t="s">
        <v>121</v>
      </c>
      <c r="E491" s="56">
        <f>SUM(E492:E495)</f>
        <v>-12331</v>
      </c>
      <c r="F491" s="56">
        <f t="shared" ref="F491:N491" si="610">SUM(F492:F495)</f>
        <v>-14549</v>
      </c>
      <c r="G491" s="56">
        <f t="shared" si="610"/>
        <v>-15247</v>
      </c>
      <c r="H491" s="56">
        <f t="shared" si="610"/>
        <v>-15894</v>
      </c>
      <c r="I491" s="56">
        <f t="shared" si="610"/>
        <v>-17170</v>
      </c>
      <c r="J491" s="56">
        <f t="shared" si="610"/>
        <v>-16061</v>
      </c>
      <c r="K491" s="56">
        <f t="shared" si="610"/>
        <v>-14775</v>
      </c>
      <c r="L491" s="56">
        <f t="shared" si="610"/>
        <v>-14592</v>
      </c>
      <c r="M491" s="56">
        <f t="shared" si="610"/>
        <v>-15025</v>
      </c>
      <c r="N491" s="56">
        <f t="shared" si="610"/>
        <v>-15980</v>
      </c>
      <c r="O491" s="56">
        <f>-O480*O8</f>
        <v>-16126.631190264163</v>
      </c>
      <c r="P491" s="56">
        <f t="shared" ref="P491:S491" si="611">-P480*P8</f>
        <v>-16857.643520992518</v>
      </c>
      <c r="Q491" s="56">
        <f t="shared" si="611"/>
        <v>-17473.120133439628</v>
      </c>
      <c r="R491" s="56">
        <f t="shared" si="611"/>
        <v>-17776.022365293389</v>
      </c>
      <c r="S491" s="56">
        <f t="shared" si="611"/>
        <v>-18491.774543053016</v>
      </c>
      <c r="T491" s="56">
        <f>-T480*T8</f>
        <v>-17812.472212568526</v>
      </c>
      <c r="U491" s="56">
        <f t="shared" ref="U491" si="612">-U480*U8</f>
        <v>-18403.077098447549</v>
      </c>
    </row>
    <row r="492" spans="1:22" ht="13" outlineLevel="1" x14ac:dyDescent="0.3">
      <c r="A492" s="149"/>
      <c r="B492" s="33" t="s">
        <v>308</v>
      </c>
      <c r="E492" s="50">
        <f t="shared" ref="E492:N492" si="613">E107</f>
        <v>-807</v>
      </c>
      <c r="F492" s="50">
        <f t="shared" si="613"/>
        <v>-697</v>
      </c>
      <c r="G492" s="50">
        <f t="shared" si="613"/>
        <v>-1053</v>
      </c>
      <c r="H492" s="50">
        <f t="shared" si="613"/>
        <v>-1437</v>
      </c>
      <c r="I492" s="50">
        <f t="shared" si="613"/>
        <v>-1695</v>
      </c>
      <c r="J492" s="50">
        <f t="shared" si="613"/>
        <v>-1402</v>
      </c>
      <c r="K492" s="50">
        <f t="shared" si="613"/>
        <v>-1495</v>
      </c>
      <c r="L492" s="50">
        <f t="shared" si="613"/>
        <v>-1527</v>
      </c>
      <c r="M492" s="50">
        <f t="shared" si="613"/>
        <v>-1410</v>
      </c>
      <c r="N492" s="50">
        <f t="shared" si="613"/>
        <v>-1269</v>
      </c>
      <c r="O492" s="50">
        <f>O$491*O482</f>
        <v>-1290.1304952211331</v>
      </c>
      <c r="P492" s="50">
        <f t="shared" ref="P492:T492" si="614">P$491*P482</f>
        <v>-1348.6114816794015</v>
      </c>
      <c r="Q492" s="50">
        <f t="shared" si="614"/>
        <v>-1397.8496106751702</v>
      </c>
      <c r="R492" s="50">
        <f t="shared" si="614"/>
        <v>-1422.0817892234711</v>
      </c>
      <c r="S492" s="50">
        <f t="shared" si="614"/>
        <v>-1479.3419634442414</v>
      </c>
      <c r="T492" s="50">
        <f t="shared" si="614"/>
        <v>-1424.997777005482</v>
      </c>
      <c r="U492" s="50">
        <f t="shared" ref="U492" si="615">U$491*U482</f>
        <v>-1472.2461678758041</v>
      </c>
    </row>
    <row r="493" spans="1:22" ht="13" outlineLevel="1" x14ac:dyDescent="0.3">
      <c r="A493" s="149"/>
      <c r="B493" s="33" t="s">
        <v>123</v>
      </c>
      <c r="E493" s="50">
        <f t="shared" ref="E493:N493" si="616">E108</f>
        <v>-219</v>
      </c>
      <c r="F493" s="50">
        <f t="shared" si="616"/>
        <v>-321</v>
      </c>
      <c r="G493" s="50">
        <f t="shared" si="616"/>
        <v>-246</v>
      </c>
      <c r="H493" s="50">
        <f t="shared" si="616"/>
        <v>-289</v>
      </c>
      <c r="I493" s="50">
        <f t="shared" si="616"/>
        <v>-223</v>
      </c>
      <c r="J493" s="50">
        <f t="shared" si="616"/>
        <v>-221</v>
      </c>
      <c r="K493" s="50">
        <f t="shared" si="616"/>
        <v>-266</v>
      </c>
      <c r="L493" s="50">
        <f t="shared" si="616"/>
        <v>-312</v>
      </c>
      <c r="M493" s="50">
        <f t="shared" si="616"/>
        <v>-359</v>
      </c>
      <c r="N493" s="50">
        <f t="shared" si="616"/>
        <v>-370</v>
      </c>
      <c r="O493" s="50">
        <f t="shared" ref="O493:T493" si="617">O$491*O483</f>
        <v>-354.78588618581153</v>
      </c>
      <c r="P493" s="50">
        <f t="shared" si="617"/>
        <v>-370.86815746183538</v>
      </c>
      <c r="Q493" s="50">
        <f>Q$491*Q483</f>
        <v>-384.40864293567182</v>
      </c>
      <c r="R493" s="50">
        <f t="shared" si="617"/>
        <v>-391.07249203645455</v>
      </c>
      <c r="S493" s="50">
        <f t="shared" si="617"/>
        <v>-406.81903994716635</v>
      </c>
      <c r="T493" s="50">
        <f t="shared" si="617"/>
        <v>-391.87438867650752</v>
      </c>
      <c r="U493" s="50">
        <f t="shared" ref="U493" si="618">U$491*U483</f>
        <v>-404.86769616584604</v>
      </c>
    </row>
    <row r="494" spans="1:22" ht="13" outlineLevel="1" x14ac:dyDescent="0.3">
      <c r="A494" s="149"/>
      <c r="B494" s="33" t="s">
        <v>124</v>
      </c>
      <c r="E494" s="50">
        <f t="shared" ref="E494:N494" si="619">E109</f>
        <v>-2175</v>
      </c>
      <c r="F494" s="50">
        <f t="shared" si="619"/>
        <v>-2562</v>
      </c>
      <c r="G494" s="50">
        <f t="shared" si="619"/>
        <v>-2429</v>
      </c>
      <c r="H494" s="50">
        <f t="shared" si="619"/>
        <v>-2668</v>
      </c>
      <c r="I494" s="50">
        <f t="shared" si="619"/>
        <v>-2717</v>
      </c>
      <c r="J494" s="50">
        <f t="shared" si="619"/>
        <v>-3111</v>
      </c>
      <c r="K494" s="50">
        <f t="shared" si="619"/>
        <v>-3064</v>
      </c>
      <c r="L494" s="50">
        <f t="shared" si="619"/>
        <v>-2683</v>
      </c>
      <c r="M494" s="50">
        <f t="shared" si="619"/>
        <v>-2610</v>
      </c>
      <c r="N494" s="50">
        <f t="shared" si="619"/>
        <v>-2630</v>
      </c>
      <c r="O494" s="50">
        <f>O$491*O484</f>
        <v>-2741.5273023449081</v>
      </c>
      <c r="P494" s="50">
        <f t="shared" ref="P494:T494" si="620">P$491*P484</f>
        <v>-2865.7993985687285</v>
      </c>
      <c r="Q494" s="50">
        <f t="shared" si="620"/>
        <v>-2970.4304226847371</v>
      </c>
      <c r="R494" s="50">
        <f t="shared" si="620"/>
        <v>-3021.9238020998764</v>
      </c>
      <c r="S494" s="50">
        <f t="shared" si="620"/>
        <v>-3143.6016723190128</v>
      </c>
      <c r="T494" s="50">
        <f t="shared" si="620"/>
        <v>-3028.1202761366494</v>
      </c>
      <c r="U494" s="50">
        <f t="shared" ref="U494" si="621">U$491*U484</f>
        <v>-3128.5231067360837</v>
      </c>
    </row>
    <row r="495" spans="1:22" ht="13" outlineLevel="1" x14ac:dyDescent="0.3">
      <c r="A495" s="149"/>
      <c r="B495" s="33" t="s">
        <v>125</v>
      </c>
      <c r="E495" s="50">
        <f t="shared" ref="E495:N495" si="622">E110</f>
        <v>-9130</v>
      </c>
      <c r="F495" s="50">
        <f t="shared" si="622"/>
        <v>-10969</v>
      </c>
      <c r="G495" s="50">
        <f t="shared" si="622"/>
        <v>-11519</v>
      </c>
      <c r="H495" s="50">
        <f t="shared" si="622"/>
        <v>-11500</v>
      </c>
      <c r="I495" s="50">
        <f t="shared" si="622"/>
        <v>-12535</v>
      </c>
      <c r="J495" s="50">
        <f t="shared" si="622"/>
        <v>-11327</v>
      </c>
      <c r="K495" s="50">
        <f t="shared" si="622"/>
        <v>-9950</v>
      </c>
      <c r="L495" s="50">
        <f t="shared" si="622"/>
        <v>-10070</v>
      </c>
      <c r="M495" s="50">
        <f t="shared" si="622"/>
        <v>-10646</v>
      </c>
      <c r="N495" s="50">
        <f t="shared" si="622"/>
        <v>-11711</v>
      </c>
      <c r="O495" s="50">
        <f>O$491*O485</f>
        <v>-11853.073924844159</v>
      </c>
      <c r="P495" s="50">
        <f t="shared" ref="P495:T495" si="623">P$491*P485</f>
        <v>-12390.367987929501</v>
      </c>
      <c r="Q495" s="50">
        <f t="shared" si="623"/>
        <v>-12842.743298078127</v>
      </c>
      <c r="R495" s="50">
        <f t="shared" si="623"/>
        <v>-13065.376438490641</v>
      </c>
      <c r="S495" s="50">
        <f t="shared" si="623"/>
        <v>-13591.454289143967</v>
      </c>
      <c r="T495" s="50">
        <f t="shared" si="623"/>
        <v>-13092.167076237865</v>
      </c>
      <c r="U495" s="50">
        <f t="shared" ref="U495" si="624">U$491*U485</f>
        <v>-13526.261667358949</v>
      </c>
    </row>
    <row r="496" spans="1:22" ht="13" outlineLevel="1" x14ac:dyDescent="0.3">
      <c r="A496" s="149"/>
      <c r="V496"/>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98CB0-0175-4246-A18F-DB24F3312B2F}">
  <sheetPr>
    <tabColor theme="5" tint="0.79998168889431442"/>
  </sheetPr>
  <dimension ref="B1:AB112"/>
  <sheetViews>
    <sheetView showGridLines="0" zoomScale="70" zoomScaleNormal="70" workbookViewId="0">
      <selection activeCell="I17" sqref="I17"/>
    </sheetView>
  </sheetViews>
  <sheetFormatPr defaultColWidth="11.26953125" defaultRowHeight="12.5" x14ac:dyDescent="0.25"/>
  <cols>
    <col min="1" max="1" width="2.81640625" customWidth="1"/>
    <col min="2" max="2" width="15.1796875" customWidth="1"/>
    <col min="5" max="6" width="10.7265625" customWidth="1"/>
    <col min="9" max="9" width="10.7265625" customWidth="1"/>
    <col min="10" max="10" width="12.81640625" customWidth="1"/>
    <col min="11" max="11" width="10.26953125" customWidth="1"/>
    <col min="13" max="13" width="11" customWidth="1"/>
    <col min="14" max="16" width="10.26953125" customWidth="1"/>
    <col min="17" max="17" width="5.26953125" customWidth="1"/>
    <col min="18" max="18" width="20.26953125" customWidth="1"/>
    <col min="19" max="19" width="9.26953125" customWidth="1"/>
    <col min="20" max="20" width="11" bestFit="1" customWidth="1"/>
    <col min="21" max="21" width="12" bestFit="1" customWidth="1"/>
    <col min="22" max="28" width="10.7265625" customWidth="1"/>
  </cols>
  <sheetData>
    <row r="1" spans="2:21" ht="13" thickBot="1" x14ac:dyDescent="0.3"/>
    <row r="2" spans="2:21" ht="13.5" thickTop="1" x14ac:dyDescent="0.3">
      <c r="B2" s="283" t="s">
        <v>309</v>
      </c>
      <c r="C2" s="284"/>
      <c r="D2" s="285"/>
      <c r="F2" s="4" t="s">
        <v>310</v>
      </c>
      <c r="G2" s="4"/>
      <c r="H2" s="4"/>
      <c r="I2" s="4"/>
      <c r="J2" s="4"/>
      <c r="K2" s="4"/>
      <c r="L2" s="4"/>
      <c r="M2" s="4"/>
      <c r="N2" s="4"/>
      <c r="O2" s="4"/>
      <c r="P2" s="4"/>
      <c r="R2" s="422" t="s">
        <v>311</v>
      </c>
      <c r="S2" s="423"/>
      <c r="T2" s="423"/>
      <c r="U2" s="424"/>
    </row>
    <row r="3" spans="2:21" ht="13" x14ac:dyDescent="0.3">
      <c r="B3" s="286" t="s">
        <v>312</v>
      </c>
      <c r="C3" s="294" t="s">
        <v>313</v>
      </c>
      <c r="D3" s="315" t="s">
        <v>42</v>
      </c>
      <c r="F3" s="153"/>
      <c r="G3" s="153"/>
      <c r="H3" s="153"/>
      <c r="I3" s="153">
        <v>2025</v>
      </c>
      <c r="J3" s="153">
        <f>+I3+1</f>
        <v>2026</v>
      </c>
      <c r="K3" s="153">
        <f>+J3+1</f>
        <v>2027</v>
      </c>
      <c r="L3" s="153">
        <f>+K3+1</f>
        <v>2028</v>
      </c>
      <c r="M3" s="153">
        <f>+L3+1</f>
        <v>2029</v>
      </c>
      <c r="N3" s="153">
        <f>+M3+1</f>
        <v>2030</v>
      </c>
      <c r="O3" s="153">
        <f t="shared" ref="O3" si="0">+N3+1</f>
        <v>2031</v>
      </c>
      <c r="P3" s="251" t="s">
        <v>314</v>
      </c>
      <c r="R3" s="425" t="s">
        <v>315</v>
      </c>
      <c r="S3" s="294" t="s">
        <v>316</v>
      </c>
      <c r="T3" s="294" t="s">
        <v>317</v>
      </c>
      <c r="U3" s="426" t="s">
        <v>318</v>
      </c>
    </row>
    <row r="4" spans="2:21" ht="13" x14ac:dyDescent="0.3">
      <c r="B4" s="121" t="s">
        <v>319</v>
      </c>
      <c r="C4" s="409">
        <f>Beta!C23</f>
        <v>1.6732075011536409</v>
      </c>
      <c r="D4" s="317">
        <v>0.5</v>
      </c>
      <c r="F4" t="s">
        <v>320</v>
      </c>
      <c r="I4" s="311">
        <f>Macro!O6</f>
        <v>2.2530000000000001E-2</v>
      </c>
      <c r="J4" s="311">
        <f>Macro!P6</f>
        <v>2.0739999999999998E-2</v>
      </c>
      <c r="K4" s="311">
        <f>Macro!Q6</f>
        <v>2.1569999999999999E-2</v>
      </c>
      <c r="L4" s="311">
        <f>Macro!R6</f>
        <v>2.0969999999999999E-2</v>
      </c>
      <c r="M4" s="311">
        <f>Macro!S6</f>
        <v>2.1219999999999999E-2</v>
      </c>
      <c r="N4" s="311">
        <f>Macro!T6</f>
        <v>2.0649999999999998E-2</v>
      </c>
      <c r="O4" s="311">
        <f>Macro!U6</f>
        <v>0.02</v>
      </c>
      <c r="P4" s="311">
        <f>Macro!U6</f>
        <v>0.02</v>
      </c>
      <c r="R4" s="427" t="s">
        <v>321</v>
      </c>
      <c r="S4" s="428">
        <v>4.8599999999999997E-2</v>
      </c>
      <c r="T4" s="55">
        <v>477837.3</v>
      </c>
      <c r="U4" s="429">
        <f t="shared" ref="U4:U30" si="1">T4/$T$31</f>
        <v>2.7688969228662749E-2</v>
      </c>
    </row>
    <row r="5" spans="2:21" ht="13" x14ac:dyDescent="0.3">
      <c r="B5" s="308" t="s">
        <v>322</v>
      </c>
      <c r="C5" s="347">
        <f ca="1">Beta!C24</f>
        <v>2.6130474440955762</v>
      </c>
      <c r="D5" s="410">
        <f>1-D4</f>
        <v>0.5</v>
      </c>
      <c r="F5" t="s">
        <v>323</v>
      </c>
      <c r="I5" s="340">
        <f t="shared" ref="I5:P5" si="2">U45</f>
        <v>1.9733339999999988E-2</v>
      </c>
      <c r="J5" s="340">
        <f t="shared" si="2"/>
        <v>1.964279E-2</v>
      </c>
      <c r="K5" s="340">
        <f t="shared" si="2"/>
        <v>2.1358049999999965E-2</v>
      </c>
      <c r="L5" s="340">
        <f t="shared" si="2"/>
        <v>2.3493819999999985E-2</v>
      </c>
      <c r="M5" s="340">
        <f t="shared" si="2"/>
        <v>2.5445809999999989E-2</v>
      </c>
      <c r="N5" s="340">
        <f t="shared" si="2"/>
        <v>2.7411859999999972E-2</v>
      </c>
      <c r="O5" s="340">
        <f t="shared" si="2"/>
        <v>2.9041709999999971E-2</v>
      </c>
      <c r="P5" s="340">
        <f t="shared" si="2"/>
        <v>3.1974434999999968E-2</v>
      </c>
      <c r="R5" s="427" t="s">
        <v>324</v>
      </c>
      <c r="S5" s="428">
        <v>5.1299999999999998E-2</v>
      </c>
      <c r="T5" s="55">
        <v>602376.30000000005</v>
      </c>
      <c r="U5" s="429">
        <f t="shared" si="1"/>
        <v>3.4905560605619786E-2</v>
      </c>
    </row>
    <row r="6" spans="2:21" ht="13.5" thickBot="1" x14ac:dyDescent="0.35">
      <c r="B6" s="319" t="s">
        <v>325</v>
      </c>
      <c r="C6" s="411">
        <f ca="1">SUMPRODUCT(C4:C5,D4:D5)</f>
        <v>2.1431274726246086</v>
      </c>
      <c r="D6" s="412">
        <f>SUM(D4:D5)</f>
        <v>1</v>
      </c>
      <c r="F6" t="s">
        <v>326</v>
      </c>
      <c r="I6" s="277">
        <v>3.0000000000000001E-3</v>
      </c>
      <c r="J6" s="277">
        <v>3.0000000000000001E-3</v>
      </c>
      <c r="K6" s="277">
        <v>3.0000000000000001E-3</v>
      </c>
      <c r="L6" s="277">
        <v>3.0000000000000001E-3</v>
      </c>
      <c r="M6" s="277">
        <v>3.0000000000000001E-3</v>
      </c>
      <c r="N6" s="277">
        <v>3.0000000000000001E-3</v>
      </c>
      <c r="O6" s="277">
        <v>3.0000000000000001E-3</v>
      </c>
      <c r="P6" s="277">
        <v>3.0000000000000001E-3</v>
      </c>
      <c r="R6" s="427" t="s">
        <v>327</v>
      </c>
      <c r="S6" s="428">
        <v>6.4600000000000005E-2</v>
      </c>
      <c r="T6" s="55">
        <v>94526.6</v>
      </c>
      <c r="U6" s="429">
        <f t="shared" si="1"/>
        <v>5.4774797168201652E-3</v>
      </c>
    </row>
    <row r="7" spans="2:21" ht="13.5" thickBot="1" x14ac:dyDescent="0.35">
      <c r="I7" s="277"/>
      <c r="J7" s="277"/>
      <c r="K7" s="277"/>
      <c r="L7" s="277"/>
      <c r="M7" s="277"/>
      <c r="N7" s="277"/>
      <c r="P7" s="277"/>
      <c r="R7" s="427" t="s">
        <v>328</v>
      </c>
      <c r="S7" s="428">
        <v>5.9299999999999999E-2</v>
      </c>
      <c r="T7" s="55">
        <v>79186.3</v>
      </c>
      <c r="U7" s="429">
        <f t="shared" si="1"/>
        <v>4.5885639819906419E-3</v>
      </c>
    </row>
    <row r="8" spans="2:21" ht="13" x14ac:dyDescent="0.3">
      <c r="B8" s="283" t="s">
        <v>329</v>
      </c>
      <c r="C8" s="284"/>
      <c r="D8" s="284"/>
      <c r="F8" s="4" t="s">
        <v>330</v>
      </c>
      <c r="G8" s="4"/>
      <c r="H8" s="4"/>
      <c r="I8" s="4"/>
      <c r="J8" s="4"/>
      <c r="K8" s="4"/>
      <c r="L8" s="4"/>
      <c r="M8" s="4"/>
      <c r="N8" s="4"/>
      <c r="O8" s="4"/>
      <c r="P8" s="4"/>
      <c r="R8" s="427" t="s">
        <v>331</v>
      </c>
      <c r="S8" s="428">
        <v>5.9299999999999999E-2</v>
      </c>
      <c r="T8" s="55">
        <v>32439.200000000001</v>
      </c>
      <c r="U8" s="429">
        <f t="shared" si="1"/>
        <v>1.8797360746062241E-3</v>
      </c>
    </row>
    <row r="9" spans="2:21" ht="13" x14ac:dyDescent="0.3">
      <c r="B9" s="414" t="s">
        <v>332</v>
      </c>
      <c r="C9" s="294" t="s">
        <v>333</v>
      </c>
      <c r="D9" s="288"/>
      <c r="F9" s="153"/>
      <c r="G9" s="153"/>
      <c r="H9" s="153"/>
      <c r="I9" s="153">
        <v>2025</v>
      </c>
      <c r="J9" s="153">
        <f>+I9+1</f>
        <v>2026</v>
      </c>
      <c r="K9" s="153">
        <f>+J9+1</f>
        <v>2027</v>
      </c>
      <c r="L9" s="153">
        <f>+K9+1</f>
        <v>2028</v>
      </c>
      <c r="M9" s="153">
        <f>+L9+1</f>
        <v>2029</v>
      </c>
      <c r="N9" s="153">
        <f>+M9+1</f>
        <v>2030</v>
      </c>
      <c r="O9" s="153">
        <f t="shared" ref="O9" si="3">+N9+1</f>
        <v>2031</v>
      </c>
      <c r="P9" s="251" t="s">
        <v>314</v>
      </c>
      <c r="R9" s="427" t="s">
        <v>334</v>
      </c>
      <c r="S9" s="428">
        <v>5.1299999999999998E-2</v>
      </c>
      <c r="T9" s="55">
        <v>319099.09999999998</v>
      </c>
      <c r="U9" s="429">
        <f t="shared" si="1"/>
        <v>1.8490656047139845E-2</v>
      </c>
    </row>
    <row r="10" spans="2:21" ht="13" x14ac:dyDescent="0.3">
      <c r="B10" s="121">
        <v>2025</v>
      </c>
      <c r="C10" s="415">
        <f>CCA!J54/CCA!H54</f>
        <v>7.5840239793596123</v>
      </c>
      <c r="D10" s="416" t="s">
        <v>335</v>
      </c>
      <c r="F10" s="341" t="s">
        <v>336</v>
      </c>
      <c r="I10" s="312">
        <f t="shared" ref="I10:P10" ca="1" si="4">$C$6</f>
        <v>2.1431274726246086</v>
      </c>
      <c r="J10" s="312">
        <f t="shared" ca="1" si="4"/>
        <v>2.1431274726246086</v>
      </c>
      <c r="K10" s="312">
        <f t="shared" ca="1" si="4"/>
        <v>2.1431274726246086</v>
      </c>
      <c r="L10" s="312">
        <f t="shared" ca="1" si="4"/>
        <v>2.1431274726246086</v>
      </c>
      <c r="M10" s="312">
        <f t="shared" ca="1" si="4"/>
        <v>2.1431274726246086</v>
      </c>
      <c r="N10" s="312">
        <f t="shared" ca="1" si="4"/>
        <v>2.1431274726246086</v>
      </c>
      <c r="O10" s="312">
        <f t="shared" ca="1" si="4"/>
        <v>2.1431274726246086</v>
      </c>
      <c r="P10" s="312">
        <f t="shared" ca="1" si="4"/>
        <v>2.1431274726246086</v>
      </c>
      <c r="R10" s="427" t="s">
        <v>337</v>
      </c>
      <c r="S10" s="428">
        <v>4.3299999999999998E-2</v>
      </c>
      <c r="T10" s="55">
        <v>374173.6</v>
      </c>
      <c r="U10" s="429">
        <f t="shared" si="1"/>
        <v>2.1682027117970831E-2</v>
      </c>
    </row>
    <row r="11" spans="2:21" ht="13" x14ac:dyDescent="0.3">
      <c r="B11" s="121">
        <f>+B10+1</f>
        <v>2026</v>
      </c>
      <c r="C11" s="417">
        <f>C10+0.01</f>
        <v>7.594023979359612</v>
      </c>
      <c r="D11" s="120"/>
      <c r="F11" s="341" t="s">
        <v>323</v>
      </c>
      <c r="I11" s="340">
        <f t="shared" ref="I11:O11" si="5">I5</f>
        <v>1.9733339999999988E-2</v>
      </c>
      <c r="J11" s="340">
        <f t="shared" si="5"/>
        <v>1.964279E-2</v>
      </c>
      <c r="K11" s="340">
        <f t="shared" si="5"/>
        <v>2.1358049999999965E-2</v>
      </c>
      <c r="L11" s="340">
        <f t="shared" si="5"/>
        <v>2.3493819999999985E-2</v>
      </c>
      <c r="M11" s="340">
        <f t="shared" si="5"/>
        <v>2.5445809999999989E-2</v>
      </c>
      <c r="N11" s="340">
        <f t="shared" si="5"/>
        <v>2.7411859999999972E-2</v>
      </c>
      <c r="O11" s="340">
        <f t="shared" si="5"/>
        <v>2.9041709999999971E-2</v>
      </c>
      <c r="P11" s="340">
        <f>P5</f>
        <v>3.1974434999999968E-2</v>
      </c>
      <c r="R11" s="427" t="s">
        <v>338</v>
      </c>
      <c r="S11" s="428">
        <v>5.2699999999999997E-2</v>
      </c>
      <c r="T11" s="55">
        <v>38353.4</v>
      </c>
      <c r="U11" s="429">
        <f t="shared" si="1"/>
        <v>2.2224428951331215E-3</v>
      </c>
    </row>
    <row r="12" spans="2:21" ht="13" x14ac:dyDescent="0.3">
      <c r="B12" s="121">
        <f>+B11+1</f>
        <v>2027</v>
      </c>
      <c r="C12" s="417">
        <f>C11+0.01</f>
        <v>7.6040239793596118</v>
      </c>
      <c r="D12" s="120"/>
      <c r="F12" s="342" t="s">
        <v>339</v>
      </c>
      <c r="G12" s="274"/>
      <c r="H12" s="274"/>
      <c r="I12" s="343">
        <f t="shared" ref="I12:P12" si="6">$U$32</f>
        <v>5.3525759653023225E-2</v>
      </c>
      <c r="J12" s="343">
        <f t="shared" si="6"/>
        <v>5.3525759653023225E-2</v>
      </c>
      <c r="K12" s="343">
        <f t="shared" si="6"/>
        <v>5.3525759653023225E-2</v>
      </c>
      <c r="L12" s="343">
        <f t="shared" si="6"/>
        <v>5.3525759653023225E-2</v>
      </c>
      <c r="M12" s="343">
        <f t="shared" si="6"/>
        <v>5.3525759653023225E-2</v>
      </c>
      <c r="N12" s="343">
        <f t="shared" si="6"/>
        <v>5.3525759653023225E-2</v>
      </c>
      <c r="O12" s="343">
        <f t="shared" si="6"/>
        <v>5.3525759653023225E-2</v>
      </c>
      <c r="P12" s="343">
        <f t="shared" si="6"/>
        <v>5.3525759653023225E-2</v>
      </c>
      <c r="R12" s="427" t="s">
        <v>340</v>
      </c>
      <c r="S12" s="428">
        <v>4.8599999999999997E-2</v>
      </c>
      <c r="T12" s="55">
        <v>272848</v>
      </c>
      <c r="U12" s="429">
        <f t="shared" si="1"/>
        <v>1.5810569572744057E-2</v>
      </c>
    </row>
    <row r="13" spans="2:21" ht="13" x14ac:dyDescent="0.3">
      <c r="B13" s="121">
        <f>+B12+1</f>
        <v>2028</v>
      </c>
      <c r="C13" s="417">
        <f>C12+0.01</f>
        <v>7.6140239793596116</v>
      </c>
      <c r="D13" s="120"/>
      <c r="F13" s="207" t="s">
        <v>341</v>
      </c>
      <c r="G13" s="207"/>
      <c r="H13" s="207"/>
      <c r="I13" s="301">
        <f t="shared" ref="I13:O13" ca="1" si="7">I11+I10*(I12)</f>
        <v>0.13444586600549591</v>
      </c>
      <c r="J13" s="301">
        <f t="shared" ca="1" si="7"/>
        <v>0.13435531600549591</v>
      </c>
      <c r="K13" s="301">
        <f t="shared" ca="1" si="7"/>
        <v>0.13607057600549588</v>
      </c>
      <c r="L13" s="301">
        <f t="shared" ca="1" si="7"/>
        <v>0.13820634600549589</v>
      </c>
      <c r="M13" s="301">
        <f t="shared" ca="1" si="7"/>
        <v>0.1401583360054959</v>
      </c>
      <c r="N13" s="301">
        <f t="shared" ca="1" si="7"/>
        <v>0.14212438600549587</v>
      </c>
      <c r="O13" s="301">
        <f t="shared" ca="1" si="7"/>
        <v>0.14375423600549586</v>
      </c>
      <c r="P13" s="301">
        <f ca="1">P11+P10*(P12)</f>
        <v>0.14668696100549589</v>
      </c>
      <c r="R13" s="427" t="s">
        <v>342</v>
      </c>
      <c r="S13" s="428">
        <v>5.1299999999999998E-2</v>
      </c>
      <c r="T13" s="55">
        <v>2826541.5</v>
      </c>
      <c r="U13" s="429">
        <f t="shared" si="1"/>
        <v>0.16378801030609844</v>
      </c>
    </row>
    <row r="14" spans="2:21" ht="13" x14ac:dyDescent="0.3">
      <c r="B14" s="121">
        <f>+B13+1</f>
        <v>2029</v>
      </c>
      <c r="C14" s="417">
        <f>C13+0.01</f>
        <v>7.6240239793596114</v>
      </c>
      <c r="D14" s="120"/>
      <c r="R14" s="427" t="s">
        <v>343</v>
      </c>
      <c r="S14" s="428">
        <v>4.3299999999999998E-2</v>
      </c>
      <c r="T14" s="55">
        <v>4219310</v>
      </c>
      <c r="U14" s="429">
        <f t="shared" si="1"/>
        <v>0.24449398311138335</v>
      </c>
    </row>
    <row r="15" spans="2:21" ht="13" x14ac:dyDescent="0.3">
      <c r="B15" s="121">
        <f>+B14+1</f>
        <v>2030</v>
      </c>
      <c r="C15" s="417">
        <f>C14+0.01</f>
        <v>7.6340239793596112</v>
      </c>
      <c r="D15" s="120"/>
      <c r="F15" s="4" t="s">
        <v>344</v>
      </c>
      <c r="G15" s="4"/>
      <c r="H15" s="4"/>
      <c r="I15" s="4"/>
      <c r="J15" s="4"/>
      <c r="K15" s="4"/>
      <c r="L15" s="4"/>
      <c r="M15" s="4"/>
      <c r="N15" s="4"/>
      <c r="O15" s="4"/>
      <c r="P15" s="4"/>
      <c r="R15" s="427" t="s">
        <v>345</v>
      </c>
      <c r="S15" s="428">
        <v>7.6700000000000004E-2</v>
      </c>
      <c r="T15" s="55">
        <v>224686.2</v>
      </c>
      <c r="U15" s="429">
        <f t="shared" si="1"/>
        <v>1.3019764840260826E-2</v>
      </c>
    </row>
    <row r="16" spans="2:21" ht="13" x14ac:dyDescent="0.3">
      <c r="B16" s="308">
        <f t="shared" ref="B16" si="8">+B15+1</f>
        <v>2031</v>
      </c>
      <c r="C16" s="413">
        <f t="shared" ref="C16" si="9">C15+0.01</f>
        <v>7.644023979359611</v>
      </c>
      <c r="D16" s="418"/>
      <c r="F16" s="153"/>
      <c r="G16" s="153"/>
      <c r="H16" s="153"/>
      <c r="I16" s="153">
        <v>2025</v>
      </c>
      <c r="J16" s="153">
        <f>+I16+1</f>
        <v>2026</v>
      </c>
      <c r="K16" s="153">
        <f>+J16+1</f>
        <v>2027</v>
      </c>
      <c r="L16" s="153">
        <f>+K16+1</f>
        <v>2028</v>
      </c>
      <c r="M16" s="153">
        <f>+L16+1</f>
        <v>2029</v>
      </c>
      <c r="N16" s="153">
        <f>+M16+1</f>
        <v>2030</v>
      </c>
      <c r="O16" s="153">
        <f t="shared" ref="O16" si="10">+N16+1</f>
        <v>2031</v>
      </c>
      <c r="P16" s="251" t="s">
        <v>314</v>
      </c>
      <c r="R16" s="427" t="s">
        <v>346</v>
      </c>
      <c r="S16" s="428">
        <v>6.8699999999999997E-2</v>
      </c>
      <c r="T16" s="55">
        <v>197178.7</v>
      </c>
      <c r="U16" s="429">
        <f t="shared" si="1"/>
        <v>1.1425803211360277E-2</v>
      </c>
    </row>
    <row r="17" spans="2:21" ht="13.5" thickBot="1" x14ac:dyDescent="0.35">
      <c r="B17" s="419" t="s">
        <v>314</v>
      </c>
      <c r="C17" s="420">
        <f>C16</f>
        <v>7.644023979359611</v>
      </c>
      <c r="D17" s="421"/>
      <c r="F17" s="341" t="s">
        <v>347</v>
      </c>
      <c r="I17" s="123">
        <f>$E$54</f>
        <v>2.9861357980803412E-2</v>
      </c>
      <c r="J17" s="123">
        <f>$I$17*(J5/J4)</f>
        <v>2.8281599996709039E-2</v>
      </c>
      <c r="K17" s="123">
        <f t="shared" ref="J17:P17" si="11">$I$17*(K5/K4)</f>
        <v>2.9567935874914106E-2</v>
      </c>
      <c r="L17" s="123">
        <f t="shared" si="11"/>
        <v>3.3455287046092436E-2</v>
      </c>
      <c r="M17" s="123">
        <f t="shared" si="11"/>
        <v>3.5808032116941897E-2</v>
      </c>
      <c r="N17" s="123">
        <f t="shared" si="11"/>
        <v>3.9639484957853029E-2</v>
      </c>
      <c r="O17" s="123">
        <f t="shared" si="11"/>
        <v>4.3361244934233871E-2</v>
      </c>
      <c r="P17" s="123">
        <f t="shared" si="11"/>
        <v>4.7740002488446447E-2</v>
      </c>
      <c r="R17" s="427" t="s">
        <v>348</v>
      </c>
      <c r="S17" s="428">
        <v>5.1299999999999998E-2</v>
      </c>
      <c r="T17" s="55">
        <v>524728.80000000005</v>
      </c>
      <c r="U17" s="429">
        <f t="shared" si="1"/>
        <v>3.0406164601618858E-2</v>
      </c>
    </row>
    <row r="18" spans="2:21" ht="13" x14ac:dyDescent="0.3">
      <c r="F18" s="341" t="s">
        <v>349</v>
      </c>
      <c r="I18" s="123">
        <f t="shared" ref="I18:P18" si="12">$D$67</f>
        <v>1.6321428571428574E-2</v>
      </c>
      <c r="J18" s="123">
        <f t="shared" si="12"/>
        <v>1.6321428571428574E-2</v>
      </c>
      <c r="K18" s="123">
        <f t="shared" si="12"/>
        <v>1.6321428571428574E-2</v>
      </c>
      <c r="L18" s="123">
        <f t="shared" si="12"/>
        <v>1.6321428571428574E-2</v>
      </c>
      <c r="M18" s="123">
        <f t="shared" si="12"/>
        <v>1.6321428571428574E-2</v>
      </c>
      <c r="N18" s="123">
        <f t="shared" si="12"/>
        <v>1.6321428571428574E-2</v>
      </c>
      <c r="O18" s="123">
        <f t="shared" si="12"/>
        <v>1.6321428571428574E-2</v>
      </c>
      <c r="P18" s="123">
        <f t="shared" si="12"/>
        <v>1.6321428571428574E-2</v>
      </c>
      <c r="R18" s="427" t="s">
        <v>350</v>
      </c>
      <c r="S18" s="428">
        <v>7.2599999999999998E-2</v>
      </c>
      <c r="T18" s="55">
        <v>2142601.7000000002</v>
      </c>
      <c r="U18" s="429">
        <f t="shared" si="1"/>
        <v>0.12415613544731753</v>
      </c>
    </row>
    <row r="19" spans="2:21" ht="13" x14ac:dyDescent="0.3">
      <c r="F19" s="342" t="s">
        <v>326</v>
      </c>
      <c r="G19" s="274"/>
      <c r="H19" s="274"/>
      <c r="I19" s="343">
        <f t="shared" ref="I19:N19" si="13">I6</f>
        <v>3.0000000000000001E-3</v>
      </c>
      <c r="J19" s="343">
        <f t="shared" si="13"/>
        <v>3.0000000000000001E-3</v>
      </c>
      <c r="K19" s="343">
        <f t="shared" si="13"/>
        <v>3.0000000000000001E-3</v>
      </c>
      <c r="L19" s="343">
        <f t="shared" si="13"/>
        <v>3.0000000000000001E-3</v>
      </c>
      <c r="M19" s="343">
        <f t="shared" si="13"/>
        <v>3.0000000000000001E-3</v>
      </c>
      <c r="N19" s="343">
        <f t="shared" si="13"/>
        <v>3.0000000000000001E-3</v>
      </c>
      <c r="O19" s="343">
        <f t="shared" ref="O19" si="14">O6</f>
        <v>3.0000000000000001E-3</v>
      </c>
      <c r="P19" s="343">
        <f>P6</f>
        <v>3.0000000000000001E-3</v>
      </c>
      <c r="R19" s="427" t="s">
        <v>351</v>
      </c>
      <c r="S19" s="428">
        <v>5.9299999999999999E-2</v>
      </c>
      <c r="T19" s="55">
        <v>39564.199999999997</v>
      </c>
      <c r="U19" s="429">
        <f t="shared" si="1"/>
        <v>2.2926044416303596E-3</v>
      </c>
    </row>
    <row r="20" spans="2:21" ht="13" x14ac:dyDescent="0.3">
      <c r="F20" s="207" t="s">
        <v>352</v>
      </c>
      <c r="G20" s="207"/>
      <c r="H20" s="207"/>
      <c r="I20" s="301">
        <f>I17+I18-I19</f>
        <v>4.3182786552231983E-2</v>
      </c>
      <c r="J20" s="301">
        <f t="shared" ref="J20:N20" si="15">J17+J18-J19</f>
        <v>4.1603028568137607E-2</v>
      </c>
      <c r="K20" s="301">
        <f t="shared" si="15"/>
        <v>4.2889364446342677E-2</v>
      </c>
      <c r="L20" s="301">
        <f t="shared" si="15"/>
        <v>4.6776715617521003E-2</v>
      </c>
      <c r="M20" s="301">
        <f t="shared" si="15"/>
        <v>4.9129460688370472E-2</v>
      </c>
      <c r="N20" s="301">
        <f t="shared" si="15"/>
        <v>5.2960913529281603E-2</v>
      </c>
      <c r="O20" s="301">
        <f t="shared" ref="O20" si="16">O17+O18-O19</f>
        <v>5.6682673505662445E-2</v>
      </c>
      <c r="P20" s="301">
        <f>P17+P18-P19</f>
        <v>6.1061431059875021E-2</v>
      </c>
      <c r="R20" s="427" t="s">
        <v>353</v>
      </c>
      <c r="S20" s="428">
        <v>5.4600000000000003E-2</v>
      </c>
      <c r="T20" s="55">
        <v>74317</v>
      </c>
      <c r="U20" s="429">
        <f t="shared" si="1"/>
        <v>4.3064053939835369E-3</v>
      </c>
    </row>
    <row r="21" spans="2:21" ht="13" x14ac:dyDescent="0.3">
      <c r="I21" s="123"/>
      <c r="J21" s="123"/>
      <c r="K21" s="123"/>
      <c r="L21" s="123"/>
      <c r="M21" s="123"/>
      <c r="N21" s="123"/>
      <c r="P21" s="123"/>
      <c r="R21" s="427" t="s">
        <v>354</v>
      </c>
      <c r="S21" s="428">
        <v>4.3299999999999998E-2</v>
      </c>
      <c r="T21" s="55">
        <v>82115.5</v>
      </c>
      <c r="U21" s="429">
        <f t="shared" si="1"/>
        <v>4.7583006866484803E-3</v>
      </c>
    </row>
    <row r="22" spans="2:21" ht="13" x14ac:dyDescent="0.3">
      <c r="F22" s="4" t="s">
        <v>355</v>
      </c>
      <c r="G22" s="4"/>
      <c r="H22" s="4"/>
      <c r="I22" s="4"/>
      <c r="J22" s="4"/>
      <c r="K22" s="4"/>
      <c r="L22" s="4"/>
      <c r="M22" s="4"/>
      <c r="N22" s="4"/>
      <c r="O22" s="4"/>
      <c r="P22" s="4"/>
      <c r="R22" s="427" t="s">
        <v>356</v>
      </c>
      <c r="S22" s="428">
        <v>5.4600000000000003E-2</v>
      </c>
      <c r="T22" s="55">
        <v>20911.2</v>
      </c>
      <c r="U22" s="429">
        <f t="shared" si="1"/>
        <v>1.2117295433705416E-3</v>
      </c>
    </row>
    <row r="23" spans="2:21" ht="13" x14ac:dyDescent="0.3">
      <c r="F23" s="153"/>
      <c r="G23" s="153"/>
      <c r="H23" s="153"/>
      <c r="I23" s="153">
        <v>2025</v>
      </c>
      <c r="J23" s="153">
        <f>+I23+1</f>
        <v>2026</v>
      </c>
      <c r="K23" s="153">
        <f>+J23+1</f>
        <v>2027</v>
      </c>
      <c r="L23" s="153">
        <f>+K23+1</f>
        <v>2028</v>
      </c>
      <c r="M23" s="153">
        <f>+L23+1</f>
        <v>2029</v>
      </c>
      <c r="N23" s="153">
        <f>+M23+1</f>
        <v>2030</v>
      </c>
      <c r="O23" s="153">
        <f t="shared" ref="O23" si="17">+N23+1</f>
        <v>2031</v>
      </c>
      <c r="P23" s="251" t="s">
        <v>314</v>
      </c>
      <c r="R23" s="427" t="s">
        <v>357</v>
      </c>
      <c r="S23" s="428">
        <v>4.3299999999999998E-2</v>
      </c>
      <c r="T23" s="55">
        <v>1050133</v>
      </c>
      <c r="U23" s="429">
        <f t="shared" si="1"/>
        <v>6.0851466227109727E-2</v>
      </c>
    </row>
    <row r="24" spans="2:21" ht="13" x14ac:dyDescent="0.3">
      <c r="F24" s="341" t="s">
        <v>358</v>
      </c>
      <c r="I24" s="123">
        <f t="shared" ref="I24:N24" si="18">1-I26</f>
        <v>0.11649548072145555</v>
      </c>
      <c r="J24" s="123">
        <f t="shared" si="18"/>
        <v>0.11635992666551942</v>
      </c>
      <c r="K24" s="123">
        <f t="shared" si="18"/>
        <v>0.11622468770413963</v>
      </c>
      <c r="L24" s="123">
        <f t="shared" si="18"/>
        <v>0.11608976273993876</v>
      </c>
      <c r="M24" s="123">
        <f t="shared" si="18"/>
        <v>0.11595515068062878</v>
      </c>
      <c r="N24" s="123">
        <f t="shared" si="18"/>
        <v>0.11582085043898271</v>
      </c>
      <c r="O24" s="123">
        <f t="shared" ref="O24" si="19">1-O26</f>
        <v>0.11568686093280423</v>
      </c>
      <c r="P24" s="123">
        <f>1-P26</f>
        <v>0.11568686093280423</v>
      </c>
      <c r="R24" s="427" t="s">
        <v>359</v>
      </c>
      <c r="S24" s="428">
        <v>5.4600000000000003E-2</v>
      </c>
      <c r="T24" s="55">
        <v>751931.7</v>
      </c>
      <c r="U24" s="429">
        <f t="shared" si="1"/>
        <v>4.3571763241078226E-2</v>
      </c>
    </row>
    <row r="25" spans="2:21" ht="13" x14ac:dyDescent="0.3">
      <c r="F25" s="341" t="s">
        <v>341</v>
      </c>
      <c r="I25" s="123">
        <f t="shared" ref="I25:N25" ca="1" si="20">I13</f>
        <v>0.13444586600549591</v>
      </c>
      <c r="J25" s="123">
        <f t="shared" ca="1" si="20"/>
        <v>0.13435531600549591</v>
      </c>
      <c r="K25" s="123">
        <f t="shared" ca="1" si="20"/>
        <v>0.13607057600549588</v>
      </c>
      <c r="L25" s="123">
        <f t="shared" ca="1" si="20"/>
        <v>0.13820634600549589</v>
      </c>
      <c r="M25" s="123">
        <f t="shared" ca="1" si="20"/>
        <v>0.1401583360054959</v>
      </c>
      <c r="N25" s="123">
        <f t="shared" ca="1" si="20"/>
        <v>0.14212438600549587</v>
      </c>
      <c r="O25" s="123">
        <f t="shared" ref="O25" ca="1" si="21">O13</f>
        <v>0.14375423600549586</v>
      </c>
      <c r="P25" s="123">
        <f ca="1">P13</f>
        <v>0.14668696100549589</v>
      </c>
      <c r="R25" s="427" t="s">
        <v>360</v>
      </c>
      <c r="S25" s="428">
        <v>5.9299999999999999E-2</v>
      </c>
      <c r="T25" s="55">
        <v>270352.59999999998</v>
      </c>
      <c r="U25" s="429">
        <f t="shared" si="1"/>
        <v>1.5665970032663772E-2</v>
      </c>
    </row>
    <row r="26" spans="2:21" ht="13" x14ac:dyDescent="0.3">
      <c r="F26" s="341" t="s">
        <v>361</v>
      </c>
      <c r="I26" s="217">
        <f>C10/(1+C10)</f>
        <v>0.88350451927854445</v>
      </c>
      <c r="J26" s="217">
        <f>C11/(1+C11)</f>
        <v>0.88364007333448058</v>
      </c>
      <c r="K26" s="217">
        <f>C12/(1+C12)</f>
        <v>0.88377531229586037</v>
      </c>
      <c r="L26" s="217">
        <f>C13/(1+C13)</f>
        <v>0.88391023726006124</v>
      </c>
      <c r="M26" s="217">
        <f>C14/(1+C14)</f>
        <v>0.88404484931937122</v>
      </c>
      <c r="N26" s="217">
        <f>C15/(1+C15)</f>
        <v>0.88417914956101729</v>
      </c>
      <c r="O26" s="217">
        <f>C16/(1+C16)</f>
        <v>0.88431313906719577</v>
      </c>
      <c r="P26" s="217">
        <f>C17/(1+C17)</f>
        <v>0.88431313906719577</v>
      </c>
      <c r="R26" s="427" t="s">
        <v>362</v>
      </c>
      <c r="S26" s="428">
        <v>7.2599999999999998E-2</v>
      </c>
      <c r="T26" s="55">
        <v>321577.90000000002</v>
      </c>
      <c r="U26" s="429">
        <f t="shared" si="1"/>
        <v>1.8634293676358014E-2</v>
      </c>
    </row>
    <row r="27" spans="2:21" ht="13" x14ac:dyDescent="0.3">
      <c r="F27" s="341" t="s">
        <v>217</v>
      </c>
      <c r="I27" s="344">
        <f>Macro!O17</f>
        <v>0.25</v>
      </c>
      <c r="J27" s="344">
        <f>Macro!P17</f>
        <v>0.25</v>
      </c>
      <c r="K27" s="344">
        <f>Macro!Q17</f>
        <v>0.25</v>
      </c>
      <c r="L27" s="344">
        <f>Macro!R17</f>
        <v>0.25</v>
      </c>
      <c r="M27" s="344">
        <f>Macro!S17</f>
        <v>0.25</v>
      </c>
      <c r="N27" s="344">
        <f>Macro!T17</f>
        <v>0.25</v>
      </c>
      <c r="O27" s="344">
        <f>Macro!U17</f>
        <v>0.25</v>
      </c>
      <c r="P27" s="344">
        <f>Macro!U17</f>
        <v>0.25</v>
      </c>
      <c r="R27" s="427" t="s">
        <v>363</v>
      </c>
      <c r="S27" s="428">
        <v>5.9299999999999999E-2</v>
      </c>
      <c r="T27" s="55">
        <v>123538.7</v>
      </c>
      <c r="U27" s="429">
        <f t="shared" si="1"/>
        <v>7.1586275555487163E-3</v>
      </c>
    </row>
    <row r="28" spans="2:21" ht="13" x14ac:dyDescent="0.3">
      <c r="F28" s="342" t="s">
        <v>352</v>
      </c>
      <c r="G28" s="274"/>
      <c r="H28" s="274"/>
      <c r="I28" s="343">
        <f t="shared" ref="I28:N28" si="22">I20</f>
        <v>4.3182786552231983E-2</v>
      </c>
      <c r="J28" s="343">
        <f t="shared" si="22"/>
        <v>4.1603028568137607E-2</v>
      </c>
      <c r="K28" s="343">
        <f t="shared" si="22"/>
        <v>4.2889364446342677E-2</v>
      </c>
      <c r="L28" s="343">
        <f t="shared" si="22"/>
        <v>4.6776715617521003E-2</v>
      </c>
      <c r="M28" s="343">
        <f t="shared" si="22"/>
        <v>4.9129460688370472E-2</v>
      </c>
      <c r="N28" s="343">
        <f t="shared" si="22"/>
        <v>5.2960913529281603E-2</v>
      </c>
      <c r="O28" s="343">
        <f t="shared" ref="O28" si="23">O20</f>
        <v>5.6682673505662445E-2</v>
      </c>
      <c r="P28" s="343">
        <f>P20</f>
        <v>6.1061431059875021E-2</v>
      </c>
      <c r="R28" s="427" t="s">
        <v>364</v>
      </c>
      <c r="S28" s="428">
        <v>5.9299999999999999E-2</v>
      </c>
      <c r="T28" s="55">
        <v>64050</v>
      </c>
      <c r="U28" s="429">
        <f t="shared" si="1"/>
        <v>3.7114693204064416E-3</v>
      </c>
    </row>
    <row r="29" spans="2:21" ht="13" x14ac:dyDescent="0.3">
      <c r="F29" s="207" t="s">
        <v>355</v>
      </c>
      <c r="G29" s="207"/>
      <c r="H29" s="207"/>
      <c r="I29" s="301">
        <f t="shared" ref="I29:N29" ca="1" si="24">I24*I25+I26*(1-I27)*I28</f>
        <v>4.427647609677593E-2</v>
      </c>
      <c r="J29" s="301">
        <f t="shared" ca="1" si="24"/>
        <v>4.3205152128686398E-2</v>
      </c>
      <c r="K29" s="301">
        <f t="shared" ca="1" si="24"/>
        <v>4.4243181295264257E-2</v>
      </c>
      <c r="L29" s="301">
        <f t="shared" ca="1" si="24"/>
        <v>4.7054155266728959E-2</v>
      </c>
      <c r="M29" s="301">
        <f t="shared" ca="1" si="24"/>
        <v>4.8826565974207814E-2</v>
      </c>
      <c r="N29" s="301">
        <f t="shared" ca="1" si="24"/>
        <v>5.1581168868495869E-2</v>
      </c>
      <c r="O29" s="301">
        <f t="shared" ref="O29" ca="1" si="25">O24*O25+O26*(1-O27)*O28</f>
        <v>5.4224401013154316E-2</v>
      </c>
      <c r="P29" s="301">
        <f ca="1">P24*P25+P26*(1-P27)*P28</f>
        <v>5.7467823390868415E-2</v>
      </c>
      <c r="R29" s="427" t="s">
        <v>365</v>
      </c>
      <c r="S29" s="428">
        <v>6.4600000000000005E-2</v>
      </c>
      <c r="T29" s="55">
        <v>1497761</v>
      </c>
      <c r="U29" s="429">
        <f t="shared" si="1"/>
        <v>8.6789914142096372E-2</v>
      </c>
    </row>
    <row r="30" spans="2:21" ht="13.5" thickBot="1" x14ac:dyDescent="0.35">
      <c r="R30" s="430" t="s">
        <v>366</v>
      </c>
      <c r="S30" s="406">
        <v>4.3299999999999998E-2</v>
      </c>
      <c r="T30" s="407">
        <v>535176.80000000005</v>
      </c>
      <c r="U30" s="431">
        <f t="shared" si="1"/>
        <v>3.1011588980379305E-2</v>
      </c>
    </row>
    <row r="31" spans="2:21" ht="13.5" thickBot="1" x14ac:dyDescent="0.35">
      <c r="F31" s="437" t="s">
        <v>355</v>
      </c>
      <c r="G31" s="438"/>
      <c r="H31" s="438"/>
      <c r="I31" s="439" cm="1">
        <f t="array" ref="I31">INDEX(I33:I35,Valuation!$E$9)</f>
        <v>4.7752691004968012E-2</v>
      </c>
      <c r="J31" s="439" cm="1">
        <f t="array" ref="J31">INDEX(J33:J35,Valuation!$E$9)</f>
        <v>4.6679584900763044E-2</v>
      </c>
      <c r="K31" s="439" cm="1">
        <f t="array" ref="K31">INDEX(K33:K35,Valuation!$E$9)</f>
        <v>4.7715836073789736E-2</v>
      </c>
      <c r="L31" s="439" cm="1">
        <f t="array" ref="L31">INDEX(L33:L35,Valuation!$E$9)</f>
        <v>5.052503617984027E-2</v>
      </c>
      <c r="M31" s="439" cm="1">
        <f t="array" ref="M31">INDEX(M33:M35,Valuation!$E$9)</f>
        <v>5.2295677135681576E-2</v>
      </c>
      <c r="N31" s="439" cm="1">
        <f t="array" ref="N31">INDEX(N33:N35,Valuation!$E$9)</f>
        <v>5.504851437781489E-2</v>
      </c>
      <c r="O31" s="439" cm="1">
        <f t="array" ref="O31">INDEX(O33:O35,Valuation!$E$9)</f>
        <v>5.7689984955573689E-2</v>
      </c>
      <c r="P31" s="440" cm="1">
        <f t="array" ref="P31">INDEX(P33:P35,Valuation!$E$9)</f>
        <v>6.0933407333287795E-2</v>
      </c>
      <c r="R31" s="432" t="s">
        <v>367</v>
      </c>
      <c r="T31" s="408">
        <f>SUM(T4:T30)</f>
        <v>17257316.299999997</v>
      </c>
      <c r="U31" s="433"/>
    </row>
    <row r="32" spans="2:21" ht="13.5" thickBot="1" x14ac:dyDescent="0.35">
      <c r="R32" s="434" t="s">
        <v>368</v>
      </c>
      <c r="S32" s="435"/>
      <c r="T32" s="435"/>
      <c r="U32" s="436">
        <f>SUMPRODUCT(S4:S30,U4:U30)</f>
        <v>5.3525759653023225E-2</v>
      </c>
    </row>
    <row r="33" spans="2:28" ht="13.5" thickTop="1" x14ac:dyDescent="0.3">
      <c r="F33" s="349" t="s">
        <v>369</v>
      </c>
      <c r="G33" s="350"/>
      <c r="H33" s="350"/>
      <c r="I33" s="481">
        <v>3.957459762975149E-2</v>
      </c>
      <c r="J33" s="481">
        <v>3.8330559168391121E-2</v>
      </c>
      <c r="K33" s="481">
        <v>3.9233984528673542E-2</v>
      </c>
      <c r="L33" s="481">
        <v>4.2029710339141463E-2</v>
      </c>
      <c r="M33" s="481">
        <v>4.4062298586246391E-2</v>
      </c>
      <c r="N33" s="481">
        <v>4.7052911186163976E-2</v>
      </c>
      <c r="O33" s="481">
        <v>5.0053871085381438E-2</v>
      </c>
      <c r="P33" s="482">
        <v>5.5243346889724002E-2</v>
      </c>
    </row>
    <row r="34" spans="2:28" ht="13" x14ac:dyDescent="0.3">
      <c r="F34" s="351" t="s">
        <v>370</v>
      </c>
      <c r="G34" s="118"/>
      <c r="H34" s="118"/>
      <c r="I34" s="477">
        <f t="shared" ref="I34:N34" ca="1" si="26">I29</f>
        <v>4.427647609677593E-2</v>
      </c>
      <c r="J34" s="477">
        <f t="shared" ca="1" si="26"/>
        <v>4.3205152128686398E-2</v>
      </c>
      <c r="K34" s="477">
        <f t="shared" ca="1" si="26"/>
        <v>4.4243181295264257E-2</v>
      </c>
      <c r="L34" s="477">
        <f t="shared" ca="1" si="26"/>
        <v>4.7054155266728959E-2</v>
      </c>
      <c r="M34" s="477">
        <f t="shared" ca="1" si="26"/>
        <v>4.8826565974207814E-2</v>
      </c>
      <c r="N34" s="477">
        <f t="shared" ca="1" si="26"/>
        <v>5.1581168868495869E-2</v>
      </c>
      <c r="O34" s="477">
        <f t="shared" ref="O34" ca="1" si="27">O29</f>
        <v>5.4224401013154316E-2</v>
      </c>
      <c r="P34" s="478">
        <f ca="1">P29</f>
        <v>5.7467823390868415E-2</v>
      </c>
    </row>
    <row r="35" spans="2:28" ht="13.5" thickBot="1" x14ac:dyDescent="0.35">
      <c r="F35" s="352" t="s">
        <v>371</v>
      </c>
      <c r="G35" s="353"/>
      <c r="H35" s="353"/>
      <c r="I35" s="479">
        <v>4.7752691004968012E-2</v>
      </c>
      <c r="J35" s="479">
        <v>4.6679584900763044E-2</v>
      </c>
      <c r="K35" s="479">
        <v>4.7715836073789736E-2</v>
      </c>
      <c r="L35" s="479">
        <v>5.052503617984027E-2</v>
      </c>
      <c r="M35" s="479">
        <v>5.2295677135681576E-2</v>
      </c>
      <c r="N35" s="479">
        <v>5.504851437781489E-2</v>
      </c>
      <c r="O35" s="479">
        <v>5.7689984955573689E-2</v>
      </c>
      <c r="P35" s="480">
        <v>6.0933407333287795E-2</v>
      </c>
    </row>
    <row r="37" spans="2:28" ht="13" thickBot="1" x14ac:dyDescent="0.3"/>
    <row r="38" spans="2:28" ht="13" x14ac:dyDescent="0.3">
      <c r="B38" s="4" t="s">
        <v>372</v>
      </c>
      <c r="C38" s="4"/>
      <c r="D38" s="4"/>
      <c r="E38" s="4"/>
      <c r="F38" s="4"/>
      <c r="G38" s="4"/>
      <c r="H38" s="4"/>
      <c r="I38" s="4"/>
      <c r="J38" s="4"/>
      <c r="K38" s="4"/>
      <c r="L38" s="4"/>
      <c r="M38" s="4"/>
      <c r="N38" s="4"/>
      <c r="O38" s="4"/>
      <c r="P38" s="4"/>
      <c r="R38" s="283" t="s">
        <v>373</v>
      </c>
      <c r="S38" s="284"/>
      <c r="T38" s="284"/>
      <c r="U38" s="284"/>
      <c r="V38" s="284"/>
      <c r="W38" s="284"/>
      <c r="X38" s="284"/>
      <c r="Y38" s="284"/>
      <c r="Z38" s="284"/>
      <c r="AA38" s="284"/>
      <c r="AB38" s="285"/>
    </row>
    <row r="39" spans="2:28" ht="13.5" thickBot="1" x14ac:dyDescent="0.35">
      <c r="C39" s="126"/>
      <c r="R39" s="286"/>
      <c r="S39" s="287"/>
      <c r="T39" s="287"/>
      <c r="U39" s="287">
        <v>2025</v>
      </c>
      <c r="V39" s="287">
        <f>+U39+1</f>
        <v>2026</v>
      </c>
      <c r="W39" s="287">
        <f>+V39+1</f>
        <v>2027</v>
      </c>
      <c r="X39" s="287">
        <f>+W39+1</f>
        <v>2028</v>
      </c>
      <c r="Y39" s="287">
        <f>+X39+1</f>
        <v>2029</v>
      </c>
      <c r="Z39" s="287">
        <f>+Y39+1</f>
        <v>2030</v>
      </c>
      <c r="AA39" s="287">
        <f>Z39+1</f>
        <v>2031</v>
      </c>
      <c r="AB39" s="315" t="s">
        <v>314</v>
      </c>
    </row>
    <row r="40" spans="2:28" ht="13" x14ac:dyDescent="0.3">
      <c r="B40" s="283" t="s">
        <v>374</v>
      </c>
      <c r="C40" s="284"/>
      <c r="D40" s="284"/>
      <c r="E40" s="284"/>
      <c r="F40" s="284"/>
      <c r="G40" s="285"/>
      <c r="I40" s="4" t="s">
        <v>375</v>
      </c>
      <c r="J40" s="4"/>
      <c r="K40" s="4"/>
      <c r="L40" s="4"/>
      <c r="M40" s="4"/>
      <c r="N40" s="4"/>
      <c r="O40" s="4"/>
      <c r="P40" s="4"/>
      <c r="R40" s="121" t="s">
        <v>376</v>
      </c>
      <c r="U40" s="277">
        <v>1.896668E-2</v>
      </c>
      <c r="V40" s="277">
        <v>1.928558E-2</v>
      </c>
      <c r="W40" s="277">
        <v>2.0766099999999999E-2</v>
      </c>
      <c r="X40" s="277">
        <v>2.2887640000000001E-2</v>
      </c>
      <c r="Y40" s="277">
        <v>2.5241619999999999E-2</v>
      </c>
      <c r="Z40" s="277">
        <v>2.7573719999999999E-2</v>
      </c>
      <c r="AA40" s="277">
        <v>2.973342E-2</v>
      </c>
      <c r="AB40" s="326">
        <v>3.5598869999999998E-2</v>
      </c>
    </row>
    <row r="41" spans="2:28" ht="13" x14ac:dyDescent="0.3">
      <c r="B41" s="286"/>
      <c r="C41" s="287"/>
      <c r="D41" s="287"/>
      <c r="E41" s="294" t="s">
        <v>377</v>
      </c>
      <c r="F41" s="294" t="s">
        <v>378</v>
      </c>
      <c r="G41" s="288" t="s">
        <v>55</v>
      </c>
      <c r="I41" s="127" t="s">
        <v>379</v>
      </c>
      <c r="J41" s="128" t="s">
        <v>380</v>
      </c>
      <c r="K41" s="128" t="s">
        <v>381</v>
      </c>
      <c r="L41" s="128" t="s">
        <v>382</v>
      </c>
      <c r="M41" s="186" t="s">
        <v>383</v>
      </c>
      <c r="N41" s="128"/>
      <c r="O41" s="128" t="s">
        <v>384</v>
      </c>
      <c r="P41" s="129"/>
      <c r="R41" s="121" t="s">
        <v>385</v>
      </c>
      <c r="U41" s="277">
        <f>(100-97.95)/100</f>
        <v>2.0499999999999973E-2</v>
      </c>
      <c r="V41" s="277">
        <f>(100-98)/100</f>
        <v>0.02</v>
      </c>
      <c r="W41" s="277">
        <f>(100-97.805)/100</f>
        <v>2.1949999999999931E-2</v>
      </c>
      <c r="X41" s="277">
        <f>(100-97.59)/100</f>
        <v>2.4099999999999965E-2</v>
      </c>
      <c r="Y41" s="277">
        <f>(100-97.435)/100</f>
        <v>2.5649999999999978E-2</v>
      </c>
      <c r="Z41" s="277">
        <f>(100-97.275)/100</f>
        <v>2.7249999999999944E-2</v>
      </c>
      <c r="AA41" s="277">
        <f>(100-97.165)/100</f>
        <v>2.8349999999999938E-2</v>
      </c>
      <c r="AB41" s="326">
        <f>(100-97.165)/100</f>
        <v>2.8349999999999938E-2</v>
      </c>
    </row>
    <row r="42" spans="2:28" ht="13" x14ac:dyDescent="0.3">
      <c r="B42" s="121" t="s">
        <v>386</v>
      </c>
      <c r="E42" s="55">
        <v>260</v>
      </c>
      <c r="F42" s="55">
        <v>0</v>
      </c>
      <c r="G42" s="289"/>
      <c r="I42" s="329">
        <v>8.5</v>
      </c>
      <c r="J42" s="330">
        <v>100000</v>
      </c>
      <c r="K42" s="313" t="s">
        <v>387</v>
      </c>
      <c r="L42" s="277">
        <v>4.4999999999999997E-3</v>
      </c>
      <c r="M42" s="277">
        <v>1</v>
      </c>
      <c r="N42" s="277"/>
      <c r="O42" s="277">
        <v>0</v>
      </c>
      <c r="P42" s="326"/>
      <c r="R42" s="121"/>
      <c r="S42" s="207"/>
      <c r="T42" s="207"/>
      <c r="U42" s="207"/>
      <c r="V42" s="207"/>
      <c r="W42" s="207"/>
      <c r="X42" s="207"/>
      <c r="Y42" s="207"/>
      <c r="Z42" s="207"/>
      <c r="AA42" s="207"/>
      <c r="AB42" s="316"/>
    </row>
    <row r="43" spans="2:28" ht="14" x14ac:dyDescent="0.3">
      <c r="B43" s="121" t="s">
        <v>388</v>
      </c>
      <c r="E43" s="55">
        <v>4631</v>
      </c>
      <c r="F43" s="55">
        <v>2283</v>
      </c>
      <c r="G43" s="289"/>
      <c r="I43" s="329">
        <v>6.5</v>
      </c>
      <c r="J43" s="330">
        <v>8.5</v>
      </c>
      <c r="K43" s="313" t="s">
        <v>389</v>
      </c>
      <c r="L43" s="277">
        <v>6.0000000000000001E-3</v>
      </c>
      <c r="M43" s="277">
        <v>0.95399999999999996</v>
      </c>
      <c r="N43" s="277"/>
      <c r="O43" s="277">
        <v>0</v>
      </c>
      <c r="P43" s="326"/>
      <c r="R43" s="121" t="s">
        <v>390</v>
      </c>
      <c r="T43" s="441">
        <v>0.5</v>
      </c>
      <c r="AB43" s="120"/>
    </row>
    <row r="44" spans="2:28" x14ac:dyDescent="0.25">
      <c r="B44" s="121" t="s">
        <v>391</v>
      </c>
      <c r="E44" s="55">
        <v>0</v>
      </c>
      <c r="F44" s="55">
        <v>665</v>
      </c>
      <c r="G44" s="289"/>
      <c r="I44" s="329">
        <v>5.5</v>
      </c>
      <c r="J44" s="330">
        <v>6.5</v>
      </c>
      <c r="K44" s="313" t="s">
        <v>392</v>
      </c>
      <c r="L44" s="277">
        <v>7.7000000000000002E-3</v>
      </c>
      <c r="M44" s="277">
        <v>0.73350000000000004</v>
      </c>
      <c r="N44" s="277"/>
      <c r="O44" s="277">
        <v>0</v>
      </c>
      <c r="P44" s="326"/>
      <c r="R44" s="121" t="s">
        <v>393</v>
      </c>
      <c r="T44" s="442">
        <f>1-T43</f>
        <v>0.5</v>
      </c>
      <c r="AB44" s="120"/>
    </row>
    <row r="45" spans="2:28" ht="13.5" thickBot="1" x14ac:dyDescent="0.35">
      <c r="B45" s="121" t="s">
        <v>394</v>
      </c>
      <c r="E45" s="55">
        <v>52</v>
      </c>
      <c r="F45" s="55">
        <v>296</v>
      </c>
      <c r="G45" s="289"/>
      <c r="I45" s="329">
        <v>4.25</v>
      </c>
      <c r="J45" s="330">
        <v>5.5</v>
      </c>
      <c r="K45" s="313" t="s">
        <v>395</v>
      </c>
      <c r="L45" s="277">
        <v>8.5000000000000006E-3</v>
      </c>
      <c r="M45" s="277">
        <v>0.51300000000000001</v>
      </c>
      <c r="N45" s="277"/>
      <c r="O45" s="277">
        <v>0</v>
      </c>
      <c r="P45" s="326"/>
      <c r="R45" s="443" t="s">
        <v>396</v>
      </c>
      <c r="S45" s="444"/>
      <c r="T45" s="444"/>
      <c r="U45" s="445">
        <f t="shared" ref="U45:AB45" si="28">U40*$T$43+U41*$T$44</f>
        <v>1.9733339999999988E-2</v>
      </c>
      <c r="V45" s="445">
        <f t="shared" si="28"/>
        <v>1.964279E-2</v>
      </c>
      <c r="W45" s="445">
        <f t="shared" si="28"/>
        <v>2.1358049999999965E-2</v>
      </c>
      <c r="X45" s="445">
        <f t="shared" si="28"/>
        <v>2.3493819999999985E-2</v>
      </c>
      <c r="Y45" s="445">
        <f t="shared" si="28"/>
        <v>2.5445809999999989E-2</v>
      </c>
      <c r="Z45" s="445">
        <f t="shared" si="28"/>
        <v>2.7411859999999972E-2</v>
      </c>
      <c r="AA45" s="445">
        <f t="shared" si="28"/>
        <v>2.9041709999999971E-2</v>
      </c>
      <c r="AB45" s="446">
        <f t="shared" si="28"/>
        <v>3.1974434999999968E-2</v>
      </c>
    </row>
    <row r="46" spans="2:28" x14ac:dyDescent="0.25">
      <c r="B46" s="121" t="s">
        <v>397</v>
      </c>
      <c r="E46" s="55">
        <v>441</v>
      </c>
      <c r="F46" s="55">
        <v>103</v>
      </c>
      <c r="G46" s="289"/>
      <c r="I46" s="329">
        <v>3</v>
      </c>
      <c r="J46" s="330">
        <v>4.25</v>
      </c>
      <c r="K46" s="313" t="s">
        <v>398</v>
      </c>
      <c r="L46" s="277">
        <v>9.4999999999999998E-3</v>
      </c>
      <c r="M46" s="277">
        <v>0.47299999999999998</v>
      </c>
      <c r="N46" s="277"/>
      <c r="O46" s="277">
        <v>-0.02</v>
      </c>
      <c r="P46" s="326"/>
    </row>
    <row r="47" spans="2:28" ht="13" x14ac:dyDescent="0.3">
      <c r="B47" s="121" t="s">
        <v>139</v>
      </c>
      <c r="E47" s="55">
        <v>141</v>
      </c>
      <c r="F47" s="55">
        <v>263</v>
      </c>
      <c r="G47" s="289"/>
      <c r="I47" s="334">
        <v>2.5</v>
      </c>
      <c r="J47" s="335">
        <v>3</v>
      </c>
      <c r="K47" s="336" t="s">
        <v>399</v>
      </c>
      <c r="L47" s="337">
        <v>1.2E-2</v>
      </c>
      <c r="M47" s="337">
        <v>0.433</v>
      </c>
      <c r="N47" s="337"/>
      <c r="O47" s="337">
        <v>-0.1</v>
      </c>
      <c r="P47" s="338"/>
    </row>
    <row r="48" spans="2:28" x14ac:dyDescent="0.25">
      <c r="B48" s="121" t="s">
        <v>400</v>
      </c>
      <c r="E48" s="55">
        <v>49</v>
      </c>
      <c r="F48" s="55">
        <v>368</v>
      </c>
      <c r="G48" s="289"/>
      <c r="I48" s="329">
        <v>2.25</v>
      </c>
      <c r="J48" s="330">
        <v>2.5</v>
      </c>
      <c r="K48" s="313" t="s">
        <v>401</v>
      </c>
      <c r="L48" s="277">
        <v>1.55E-2</v>
      </c>
      <c r="M48" s="277">
        <v>0.40500000000000003</v>
      </c>
      <c r="N48" s="277"/>
      <c r="O48" s="277">
        <v>-0.2</v>
      </c>
      <c r="P48" s="326"/>
    </row>
    <row r="49" spans="2:16" x14ac:dyDescent="0.25">
      <c r="B49" s="121" t="s">
        <v>402</v>
      </c>
      <c r="E49" s="55">
        <v>14</v>
      </c>
      <c r="F49" s="55">
        <v>8</v>
      </c>
      <c r="G49" s="289"/>
      <c r="I49" s="329">
        <v>2</v>
      </c>
      <c r="J49" s="330">
        <v>2.25</v>
      </c>
      <c r="K49" s="313" t="s">
        <v>403</v>
      </c>
      <c r="L49" s="277">
        <v>1.83E-2</v>
      </c>
      <c r="M49" s="277">
        <v>0.377</v>
      </c>
      <c r="N49" s="277"/>
      <c r="O49" s="277">
        <v>-0.2</v>
      </c>
      <c r="P49" s="326"/>
    </row>
    <row r="50" spans="2:16" x14ac:dyDescent="0.25">
      <c r="B50" s="121" t="s">
        <v>404</v>
      </c>
      <c r="E50" s="55">
        <v>1678</v>
      </c>
      <c r="F50" s="55">
        <v>0</v>
      </c>
      <c r="G50" s="289"/>
      <c r="I50" s="329">
        <v>1.75</v>
      </c>
      <c r="J50" s="330">
        <v>2</v>
      </c>
      <c r="K50" s="313" t="s">
        <v>405</v>
      </c>
      <c r="L50" s="277">
        <v>2.6100000000000002E-2</v>
      </c>
      <c r="M50" s="277">
        <v>0.36799999999999999</v>
      </c>
      <c r="N50" s="277"/>
      <c r="O50" s="277">
        <v>-0.2</v>
      </c>
      <c r="P50" s="326"/>
    </row>
    <row r="51" spans="2:16" ht="13" x14ac:dyDescent="0.3">
      <c r="B51" s="290" t="s">
        <v>406</v>
      </c>
      <c r="C51" s="282"/>
      <c r="D51" s="282"/>
      <c r="E51" s="281">
        <f>SUM(E42:E50)</f>
        <v>7266</v>
      </c>
      <c r="F51" s="281">
        <f>SUM(F42:F50)</f>
        <v>3986</v>
      </c>
      <c r="G51" s="291">
        <f>SUM(E51:F51)</f>
        <v>11252</v>
      </c>
      <c r="I51" s="329">
        <v>1.5</v>
      </c>
      <c r="J51" s="330">
        <v>1.75</v>
      </c>
      <c r="K51" s="313" t="s">
        <v>407</v>
      </c>
      <c r="L51" s="277">
        <v>0.03</v>
      </c>
      <c r="M51" s="277">
        <v>0.35899999999999999</v>
      </c>
      <c r="N51" s="277"/>
      <c r="O51" s="277">
        <v>-0.2</v>
      </c>
      <c r="P51" s="326"/>
    </row>
    <row r="52" spans="2:16" x14ac:dyDescent="0.25">
      <c r="B52" s="121"/>
      <c r="G52" s="120"/>
      <c r="I52" s="329">
        <v>1.25</v>
      </c>
      <c r="J52" s="330">
        <v>1.5</v>
      </c>
      <c r="K52" s="313" t="s">
        <v>408</v>
      </c>
      <c r="L52" s="277">
        <v>4.4200000000000003E-2</v>
      </c>
      <c r="M52" s="277">
        <v>0.32150000000000001</v>
      </c>
      <c r="N52" s="277"/>
      <c r="O52" s="277">
        <v>-0.25</v>
      </c>
      <c r="P52" s="326"/>
    </row>
    <row r="53" spans="2:16" ht="13" thickBot="1" x14ac:dyDescent="0.3">
      <c r="B53" s="121" t="s">
        <v>409</v>
      </c>
      <c r="G53" s="292">
        <v>336</v>
      </c>
      <c r="I53" s="329">
        <v>0.8</v>
      </c>
      <c r="J53" s="330">
        <v>1.25</v>
      </c>
      <c r="K53" s="313" t="s">
        <v>410</v>
      </c>
      <c r="L53" s="277">
        <v>7.2800000000000004E-2</v>
      </c>
      <c r="M53" s="277">
        <v>0.28399999999999997</v>
      </c>
      <c r="N53" s="277"/>
      <c r="O53" s="277">
        <v>-0.4</v>
      </c>
      <c r="P53" s="326"/>
    </row>
    <row r="54" spans="2:16" ht="13.5" thickBot="1" x14ac:dyDescent="0.35">
      <c r="B54" s="296" t="s">
        <v>411</v>
      </c>
      <c r="C54" s="297"/>
      <c r="D54" s="297"/>
      <c r="E54" s="295">
        <f>G53/G51</f>
        <v>2.9861357980803412E-2</v>
      </c>
      <c r="F54" s="298"/>
      <c r="G54" s="299"/>
      <c r="I54" s="329">
        <v>0.65</v>
      </c>
      <c r="J54" s="330">
        <v>0.8</v>
      </c>
      <c r="K54" s="313" t="s">
        <v>412</v>
      </c>
      <c r="L54" s="277">
        <v>0.10100000000000001</v>
      </c>
      <c r="M54" s="277">
        <v>0.1893</v>
      </c>
      <c r="N54" s="277"/>
      <c r="O54" s="277">
        <v>-0.4</v>
      </c>
      <c r="P54" s="326"/>
    </row>
    <row r="55" spans="2:16" ht="13" thickBot="1" x14ac:dyDescent="0.3">
      <c r="B55" s="124"/>
      <c r="C55" s="119"/>
      <c r="D55" s="119"/>
      <c r="E55" s="119"/>
      <c r="F55" s="119"/>
      <c r="G55" s="125"/>
      <c r="I55" s="329">
        <v>0.2</v>
      </c>
      <c r="J55" s="330">
        <v>0.65</v>
      </c>
      <c r="K55" s="313" t="s">
        <v>413</v>
      </c>
      <c r="L55" s="277">
        <v>0.155</v>
      </c>
      <c r="M55" s="277">
        <v>9.4700000000000006E-2</v>
      </c>
      <c r="N55" s="277"/>
      <c r="O55" s="277">
        <v>-0.4</v>
      </c>
      <c r="P55" s="326"/>
    </row>
    <row r="56" spans="2:16" ht="13" thickBot="1" x14ac:dyDescent="0.3">
      <c r="I56" s="331">
        <v>-100000</v>
      </c>
      <c r="J56" s="332">
        <v>0.2</v>
      </c>
      <c r="K56" s="333" t="s">
        <v>414</v>
      </c>
      <c r="L56" s="327">
        <v>0.19</v>
      </c>
      <c r="M56" s="327">
        <v>0</v>
      </c>
      <c r="N56" s="327"/>
      <c r="O56" s="327">
        <v>-0.5</v>
      </c>
      <c r="P56" s="328"/>
    </row>
    <row r="57" spans="2:16" ht="13" thickBot="1" x14ac:dyDescent="0.3"/>
    <row r="58" spans="2:16" ht="13" x14ac:dyDescent="0.3">
      <c r="B58" s="283" t="s">
        <v>415</v>
      </c>
      <c r="C58" s="284"/>
      <c r="D58" s="284"/>
      <c r="E58" s="285"/>
      <c r="I58" s="283" t="s">
        <v>416</v>
      </c>
      <c r="J58" s="284"/>
      <c r="K58" s="284"/>
      <c r="L58" s="284"/>
      <c r="M58" s="284"/>
      <c r="N58" s="284"/>
      <c r="O58" s="284"/>
      <c r="P58" s="285"/>
    </row>
    <row r="59" spans="2:16" ht="13" x14ac:dyDescent="0.3">
      <c r="B59" s="286" t="s">
        <v>417</v>
      </c>
      <c r="C59" s="294" t="s">
        <v>381</v>
      </c>
      <c r="D59" s="294" t="s">
        <v>418</v>
      </c>
      <c r="E59" s="315" t="s">
        <v>42</v>
      </c>
      <c r="F59" s="2"/>
      <c r="I59" s="323" t="s">
        <v>381</v>
      </c>
      <c r="J59" s="541">
        <v>2019</v>
      </c>
      <c r="K59" s="541">
        <v>2020</v>
      </c>
      <c r="L59" s="541">
        <v>2021</v>
      </c>
      <c r="M59" s="541">
        <v>2022</v>
      </c>
      <c r="N59" s="541">
        <v>2023</v>
      </c>
      <c r="O59" s="541">
        <v>2024</v>
      </c>
      <c r="P59" s="542">
        <v>2025</v>
      </c>
    </row>
    <row r="60" spans="2:16" x14ac:dyDescent="0.25">
      <c r="B60" s="121" t="s">
        <v>419</v>
      </c>
      <c r="C60" s="262" t="s">
        <v>420</v>
      </c>
      <c r="D60" s="540">
        <v>45727</v>
      </c>
      <c r="E60" s="120"/>
      <c r="I60" s="121" t="s">
        <v>387</v>
      </c>
      <c r="J60" s="277">
        <v>7.4999999999999997E-3</v>
      </c>
      <c r="K60" s="277">
        <v>6.3E-3</v>
      </c>
      <c r="L60" s="277">
        <v>6.8999999999999999E-3</v>
      </c>
      <c r="M60" s="277">
        <v>6.7000000000000002E-3</v>
      </c>
      <c r="N60" s="277">
        <v>6.8999999999999999E-3</v>
      </c>
      <c r="O60" s="277">
        <v>5.8999999999999999E-3</v>
      </c>
      <c r="P60" s="326">
        <v>4.4999999999999997E-3</v>
      </c>
    </row>
    <row r="61" spans="2:16" x14ac:dyDescent="0.25">
      <c r="B61" s="121"/>
      <c r="E61" s="120"/>
      <c r="I61" s="121" t="s">
        <v>389</v>
      </c>
      <c r="J61" s="277">
        <v>0.01</v>
      </c>
      <c r="K61" s="277">
        <v>7.7999999999999996E-3</v>
      </c>
      <c r="L61" s="277">
        <v>8.5000000000000006E-3</v>
      </c>
      <c r="M61" s="277">
        <v>8.2000000000000007E-3</v>
      </c>
      <c r="N61" s="277">
        <v>8.5000000000000006E-3</v>
      </c>
      <c r="O61" s="277">
        <v>7.0000000000000001E-3</v>
      </c>
      <c r="P61" s="326">
        <v>6.0000000000000001E-3</v>
      </c>
    </row>
    <row r="62" spans="2:16" ht="13" x14ac:dyDescent="0.3">
      <c r="B62" s="293" t="s">
        <v>421</v>
      </c>
      <c r="C62" s="207"/>
      <c r="D62" s="483">
        <f>'Main Financials'!N17/-('Main Financials'!N58+'Main Financials'!N60)</f>
        <v>2.6938349007314599</v>
      </c>
      <c r="E62" s="316"/>
      <c r="I62" s="121" t="s">
        <v>392</v>
      </c>
      <c r="J62" s="277">
        <v>1.2500000000000001E-2</v>
      </c>
      <c r="K62" s="277">
        <v>9.7999999999999997E-3</v>
      </c>
      <c r="L62" s="277">
        <v>1.0699999999999999E-2</v>
      </c>
      <c r="M62" s="277">
        <v>1.03E-2</v>
      </c>
      <c r="N62" s="277">
        <v>1.23E-2</v>
      </c>
      <c r="O62" s="277">
        <v>9.1999999999999998E-3</v>
      </c>
      <c r="P62" s="326">
        <v>7.7000000000000002E-3</v>
      </c>
    </row>
    <row r="63" spans="2:16" x14ac:dyDescent="0.25">
      <c r="B63" s="121"/>
      <c r="E63" s="120"/>
      <c r="I63" s="121" t="s">
        <v>395</v>
      </c>
      <c r="J63" s="277">
        <v>1.38E-2</v>
      </c>
      <c r="K63" s="277">
        <v>1.0800000000000001E-2</v>
      </c>
      <c r="L63" s="277">
        <v>1.18E-2</v>
      </c>
      <c r="M63" s="277">
        <v>1.14E-2</v>
      </c>
      <c r="N63" s="277">
        <v>1.4200000000000001E-2</v>
      </c>
      <c r="O63" s="277">
        <v>1.0699999999999999E-2</v>
      </c>
      <c r="P63" s="326">
        <v>8.5000000000000006E-3</v>
      </c>
    </row>
    <row r="64" spans="2:16" x14ac:dyDescent="0.25">
      <c r="B64" s="121" t="s">
        <v>422</v>
      </c>
      <c r="D64" s="123">
        <f>L47</f>
        <v>1.2E-2</v>
      </c>
      <c r="E64" s="317">
        <v>0.5</v>
      </c>
      <c r="F64" s="123"/>
      <c r="I64" s="324" t="s">
        <v>398</v>
      </c>
      <c r="J64" s="277">
        <v>1.5599999999999999E-2</v>
      </c>
      <c r="K64" s="277">
        <v>1.2200000000000001E-2</v>
      </c>
      <c r="L64" s="277">
        <v>1.3299999999999999E-2</v>
      </c>
      <c r="M64" s="277">
        <v>1.29E-2</v>
      </c>
      <c r="N64" s="277">
        <v>1.6199999999999999E-2</v>
      </c>
      <c r="O64" s="277">
        <v>1.21E-2</v>
      </c>
      <c r="P64" s="326">
        <v>9.4999999999999998E-3</v>
      </c>
    </row>
    <row r="65" spans="2:16" x14ac:dyDescent="0.25">
      <c r="B65" s="121" t="s">
        <v>423</v>
      </c>
      <c r="D65" s="123">
        <f>AVERAGE(J66:P66)</f>
        <v>2.0642857142857147E-2</v>
      </c>
      <c r="E65" s="318">
        <f>1-E64</f>
        <v>0.5</v>
      </c>
      <c r="I65" s="121" t="s">
        <v>399</v>
      </c>
      <c r="J65" s="277">
        <v>0.02</v>
      </c>
      <c r="K65" s="277">
        <v>1.5599999999999999E-2</v>
      </c>
      <c r="L65" s="277">
        <v>1.7100000000000001E-2</v>
      </c>
      <c r="M65" s="277">
        <v>1.5900000000000001E-2</v>
      </c>
      <c r="N65" s="277">
        <v>0.02</v>
      </c>
      <c r="O65" s="277">
        <v>1.47E-2</v>
      </c>
      <c r="P65" s="326">
        <v>1.2E-2</v>
      </c>
    </row>
    <row r="66" spans="2:16" ht="13" x14ac:dyDescent="0.3">
      <c r="B66" s="121"/>
      <c r="E66" s="120"/>
      <c r="I66" s="339" t="s">
        <v>401</v>
      </c>
      <c r="J66" s="337">
        <v>2.5000000000000001E-2</v>
      </c>
      <c r="K66" s="337">
        <v>0.02</v>
      </c>
      <c r="L66" s="337">
        <v>2.3099999999999999E-2</v>
      </c>
      <c r="M66" s="337">
        <v>1.9300000000000001E-2</v>
      </c>
      <c r="N66" s="337">
        <v>2.4199999999999999E-2</v>
      </c>
      <c r="O66" s="337">
        <v>1.7399999999999999E-2</v>
      </c>
      <c r="P66" s="338">
        <v>1.55E-2</v>
      </c>
    </row>
    <row r="67" spans="2:16" ht="13.5" thickBot="1" x14ac:dyDescent="0.35">
      <c r="B67" s="319" t="s">
        <v>424</v>
      </c>
      <c r="C67" s="320"/>
      <c r="D67" s="321">
        <f>SUMPRODUCT(D64:D65,E64:E65)</f>
        <v>1.6321428571428574E-2</v>
      </c>
      <c r="E67" s="322"/>
      <c r="I67" s="121" t="s">
        <v>403</v>
      </c>
      <c r="J67" s="277">
        <v>3.5999999999999997E-2</v>
      </c>
      <c r="K67" s="277">
        <v>2.4E-2</v>
      </c>
      <c r="L67" s="277">
        <v>2.7699999999999999E-2</v>
      </c>
      <c r="M67" s="277">
        <v>2.1499999999999998E-2</v>
      </c>
      <c r="N67" s="277">
        <v>3.1300000000000001E-2</v>
      </c>
      <c r="O67" s="277">
        <v>2.2100000000000002E-2</v>
      </c>
      <c r="P67" s="326">
        <v>1.83E-2</v>
      </c>
    </row>
    <row r="68" spans="2:16" x14ac:dyDescent="0.25">
      <c r="I68" s="121" t="s">
        <v>405</v>
      </c>
      <c r="J68" s="277">
        <v>4.4999999999999998E-2</v>
      </c>
      <c r="K68" s="277">
        <v>3.5099999999999999E-2</v>
      </c>
      <c r="L68" s="277">
        <v>4.0500000000000001E-2</v>
      </c>
      <c r="M68" s="277">
        <v>3.15E-2</v>
      </c>
      <c r="N68" s="277">
        <v>4.5499999999999999E-2</v>
      </c>
      <c r="O68" s="277">
        <v>3.1399999999999997E-2</v>
      </c>
      <c r="P68" s="326">
        <v>2.6100000000000002E-2</v>
      </c>
    </row>
    <row r="69" spans="2:16" x14ac:dyDescent="0.25">
      <c r="I69" s="121" t="s">
        <v>407</v>
      </c>
      <c r="J69" s="277">
        <v>5.3999999999999999E-2</v>
      </c>
      <c r="K69" s="277">
        <v>4.2099999999999999E-2</v>
      </c>
      <c r="L69" s="277">
        <v>4.8599999999999997E-2</v>
      </c>
      <c r="M69" s="277">
        <v>3.78E-2</v>
      </c>
      <c r="N69" s="277">
        <v>5.2600000000000001E-2</v>
      </c>
      <c r="O69" s="277">
        <v>3.61E-2</v>
      </c>
      <c r="P69" s="326">
        <v>0.03</v>
      </c>
    </row>
    <row r="70" spans="2:16" x14ac:dyDescent="0.25">
      <c r="I70" s="121" t="s">
        <v>408</v>
      </c>
      <c r="J70" s="277">
        <v>6.6000000000000003E-2</v>
      </c>
      <c r="K70" s="277">
        <v>5.1499999999999997E-2</v>
      </c>
      <c r="L70" s="277">
        <v>5.9400000000000001E-2</v>
      </c>
      <c r="M70" s="277">
        <v>4.6199999999999998E-2</v>
      </c>
      <c r="N70" s="277">
        <v>7.3700000000000002E-2</v>
      </c>
      <c r="O70" s="277">
        <v>5.2400000000000002E-2</v>
      </c>
      <c r="P70" s="326">
        <v>4.4200000000000003E-2</v>
      </c>
    </row>
    <row r="71" spans="2:16" x14ac:dyDescent="0.25">
      <c r="I71" s="121" t="s">
        <v>410</v>
      </c>
      <c r="J71" s="277">
        <v>0.09</v>
      </c>
      <c r="K71" s="277">
        <v>8.2000000000000003E-2</v>
      </c>
      <c r="L71" s="277">
        <v>9.4600000000000004E-2</v>
      </c>
      <c r="M71" s="277">
        <v>7.7799999999999994E-2</v>
      </c>
      <c r="N71" s="277">
        <v>0.1157</v>
      </c>
      <c r="O71" s="277">
        <v>8.5099999999999995E-2</v>
      </c>
      <c r="P71" s="326">
        <v>7.2800000000000004E-2</v>
      </c>
    </row>
    <row r="72" spans="2:16" x14ac:dyDescent="0.25">
      <c r="I72" s="121" t="s">
        <v>412</v>
      </c>
      <c r="J72" s="277">
        <v>0.1108</v>
      </c>
      <c r="K72" s="277">
        <v>8.6400000000000005E-2</v>
      </c>
      <c r="L72" s="277">
        <v>9.9699999999999997E-2</v>
      </c>
      <c r="M72" s="277">
        <v>8.2000000000000003E-2</v>
      </c>
      <c r="N72" s="277">
        <v>0.1578</v>
      </c>
      <c r="O72" s="277">
        <v>0.1178</v>
      </c>
      <c r="P72" s="326">
        <v>0.10100000000000001</v>
      </c>
    </row>
    <row r="73" spans="2:16" x14ac:dyDescent="0.25">
      <c r="E73" s="123"/>
      <c r="F73" s="123"/>
      <c r="I73" s="324" t="s">
        <v>413</v>
      </c>
      <c r="J73" s="277">
        <v>0.1454</v>
      </c>
      <c r="K73" s="277">
        <v>0.1134</v>
      </c>
      <c r="L73" s="277">
        <v>0.13089999999999999</v>
      </c>
      <c r="M73" s="277">
        <v>0.1076</v>
      </c>
      <c r="N73" s="277">
        <v>0.17499999999999999</v>
      </c>
      <c r="O73" s="277">
        <v>0.17</v>
      </c>
      <c r="P73" s="326">
        <v>0.155</v>
      </c>
    </row>
    <row r="74" spans="2:16" ht="13" thickBot="1" x14ac:dyDescent="0.3">
      <c r="E74" s="123"/>
      <c r="F74" s="123"/>
      <c r="I74" s="325" t="s">
        <v>414</v>
      </c>
      <c r="J74" s="327">
        <v>0.1938</v>
      </c>
      <c r="K74" s="327">
        <v>0.1512</v>
      </c>
      <c r="L74" s="327">
        <v>0.1744</v>
      </c>
      <c r="M74" s="327">
        <v>0.1434</v>
      </c>
      <c r="N74" s="327">
        <v>0.2</v>
      </c>
      <c r="O74" s="327">
        <v>0.2</v>
      </c>
      <c r="P74" s="328">
        <v>0.19</v>
      </c>
    </row>
    <row r="76" spans="2:16" x14ac:dyDescent="0.25">
      <c r="I76" s="476"/>
    </row>
    <row r="110" spans="5:12" x14ac:dyDescent="0.25">
      <c r="E110" s="205"/>
      <c r="F110" s="205"/>
      <c r="G110" s="205"/>
      <c r="H110" s="205"/>
      <c r="I110" s="205"/>
      <c r="J110" s="205"/>
      <c r="K110" s="205"/>
      <c r="L110" s="205"/>
    </row>
    <row r="112" spans="5:12" x14ac:dyDescent="0.25">
      <c r="G112" s="187"/>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A4F6-EA86-4CFD-81F2-027F90B4AC76}">
  <sheetPr>
    <tabColor theme="7" tint="0.79998168889431442"/>
  </sheetPr>
  <dimension ref="A1:XEA340"/>
  <sheetViews>
    <sheetView showGridLines="0" tabSelected="1" zoomScale="85" zoomScaleNormal="85" workbookViewId="0">
      <selection activeCell="N9" sqref="M9:N9"/>
    </sheetView>
  </sheetViews>
  <sheetFormatPr defaultColWidth="8.7265625" defaultRowHeight="12.5" outlineLevelRow="1" x14ac:dyDescent="0.25"/>
  <cols>
    <col min="1" max="1" width="2.7265625" style="33" customWidth="1"/>
    <col min="2" max="2" width="15.7265625" style="33" customWidth="1"/>
    <col min="3" max="3" width="11.1796875" style="33" bestFit="1" customWidth="1"/>
    <col min="4" max="4" width="10.26953125" style="33" customWidth="1"/>
    <col min="5" max="5" width="11.81640625" style="33" bestFit="1" customWidth="1"/>
    <col min="6" max="8" width="10.26953125" style="33" customWidth="1"/>
    <col min="9" max="9" width="11.26953125" style="33" customWidth="1"/>
    <col min="10" max="10" width="10.7265625" style="33" bestFit="1" customWidth="1"/>
    <col min="11" max="16384" width="8.7265625" style="33"/>
  </cols>
  <sheetData>
    <row r="1" spans="2:26" ht="13" thickBot="1" x14ac:dyDescent="0.3"/>
    <row r="2" spans="2:26" ht="13" x14ac:dyDescent="0.3">
      <c r="B2" s="283" t="s">
        <v>425</v>
      </c>
      <c r="C2" s="284"/>
      <c r="D2" s="284"/>
      <c r="E2" s="284"/>
      <c r="F2" s="284"/>
      <c r="G2" s="284"/>
      <c r="H2" s="284"/>
      <c r="I2" s="284"/>
      <c r="J2" s="285"/>
      <c r="K2"/>
      <c r="L2"/>
      <c r="M2"/>
      <c r="N2"/>
      <c r="O2"/>
      <c r="P2"/>
      <c r="Q2"/>
      <c r="R2"/>
      <c r="S2"/>
      <c r="T2"/>
      <c r="U2"/>
      <c r="V2"/>
      <c r="W2"/>
      <c r="X2"/>
      <c r="Y2"/>
      <c r="Z2"/>
    </row>
    <row r="3" spans="2:26" ht="13" x14ac:dyDescent="0.3">
      <c r="B3" s="286" t="s">
        <v>426</v>
      </c>
      <c r="C3" s="294" t="s">
        <v>427</v>
      </c>
      <c r="D3" s="294" t="s">
        <v>428</v>
      </c>
      <c r="E3" s="294" t="s">
        <v>429</v>
      </c>
      <c r="F3" s="287" t="s">
        <v>430</v>
      </c>
      <c r="G3" s="287" t="s">
        <v>336</v>
      </c>
      <c r="H3" s="294" t="s">
        <v>217</v>
      </c>
      <c r="I3" s="287" t="s">
        <v>431</v>
      </c>
      <c r="J3" s="315" t="s">
        <v>432</v>
      </c>
      <c r="K3"/>
      <c r="L3"/>
      <c r="M3"/>
      <c r="N3"/>
      <c r="O3"/>
      <c r="P3"/>
      <c r="Q3"/>
      <c r="R3"/>
      <c r="S3"/>
      <c r="T3"/>
      <c r="U3"/>
      <c r="V3"/>
      <c r="W3"/>
      <c r="X3"/>
      <c r="Y3"/>
      <c r="Z3"/>
    </row>
    <row r="4" spans="2:26" x14ac:dyDescent="0.25">
      <c r="B4" s="452" t="s">
        <v>433</v>
      </c>
      <c r="C4" s="453">
        <f>CCA!F54</f>
        <v>33.79</v>
      </c>
      <c r="D4" s="454">
        <f>CCA!G54</f>
        <v>273.45999999999998</v>
      </c>
      <c r="E4" s="181">
        <f t="shared" ref="E4" si="0">C4*D4</f>
        <v>9240.2133999999987</v>
      </c>
      <c r="F4" s="454">
        <f>CCA!J54</f>
        <v>70078</v>
      </c>
      <c r="G4" s="455">
        <f>M33</f>
        <v>1.6732075011536409</v>
      </c>
      <c r="H4" s="456">
        <f>F19</f>
        <v>0.25829999999999997</v>
      </c>
      <c r="I4" s="455">
        <f>G4/(1+(1-H4)*(F4/E4))</f>
        <v>0.25255693196959794</v>
      </c>
      <c r="J4" s="457">
        <v>45838</v>
      </c>
      <c r="R4" s="165"/>
      <c r="S4" s="166"/>
    </row>
    <row r="5" spans="2:26" x14ac:dyDescent="0.25">
      <c r="B5" s="121" t="s">
        <v>434</v>
      </c>
      <c r="C5" s="453" cm="1">
        <f t="array" aca="1" ref="C5" ca="1">INDIRECT($B5&amp;"!F9")</f>
        <v>8.7780000000000005</v>
      </c>
      <c r="D5" s="454" cm="1">
        <f t="array" aca="1" ref="D5" ca="1">INDIRECT($B5&amp;"!R29")</f>
        <v>2888.7240120000001</v>
      </c>
      <c r="E5" s="181">
        <f ca="1">C5*D5</f>
        <v>25357.219377336001</v>
      </c>
      <c r="F5" s="454" cm="1">
        <f t="array" aca="1" ref="F5" ca="1">INDIRECT($B5&amp;"!R27")</f>
        <v>40799</v>
      </c>
      <c r="G5" s="455">
        <f>P33</f>
        <v>1.5370730595006239</v>
      </c>
      <c r="H5" s="456">
        <f>Macro!N22</f>
        <v>0.24</v>
      </c>
      <c r="I5" s="455">
        <f ca="1">G5/(1+(1-H5)*(F5/E5))</f>
        <v>0.69149778423001174</v>
      </c>
      <c r="J5" s="457" cm="1">
        <f t="array" aca="1" ref="J5" ca="1">INDIRECT($B5&amp;"!I6")</f>
        <v>45838</v>
      </c>
      <c r="R5" s="165"/>
      <c r="S5" s="166"/>
    </row>
    <row r="6" spans="2:26" x14ac:dyDescent="0.25">
      <c r="B6" s="121" t="s">
        <v>435</v>
      </c>
      <c r="C6" s="453" cm="1">
        <f t="array" aca="1" ref="C6" ca="1">INDIRECT(B6&amp;"!F9")</f>
        <v>91.35</v>
      </c>
      <c r="D6" s="454" cm="1">
        <f t="array" aca="1" ref="D6" ca="1">INDIRECT($B6&amp;"!R29")</f>
        <v>501.29526299999998</v>
      </c>
      <c r="E6" s="181">
        <f t="shared" ref="E6:E13" ca="1" si="1">C6*D6</f>
        <v>45793.322275049992</v>
      </c>
      <c r="F6" s="454" cm="1">
        <f t="array" aca="1" ref="F6" ca="1">INDIRECT($B6&amp;"!R27")</f>
        <v>271470</v>
      </c>
      <c r="G6" s="455">
        <f>R33</f>
        <v>1.3843020080277955</v>
      </c>
      <c r="H6" s="456">
        <f>Macro!N23</f>
        <v>0.15825</v>
      </c>
      <c r="I6" s="455">
        <f t="shared" ref="I6:I13" ca="1" si="2">G6/(1+(1-H6)*(F6/E6))</f>
        <v>0.23110116537870398</v>
      </c>
      <c r="J6" s="458" t="str" cm="1">
        <f t="array" aca="1" ref="J6" ca="1">INDIRECT($B6&amp;"!I6")</f>
        <v>09/30/2025</v>
      </c>
      <c r="R6" s="165"/>
      <c r="S6" s="166"/>
    </row>
    <row r="7" spans="2:26" x14ac:dyDescent="0.25">
      <c r="B7" s="121" t="s">
        <v>96</v>
      </c>
      <c r="C7" s="453" cm="1">
        <f t="array" aca="1" ref="C7" ca="1">INDIRECT(B7&amp;"!F9")</f>
        <v>1.9880741</v>
      </c>
      <c r="D7" s="454" cm="1">
        <f t="array" aca="1" ref="D7" ca="1">INDIRECT($B7&amp;"!R29")</f>
        <v>3495.7389119999998</v>
      </c>
      <c r="E7" s="181">
        <f t="shared" ca="1" si="1"/>
        <v>6949.7879913093784</v>
      </c>
      <c r="F7" s="454" cm="1">
        <f t="array" aca="1" ref="F7" ca="1">INDIRECT($B7&amp;"!R27")</f>
        <v>51122.824736912298</v>
      </c>
      <c r="G7" s="455">
        <f>T33</f>
        <v>0.6854606807706437</v>
      </c>
      <c r="H7" s="456">
        <f>Macro!N24</f>
        <v>0.23200000000000001</v>
      </c>
      <c r="I7" s="455">
        <f t="shared" ca="1" si="2"/>
        <v>0.10308565538357943</v>
      </c>
      <c r="J7" s="458" t="str" cm="1">
        <f t="array" aca="1" ref="J7" ca="1">INDIRECT($B7&amp;"!I6")</f>
        <v>09/30/2025</v>
      </c>
      <c r="R7" s="165"/>
      <c r="S7" s="166"/>
    </row>
    <row r="8" spans="2:26" x14ac:dyDescent="0.25">
      <c r="B8" s="121" t="s">
        <v>436</v>
      </c>
      <c r="C8" s="453" cm="1">
        <f t="array" aca="1" ref="C8" ca="1">INDIRECT(B8&amp;"!F9")</f>
        <v>80.72</v>
      </c>
      <c r="D8" s="454" cm="1">
        <f t="array" aca="1" ref="D8" ca="1">INDIRECT($B8&amp;"!R29")</f>
        <v>609.81512449114996</v>
      </c>
      <c r="E8" s="181">
        <f t="shared" ca="1" si="1"/>
        <v>49224.276848925627</v>
      </c>
      <c r="F8" s="454" cm="1">
        <f t="array" aca="1" ref="F8" ca="1">INDIRECT($B8&amp;"!R27")</f>
        <v>107748</v>
      </c>
      <c r="G8" s="455">
        <f>V33</f>
        <v>1.2319778207768606</v>
      </c>
      <c r="H8" s="456">
        <f>Macro!N25</f>
        <v>0.15825</v>
      </c>
      <c r="I8" s="455">
        <f t="shared" ca="1" si="2"/>
        <v>0.43340992256477207</v>
      </c>
      <c r="J8" s="458" t="str" cm="1">
        <f t="array" aca="1" ref="J8" ca="1">INDIRECT($B8&amp;"!I6")</f>
        <v>09/30/2025</v>
      </c>
      <c r="R8" s="165"/>
      <c r="S8" s="166"/>
    </row>
    <row r="9" spans="2:26" x14ac:dyDescent="0.25">
      <c r="B9" s="121" t="s">
        <v>437</v>
      </c>
      <c r="C9" s="453" cm="1">
        <f t="array" aca="1" ref="C9" ca="1">INDIRECT(B9&amp;"!F9")</f>
        <v>56.21</v>
      </c>
      <c r="D9" s="454" cm="1">
        <f t="array" aca="1" ref="D9" ca="1">INDIRECT($B9&amp;"!R29")</f>
        <v>962.90370299999995</v>
      </c>
      <c r="E9" s="181">
        <f t="shared" ca="1" si="1"/>
        <v>54124.817145629997</v>
      </c>
      <c r="F9" s="454" cm="1">
        <f t="array" aca="1" ref="F9" ca="1">INDIRECT($B9&amp;"!R27")</f>
        <v>102343</v>
      </c>
      <c r="G9" s="455">
        <f>X33</f>
        <v>1.5464014842098981</v>
      </c>
      <c r="H9" s="456">
        <f>Macro!N26</f>
        <v>0.15825</v>
      </c>
      <c r="I9" s="455">
        <f t="shared" ca="1" si="2"/>
        <v>0.59668840005883528</v>
      </c>
      <c r="J9" s="458" t="str" cm="1">
        <f t="array" aca="1" ref="J9" ca="1">INDIRECT($B9&amp;"!I6")</f>
        <v>09/30/2025</v>
      </c>
      <c r="R9" s="165"/>
      <c r="S9" s="166"/>
    </row>
    <row r="10" spans="2:26" x14ac:dyDescent="0.25">
      <c r="B10" s="121" t="s">
        <v>438</v>
      </c>
      <c r="C10" s="453" cm="1">
        <f t="array" aca="1" ref="C10" ca="1">INDIRECT(B10&amp;"!F9")</f>
        <v>11.375845</v>
      </c>
      <c r="D10" s="454" cm="1">
        <f t="array" aca="1" ref="D10" ca="1">INDIRECT($B10&amp;"!R29")</f>
        <v>4203</v>
      </c>
      <c r="E10" s="181">
        <f t="shared" ca="1" si="1"/>
        <v>47812.676534999999</v>
      </c>
      <c r="F10" s="454" cm="1">
        <f t="array" aca="1" ref="F10" ca="1">INDIRECT($B10&amp;"!R27")</f>
        <v>139899.57738661801</v>
      </c>
      <c r="G10" s="455">
        <f>Z33</f>
        <v>1.2815917828442516</v>
      </c>
      <c r="H10" s="456">
        <f>Macro!N27</f>
        <v>0.23200000000000001</v>
      </c>
      <c r="I10" s="455">
        <f t="shared" ca="1" si="2"/>
        <v>0.39468046447515431</v>
      </c>
      <c r="J10" s="458" t="str" cm="1">
        <f t="array" aca="1" ref="J10" ca="1">INDIRECT($B10&amp;"!I6")</f>
        <v>09/30/2025</v>
      </c>
      <c r="R10" s="165"/>
      <c r="S10" s="166"/>
    </row>
    <row r="11" spans="2:26" x14ac:dyDescent="0.25">
      <c r="B11" s="121" t="s">
        <v>439</v>
      </c>
      <c r="C11" s="453" cm="1">
        <f t="array" aca="1" ref="C11" ca="1">INDIRECT(B11&amp;"!F9")</f>
        <v>17.648023999999999</v>
      </c>
      <c r="D11" s="454" cm="1">
        <f t="array" aca="1" ref="D11" ca="1">INDIRECT($B11&amp;"!R29")</f>
        <v>13033.389219000001</v>
      </c>
      <c r="E11" s="181">
        <f t="shared" ca="1" si="1"/>
        <v>230013.56573825327</v>
      </c>
      <c r="F11" s="454" cm="1">
        <f t="array" aca="1" ref="F11" ca="1">INDIRECT($B11&amp;"!R27")</f>
        <v>229725.73878488899</v>
      </c>
      <c r="G11" s="455">
        <f>AB33</f>
        <v>0.59175927093026337</v>
      </c>
      <c r="H11" s="456">
        <f>Macro!N28</f>
        <v>0.23200000000000001</v>
      </c>
      <c r="I11" s="455">
        <f t="shared" ca="1" si="2"/>
        <v>0.33488750540893758</v>
      </c>
      <c r="J11" s="458" t="str" cm="1">
        <f t="array" aca="1" ref="J11" ca="1">INDIRECT($B11&amp;"!I6")</f>
        <v>09/30/2025</v>
      </c>
      <c r="R11" s="165"/>
      <c r="S11" s="166"/>
    </row>
    <row r="12" spans="2:26" x14ac:dyDescent="0.25">
      <c r="B12" s="121" t="s">
        <v>440</v>
      </c>
      <c r="C12" s="453" cm="1">
        <f t="array" aca="1" ref="C12" ca="1">INDIRECT(B12&amp;"!F9")</f>
        <v>59.859639999999999</v>
      </c>
      <c r="D12" s="454" cm="1">
        <f t="array" aca="1" ref="D12" ca="1">INDIRECT($B12&amp;"!R29")</f>
        <v>933</v>
      </c>
      <c r="E12" s="181">
        <f t="shared" ca="1" si="1"/>
        <v>55849.044119999999</v>
      </c>
      <c r="F12" s="454" cm="1">
        <f t="array" aca="1" ref="F12" ca="1">INDIRECT($B12&amp;"!R27")</f>
        <v>112768.51299083199</v>
      </c>
      <c r="G12" s="455">
        <f>AD33</f>
        <v>1.2630493950778601</v>
      </c>
      <c r="H12" s="456">
        <f>Macro!N29</f>
        <v>0.21</v>
      </c>
      <c r="I12" s="455">
        <f t="shared" ca="1" si="2"/>
        <v>0.48669770763125131</v>
      </c>
      <c r="J12" s="458" t="str" cm="1">
        <f t="array" aca="1" ref="J12" ca="1">INDIRECT($B12&amp;"!I6")</f>
        <v>09/30/2025</v>
      </c>
      <c r="R12" s="165"/>
      <c r="S12" s="166"/>
    </row>
    <row r="13" spans="2:26" x14ac:dyDescent="0.25">
      <c r="B13" s="121" t="s">
        <v>441</v>
      </c>
      <c r="C13" s="453" cm="1">
        <f t="array" aca="1" ref="C13" ca="1">INDIRECT(B13&amp;"!F9")</f>
        <v>8.7733965000000005</v>
      </c>
      <c r="D13" s="454" cm="1">
        <f t="array" aca="1" ref="D13" ca="1">INDIRECT($B13&amp;"!R29")</f>
        <v>3892.5506140000002</v>
      </c>
      <c r="E13" s="181">
        <f t="shared" ca="1" si="1"/>
        <v>34150.889932940452</v>
      </c>
      <c r="F13" s="454" cm="1">
        <f t="array" aca="1" ref="F13" ca="1">INDIRECT($B13&amp;"!R27")</f>
        <v>72636.763835538193</v>
      </c>
      <c r="G13" s="455">
        <f>AF33</f>
        <v>0.73802081854426016</v>
      </c>
      <c r="H13" s="456">
        <f>Macro!N30</f>
        <v>0.21</v>
      </c>
      <c r="I13" s="455">
        <f t="shared" ca="1" si="2"/>
        <v>0.2753521761417867</v>
      </c>
      <c r="J13" s="458" t="str" cm="1">
        <f t="array" aca="1" ref="J13" ca="1">INDIRECT($B13&amp;"!I6")</f>
        <v>09/30/2025</v>
      </c>
    </row>
    <row r="14" spans="2:26" ht="13" x14ac:dyDescent="0.3">
      <c r="B14" s="459" t="s">
        <v>442</v>
      </c>
      <c r="C14" s="448"/>
      <c r="D14" s="449"/>
      <c r="E14" s="450"/>
      <c r="F14" s="449"/>
      <c r="G14" s="447"/>
      <c r="H14" s="447"/>
      <c r="I14" s="451">
        <f ca="1">AVERAGE(I5:I13)</f>
        <v>0.39415564236367029</v>
      </c>
      <c r="J14" s="460"/>
    </row>
    <row r="15" spans="2:26" ht="13.5" thickBot="1" x14ac:dyDescent="0.35">
      <c r="B15" s="461" t="s">
        <v>443</v>
      </c>
      <c r="C15" s="462"/>
      <c r="D15" s="463"/>
      <c r="E15" s="464"/>
      <c r="F15" s="465"/>
      <c r="G15" s="466"/>
      <c r="H15" s="466"/>
      <c r="I15" s="467">
        <f ca="1">MEDIAN(I5:I13)</f>
        <v>0.39468046447515431</v>
      </c>
      <c r="J15" s="468"/>
    </row>
    <row r="16" spans="2:26" ht="13" thickBot="1" x14ac:dyDescent="0.3"/>
    <row r="17" spans="1:32" ht="13" x14ac:dyDescent="0.3">
      <c r="B17" s="283" t="s">
        <v>444</v>
      </c>
      <c r="C17" s="284"/>
      <c r="D17" s="284"/>
      <c r="E17" s="284"/>
      <c r="F17" s="284"/>
      <c r="G17" s="285"/>
    </row>
    <row r="18" spans="1:32" ht="13" x14ac:dyDescent="0.3">
      <c r="B18" s="286"/>
      <c r="C18" s="287" t="s">
        <v>431</v>
      </c>
      <c r="D18" s="294" t="s">
        <v>429</v>
      </c>
      <c r="E18" s="294" t="s">
        <v>430</v>
      </c>
      <c r="F18" s="287" t="s">
        <v>217</v>
      </c>
      <c r="G18" s="288" t="s">
        <v>336</v>
      </c>
    </row>
    <row r="19" spans="1:32" x14ac:dyDescent="0.25">
      <c r="B19" s="452" t="s">
        <v>442</v>
      </c>
      <c r="C19" s="469">
        <f ca="1">I14</f>
        <v>0.39415564236367029</v>
      </c>
      <c r="D19" s="50">
        <f>$E$4</f>
        <v>9240.2133999999987</v>
      </c>
      <c r="E19" s="50">
        <f>$F$4</f>
        <v>70078</v>
      </c>
      <c r="F19" s="456">
        <f>Macro!$N$17</f>
        <v>0.25829999999999997</v>
      </c>
      <c r="G19" s="470">
        <f ca="1">C19*(1+(1-F19)*(E19/D19))</f>
        <v>2.6113089523288719</v>
      </c>
      <c r="H19"/>
      <c r="I19"/>
      <c r="J19"/>
    </row>
    <row r="20" spans="1:32" ht="13" thickBot="1" x14ac:dyDescent="0.3">
      <c r="B20" s="471" t="s">
        <v>443</v>
      </c>
      <c r="C20" s="472">
        <f ca="1">I15</f>
        <v>0.39468046447515431</v>
      </c>
      <c r="D20" s="473">
        <f>$E$4</f>
        <v>9240.2133999999987</v>
      </c>
      <c r="E20" s="473">
        <f>$F$4</f>
        <v>70078</v>
      </c>
      <c r="F20" s="474">
        <f>Macro!$N$17</f>
        <v>0.25829999999999997</v>
      </c>
      <c r="G20" s="475">
        <f ca="1">C20*(1+(1-F20)*(E20/D20))</f>
        <v>2.61478593586228</v>
      </c>
      <c r="H20"/>
      <c r="I20"/>
      <c r="J20"/>
    </row>
    <row r="22" spans="1:32" ht="13" x14ac:dyDescent="0.3">
      <c r="B22" s="4" t="s">
        <v>445</v>
      </c>
      <c r="C22" s="4"/>
    </row>
    <row r="23" spans="1:32" x14ac:dyDescent="0.25">
      <c r="B23" s="33" t="s">
        <v>446</v>
      </c>
      <c r="C23" s="42">
        <f>M33</f>
        <v>1.6732075011536409</v>
      </c>
    </row>
    <row r="24" spans="1:32" x14ac:dyDescent="0.25">
      <c r="B24" s="33" t="s">
        <v>447</v>
      </c>
      <c r="C24" s="42">
        <f ca="1">AVERAGE(G19:G20)</f>
        <v>2.6130474440955762</v>
      </c>
    </row>
    <row r="26" spans="1:32" ht="18" x14ac:dyDescent="0.4">
      <c r="A26" s="33" t="s">
        <v>22</v>
      </c>
      <c r="B26" s="47" t="s">
        <v>448</v>
      </c>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row>
    <row r="27" spans="1:32" ht="13" outlineLevel="1" x14ac:dyDescent="0.3">
      <c r="B27" s="1" t="s">
        <v>449</v>
      </c>
    </row>
    <row r="28" spans="1:32" outlineLevel="1" x14ac:dyDescent="0.25"/>
    <row r="29" spans="1:32" ht="13" outlineLevel="1" x14ac:dyDescent="0.3">
      <c r="B29" s="34" t="s">
        <v>450</v>
      </c>
      <c r="C29" s="34"/>
      <c r="E29" s="34" t="s">
        <v>451</v>
      </c>
      <c r="F29" s="34"/>
      <c r="G29" s="34"/>
      <c r="H29" s="34"/>
      <c r="I29" s="34"/>
      <c r="J29" s="34"/>
      <c r="K29" s="34"/>
      <c r="L29" s="34"/>
      <c r="M29" s="34"/>
      <c r="O29" s="34" t="s">
        <v>452</v>
      </c>
      <c r="P29" s="34"/>
      <c r="Q29" s="34"/>
      <c r="R29" s="34"/>
      <c r="S29" s="34"/>
      <c r="T29" s="34"/>
      <c r="U29" s="34"/>
      <c r="V29" s="34"/>
      <c r="W29" s="34"/>
      <c r="X29" s="34"/>
      <c r="Y29" s="34"/>
      <c r="Z29" s="34"/>
      <c r="AA29" s="34"/>
      <c r="AB29" s="34"/>
      <c r="AC29" s="34"/>
      <c r="AD29" s="34"/>
      <c r="AE29" s="34"/>
      <c r="AF29" s="34"/>
    </row>
    <row r="30" spans="1:32" outlineLevel="1" x14ac:dyDescent="0.25">
      <c r="B30" s="33" t="s">
        <v>453</v>
      </c>
      <c r="E30" s="33" t="s">
        <v>418</v>
      </c>
      <c r="F30" s="39">
        <v>45962</v>
      </c>
      <c r="H30" s="33" t="s">
        <v>454</v>
      </c>
      <c r="J30" s="14" t="s">
        <v>455</v>
      </c>
      <c r="L30" s="33" t="s">
        <v>456</v>
      </c>
      <c r="M30" s="14" t="s">
        <v>457</v>
      </c>
    </row>
    <row r="31" spans="1:32" ht="13" outlineLevel="1" x14ac:dyDescent="0.3">
      <c r="B31" s="1" t="s">
        <v>458</v>
      </c>
      <c r="E31" s="33" t="s">
        <v>459</v>
      </c>
      <c r="F31" s="39">
        <v>43831</v>
      </c>
      <c r="H31" s="33" t="s">
        <v>460</v>
      </c>
      <c r="J31" s="14" t="s">
        <v>461</v>
      </c>
      <c r="O31" s="35" t="s">
        <v>434</v>
      </c>
      <c r="P31" s="35"/>
      <c r="Q31" s="35" t="s">
        <v>435</v>
      </c>
      <c r="R31" s="35"/>
      <c r="S31" s="35" t="s">
        <v>96</v>
      </c>
      <c r="T31" s="35"/>
      <c r="U31" s="35" t="s">
        <v>436</v>
      </c>
      <c r="V31" s="35"/>
      <c r="W31" s="35" t="s">
        <v>462</v>
      </c>
      <c r="X31" s="35"/>
      <c r="Y31" s="35" t="s">
        <v>438</v>
      </c>
      <c r="Z31" s="35"/>
      <c r="AA31" s="35" t="s">
        <v>439</v>
      </c>
      <c r="AB31" s="35"/>
      <c r="AC31" s="35" t="s">
        <v>463</v>
      </c>
      <c r="AD31" s="35"/>
      <c r="AE31" s="35" t="s">
        <v>441</v>
      </c>
      <c r="AF31" s="35"/>
    </row>
    <row r="32" spans="1:32" ht="13" outlineLevel="1" x14ac:dyDescent="0.3">
      <c r="F32"/>
      <c r="O32" s="44" t="s">
        <v>464</v>
      </c>
      <c r="P32" s="45"/>
      <c r="Q32" s="44" t="s">
        <v>464</v>
      </c>
      <c r="R32" s="45"/>
      <c r="S32" s="44" t="s">
        <v>464</v>
      </c>
      <c r="T32" s="45"/>
      <c r="U32" s="44" t="s">
        <v>464</v>
      </c>
      <c r="V32" s="45"/>
      <c r="W32" s="44" t="s">
        <v>464</v>
      </c>
      <c r="X32" s="45"/>
      <c r="Y32" s="44" t="s">
        <v>464</v>
      </c>
      <c r="Z32" s="45"/>
      <c r="AA32" s="44" t="s">
        <v>464</v>
      </c>
      <c r="AB32" s="45"/>
      <c r="AC32" s="44" t="s">
        <v>464</v>
      </c>
      <c r="AD32" s="45"/>
      <c r="AE32" s="44" t="s">
        <v>464</v>
      </c>
      <c r="AF32" s="45"/>
    </row>
    <row r="33" spans="2:32 16355:16355" ht="13" outlineLevel="1" x14ac:dyDescent="0.3">
      <c r="B33" s="43" t="s">
        <v>465</v>
      </c>
      <c r="F33" s="43" t="s">
        <v>466</v>
      </c>
      <c r="G33" s="41" t="s">
        <v>467</v>
      </c>
      <c r="H33" s="43" t="s">
        <v>466</v>
      </c>
      <c r="I33" s="41" t="s">
        <v>467</v>
      </c>
      <c r="K33" s="41" t="s">
        <v>468</v>
      </c>
      <c r="M33" s="42">
        <f>_xlfn.COVARIANCE.P(H35:H339,I35:I339)/_xlfn.VAR.P(I35:I339)</f>
        <v>1.6732075011536409</v>
      </c>
      <c r="O33"/>
      <c r="P33" s="42">
        <f>_xlfn.COVARIANCE.P(P35:P339,$I$35:$I$339)/_xlfn.VAR.P($I$35:$I$339)</f>
        <v>1.5370730595006239</v>
      </c>
      <c r="Q33"/>
      <c r="R33" s="42">
        <f t="shared" ref="R33" si="3">_xlfn.COVARIANCE.P(R35:R339,$I$35:$I$339)/_xlfn.VAR.P($I$35:$I$339)</f>
        <v>1.3843020080277955</v>
      </c>
      <c r="S33"/>
      <c r="T33" s="42">
        <f t="shared" ref="T33" si="4">_xlfn.COVARIANCE.P(T35:T339,$I$35:$I$339)/_xlfn.VAR.P($I$35:$I$339)</f>
        <v>0.6854606807706437</v>
      </c>
      <c r="U33"/>
      <c r="V33" s="42">
        <f t="shared" ref="V33" si="5">_xlfn.COVARIANCE.P(V35:V339,$I$35:$I$339)/_xlfn.VAR.P($I$35:$I$339)</f>
        <v>1.2319778207768606</v>
      </c>
      <c r="W33"/>
      <c r="X33" s="42">
        <f t="shared" ref="X33" si="6">_xlfn.COVARIANCE.P(X35:X339,$I$35:$I$339)/_xlfn.VAR.P($I$35:$I$339)</f>
        <v>1.5464014842098981</v>
      </c>
      <c r="Y33"/>
      <c r="Z33" s="42">
        <f t="shared" ref="Z33" si="7">_xlfn.COVARIANCE.P(Z35:Z339,$I$35:$I$339)/_xlfn.VAR.P($I$35:$I$339)</f>
        <v>1.2815917828442516</v>
      </c>
      <c r="AA33"/>
      <c r="AB33" s="42">
        <f t="shared" ref="AB33" si="8">_xlfn.COVARIANCE.P(AB35:AB339,$I$35:$I$339)/_xlfn.VAR.P($I$35:$I$339)</f>
        <v>0.59175927093026337</v>
      </c>
      <c r="AC33"/>
      <c r="AD33" s="42">
        <f t="shared" ref="AD33" si="9">_xlfn.COVARIANCE.P(AD35:AD339,$I$35:$I$339)/_xlfn.VAR.P($I$35:$I$339)</f>
        <v>1.2630493950778601</v>
      </c>
      <c r="AE33"/>
      <c r="AF33" s="42">
        <f t="shared" ref="AF33" si="10">_xlfn.COVARIANCE.P(AF35:AF339,$I$35:$I$339)/_xlfn.VAR.P($I$35:$I$339)</f>
        <v>0.73802081854426016</v>
      </c>
    </row>
    <row r="34" spans="2:32 16355:16355" outlineLevel="1" x14ac:dyDescent="0.25">
      <c r="B34" s="46" t="s">
        <v>469</v>
      </c>
      <c r="C34" s="46" t="s">
        <v>470</v>
      </c>
      <c r="E34" s="46" t="s">
        <v>418</v>
      </c>
      <c r="F34" s="46" t="s">
        <v>471</v>
      </c>
      <c r="G34" s="46" t="s">
        <v>471</v>
      </c>
      <c r="H34" s="46" t="s">
        <v>472</v>
      </c>
      <c r="I34" s="46" t="s">
        <v>472</v>
      </c>
      <c r="O34" s="46" t="s">
        <v>471</v>
      </c>
      <c r="P34" s="46" t="s">
        <v>472</v>
      </c>
      <c r="Q34" s="46" t="s">
        <v>471</v>
      </c>
      <c r="R34" s="46" t="s">
        <v>472</v>
      </c>
      <c r="S34" s="46" t="s">
        <v>471</v>
      </c>
      <c r="T34" s="46" t="s">
        <v>472</v>
      </c>
      <c r="U34" s="46" t="s">
        <v>471</v>
      </c>
      <c r="V34" s="46" t="s">
        <v>472</v>
      </c>
      <c r="W34" s="46" t="s">
        <v>471</v>
      </c>
      <c r="X34" s="46" t="s">
        <v>472</v>
      </c>
      <c r="Y34" s="46" t="s">
        <v>471</v>
      </c>
      <c r="Z34" s="46" t="s">
        <v>472</v>
      </c>
      <c r="AA34" s="46" t="s">
        <v>471</v>
      </c>
      <c r="AB34" s="46" t="s">
        <v>472</v>
      </c>
      <c r="AC34" s="46" t="s">
        <v>471</v>
      </c>
      <c r="AD34" s="46" t="s">
        <v>472</v>
      </c>
      <c r="AE34" s="46" t="s">
        <v>471</v>
      </c>
      <c r="AF34" s="46" t="s">
        <v>472</v>
      </c>
    </row>
    <row r="35" spans="2:32 16355:16355" outlineLevel="1" x14ac:dyDescent="0.25">
      <c r="B35" s="38">
        <v>2.6440000000000002E-2</v>
      </c>
      <c r="C35" s="37">
        <f>(1+B35)^(1/52)-1</f>
        <v>5.0198181074545545E-4</v>
      </c>
      <c r="E35" s="40">
        <v>45961</v>
      </c>
      <c r="F35" s="38">
        <v>-1.9493699E-2</v>
      </c>
      <c r="G35" s="38">
        <v>-6.7215560000000001E-3</v>
      </c>
      <c r="H35" s="36">
        <f>F35-$C35</f>
        <v>-1.9995680810745455E-2</v>
      </c>
      <c r="I35" s="36">
        <f>G35-C35</f>
        <v>-7.2235378107454555E-3</v>
      </c>
      <c r="O35" s="38">
        <v>-7.0619345E-2</v>
      </c>
      <c r="P35" s="36">
        <f>O35-$C35</f>
        <v>-7.1121326810745455E-2</v>
      </c>
      <c r="Q35" s="38">
        <v>-1.0935068E-3</v>
      </c>
      <c r="R35" s="36">
        <f>Q35-$C35</f>
        <v>-1.5954886107454555E-3</v>
      </c>
      <c r="S35" s="38">
        <v>-6.0366629999999998E-2</v>
      </c>
      <c r="T35" s="36">
        <f>S35-$C35</f>
        <v>-6.0868611810745453E-2</v>
      </c>
      <c r="U35" s="38">
        <v>-5.4213999999999998E-3</v>
      </c>
      <c r="V35" s="36">
        <f>U35-$C35</f>
        <v>-5.9233818107454553E-3</v>
      </c>
      <c r="W35" s="38">
        <v>4.5767426E-2</v>
      </c>
      <c r="X35" s="36">
        <f>W35-$C35</f>
        <v>4.5265444189254544E-2</v>
      </c>
      <c r="Y35" s="38">
        <v>-4.439622E-2</v>
      </c>
      <c r="Z35" s="36">
        <f>Y35-$C35</f>
        <v>-4.4898201810745456E-2</v>
      </c>
      <c r="AA35" s="38">
        <v>2.4225711999999997E-3</v>
      </c>
      <c r="AB35" s="36">
        <f>AA35-$C35</f>
        <v>1.9205893892545443E-3</v>
      </c>
      <c r="AC35" s="38">
        <v>-9.6452235999999996E-4</v>
      </c>
      <c r="AD35" s="36">
        <f>AC35-$C35</f>
        <v>-1.4665041707454555E-3</v>
      </c>
      <c r="AE35" s="38">
        <v>-2.2704659999999998E-2</v>
      </c>
      <c r="AF35" s="36">
        <f>AE35-$C35</f>
        <v>-2.3206641810745453E-2</v>
      </c>
    </row>
    <row r="36" spans="2:32 16355:16355" outlineLevel="1" x14ac:dyDescent="0.25">
      <c r="B36" s="38">
        <v>2.6269999999999998E-2</v>
      </c>
      <c r="C36" s="37">
        <f t="shared" ref="C36:C99" si="11">(1+B36)^(1/52)-1</f>
        <v>4.9879493421456367E-4</v>
      </c>
      <c r="E36" s="40">
        <v>45954</v>
      </c>
      <c r="F36" s="38">
        <v>-5.8156251999999997E-4</v>
      </c>
      <c r="G36" s="38">
        <v>1.6812682000000002E-2</v>
      </c>
      <c r="H36" s="36">
        <f t="shared" ref="H36:H99" si="12">F36-C36</f>
        <v>-1.0803574542145636E-3</v>
      </c>
      <c r="I36" s="36">
        <f t="shared" ref="I36:I99" si="13">G36-C36</f>
        <v>1.6313887065785439E-2</v>
      </c>
      <c r="O36" s="38">
        <v>5.9450390000000006E-2</v>
      </c>
      <c r="P36" s="36">
        <f t="shared" ref="P36:R99" si="14">O36-$C36</f>
        <v>5.8951595065785442E-2</v>
      </c>
      <c r="Q36" s="38">
        <v>-1.1351407000000001E-2</v>
      </c>
      <c r="R36" s="36">
        <f t="shared" si="14"/>
        <v>-1.1850201934214565E-2</v>
      </c>
      <c r="S36" s="38">
        <v>5.5843589999999999E-2</v>
      </c>
      <c r="T36" s="36">
        <f t="shared" ref="T36:T99" si="15">S36-$C36</f>
        <v>5.5344795065785435E-2</v>
      </c>
      <c r="U36" s="38">
        <v>1.1717796000000001E-2</v>
      </c>
      <c r="V36" s="36">
        <f t="shared" ref="V36:V99" si="16">U36-$C36</f>
        <v>1.1219001065785437E-2</v>
      </c>
      <c r="W36" s="38">
        <v>7.1201323999999996E-3</v>
      </c>
      <c r="X36" s="36">
        <f t="shared" ref="X36:X99" si="17">W36-$C36</f>
        <v>6.621337465785436E-3</v>
      </c>
      <c r="Y36" s="38">
        <v>0.16521823999999999</v>
      </c>
      <c r="Z36" s="36">
        <f t="shared" ref="Z36:Z99" si="18">Y36-$C36</f>
        <v>0.16471944506578542</v>
      </c>
      <c r="AA36" s="38">
        <v>5.3311944E-2</v>
      </c>
      <c r="AB36" s="36">
        <f t="shared" ref="AB36:AB99" si="19">AA36-$C36</f>
        <v>5.2813149065785436E-2</v>
      </c>
      <c r="AC36" s="38">
        <v>0.19747602</v>
      </c>
      <c r="AD36" s="36">
        <f t="shared" ref="AD36:AD99" si="20">AC36-$C36</f>
        <v>0.19697722506578544</v>
      </c>
      <c r="AE36" s="38">
        <v>3.8271666000000003E-2</v>
      </c>
      <c r="AF36" s="36">
        <f t="shared" ref="AF36:AF99" si="21">AE36-$C36</f>
        <v>3.7772871065785439E-2</v>
      </c>
    </row>
    <row r="37" spans="2:32 16355:16355" outlineLevel="1" x14ac:dyDescent="0.25">
      <c r="B37" s="38">
        <v>2.5830000000000002E-2</v>
      </c>
      <c r="C37" s="37">
        <f t="shared" si="11"/>
        <v>4.9054414306737293E-4</v>
      </c>
      <c r="E37" s="40">
        <v>45947</v>
      </c>
      <c r="F37" s="38">
        <v>1.7477274000000001E-3</v>
      </c>
      <c r="G37" s="38">
        <v>3.6869049999999999E-3</v>
      </c>
      <c r="H37" s="36">
        <f t="shared" si="12"/>
        <v>1.2571832569326271E-3</v>
      </c>
      <c r="I37" s="36">
        <f t="shared" si="13"/>
        <v>3.1963608569326269E-3</v>
      </c>
      <c r="O37" s="38">
        <v>4.1471960000000002E-2</v>
      </c>
      <c r="P37" s="36">
        <f t="shared" si="14"/>
        <v>4.0981415856932629E-2</v>
      </c>
      <c r="Q37" s="38">
        <v>1.8161773999999999E-2</v>
      </c>
      <c r="R37" s="36">
        <f t="shared" si="14"/>
        <v>1.7671229856932626E-2</v>
      </c>
      <c r="S37" s="38">
        <v>-1.2245059000000001E-2</v>
      </c>
      <c r="T37" s="36">
        <f t="shared" si="15"/>
        <v>-1.2735603143067374E-2</v>
      </c>
      <c r="U37" s="38">
        <v>2.2171259999999998E-2</v>
      </c>
      <c r="V37" s="36">
        <f t="shared" si="16"/>
        <v>2.1680715856932625E-2</v>
      </c>
      <c r="W37" s="38">
        <v>3.1954050000000001E-3</v>
      </c>
      <c r="X37" s="36">
        <f t="shared" si="17"/>
        <v>2.7048608569326272E-3</v>
      </c>
      <c r="Y37" s="38">
        <v>3.6862970000000002E-2</v>
      </c>
      <c r="Z37" s="36">
        <f t="shared" si="18"/>
        <v>3.6372425856932629E-2</v>
      </c>
      <c r="AA37" s="38">
        <v>1.7873764E-2</v>
      </c>
      <c r="AB37" s="36">
        <f t="shared" si="19"/>
        <v>1.7383219856932627E-2</v>
      </c>
      <c r="AC37" s="38">
        <v>4.6832560000000002E-2</v>
      </c>
      <c r="AD37" s="36">
        <f t="shared" si="20"/>
        <v>4.6342015856932629E-2</v>
      </c>
      <c r="AE37" s="38">
        <v>-1.9155203999999999E-2</v>
      </c>
      <c r="AF37" s="36">
        <f t="shared" si="21"/>
        <v>-1.9645748143067372E-2</v>
      </c>
    </row>
    <row r="38" spans="2:32 16355:16355" outlineLevel="1" x14ac:dyDescent="0.25">
      <c r="B38" s="38">
        <v>2.6669999999999999E-2</v>
      </c>
      <c r="C38" s="37">
        <f t="shared" si="11"/>
        <v>5.062926433645476E-4</v>
      </c>
      <c r="E38" s="40">
        <v>45940</v>
      </c>
      <c r="F38" s="38">
        <v>-4.052538E-2</v>
      </c>
      <c r="G38" s="38">
        <v>-1.1026442000000001E-2</v>
      </c>
      <c r="H38" s="36">
        <f t="shared" si="12"/>
        <v>-4.1031672643364547E-2</v>
      </c>
      <c r="I38" s="36">
        <f t="shared" si="13"/>
        <v>-1.1532734643364548E-2</v>
      </c>
      <c r="O38" s="38">
        <v>-5.0997790000000001E-2</v>
      </c>
      <c r="P38" s="36">
        <f t="shared" si="14"/>
        <v>-5.1504082643364549E-2</v>
      </c>
      <c r="Q38" s="38">
        <v>-3.5562634000000003E-2</v>
      </c>
      <c r="R38" s="36">
        <f t="shared" si="14"/>
        <v>-3.606892664336455E-2</v>
      </c>
      <c r="S38" s="38">
        <v>-2.3082614000000001E-2</v>
      </c>
      <c r="T38" s="36">
        <f t="shared" si="15"/>
        <v>-2.3588906643364549E-2</v>
      </c>
      <c r="U38" s="38">
        <v>-9.1876800000000008E-2</v>
      </c>
      <c r="V38" s="36">
        <f t="shared" si="16"/>
        <v>-9.2383092643364556E-2</v>
      </c>
      <c r="W38" s="38">
        <v>-3.9884507999999999E-2</v>
      </c>
      <c r="X38" s="36">
        <f t="shared" si="17"/>
        <v>-4.0390800643364547E-2</v>
      </c>
      <c r="Y38" s="38">
        <v>-8.696580000000001E-2</v>
      </c>
      <c r="Z38" s="36">
        <f t="shared" si="18"/>
        <v>-8.7472092643364557E-2</v>
      </c>
      <c r="AA38" s="38">
        <v>1.11460686E-3</v>
      </c>
      <c r="AB38" s="36">
        <f t="shared" si="19"/>
        <v>6.0831421663545241E-4</v>
      </c>
      <c r="AC38" s="38">
        <v>-6.6736164000000001E-2</v>
      </c>
      <c r="AD38" s="36">
        <f t="shared" si="20"/>
        <v>-6.7242456643364548E-2</v>
      </c>
      <c r="AE38" s="38">
        <v>1.0011196E-3</v>
      </c>
      <c r="AF38" s="36">
        <f t="shared" si="21"/>
        <v>4.9482695663545235E-4</v>
      </c>
    </row>
    <row r="39" spans="2:32 16355:16355" outlineLevel="1" x14ac:dyDescent="0.25">
      <c r="B39" s="38">
        <v>2.7029999999999998E-2</v>
      </c>
      <c r="C39" s="37">
        <f t="shared" si="11"/>
        <v>5.1303813242986607E-4</v>
      </c>
      <c r="E39" s="40">
        <v>45933</v>
      </c>
      <c r="F39" s="38">
        <v>2.9640198E-2</v>
      </c>
      <c r="G39" s="38">
        <v>2.8727531000000001E-2</v>
      </c>
      <c r="H39" s="36">
        <f t="shared" si="12"/>
        <v>2.9127159867570133E-2</v>
      </c>
      <c r="I39" s="36">
        <f t="shared" si="13"/>
        <v>2.8214492867570135E-2</v>
      </c>
      <c r="O39" s="38">
        <v>0.14105010000000001</v>
      </c>
      <c r="P39" s="36">
        <f t="shared" si="14"/>
        <v>0.14053706186757015</v>
      </c>
      <c r="Q39" s="38">
        <v>1.7278551999999999E-2</v>
      </c>
      <c r="R39" s="36">
        <f t="shared" si="14"/>
        <v>1.6765513867570133E-2</v>
      </c>
      <c r="S39" s="38">
        <v>-2.2078215999999998E-2</v>
      </c>
      <c r="T39" s="36">
        <f t="shared" si="15"/>
        <v>-2.2591254132429864E-2</v>
      </c>
      <c r="U39" s="38">
        <v>7.9309940000000002E-3</v>
      </c>
      <c r="V39" s="36">
        <f t="shared" si="16"/>
        <v>7.4179558675701342E-3</v>
      </c>
      <c r="W39" s="38">
        <v>3.9197326000000005E-2</v>
      </c>
      <c r="X39" s="36">
        <f t="shared" si="17"/>
        <v>3.8684287867570138E-2</v>
      </c>
      <c r="Y39" s="38">
        <v>5.0596120000000001E-2</v>
      </c>
      <c r="Z39" s="36">
        <f t="shared" si="18"/>
        <v>5.0083081867570135E-2</v>
      </c>
      <c r="AA39" s="38">
        <v>-3.4456730000000005E-2</v>
      </c>
      <c r="AB39" s="36">
        <f t="shared" si="19"/>
        <v>-3.4969768132429871E-2</v>
      </c>
      <c r="AC39" s="38">
        <v>-2.2181570000000001E-2</v>
      </c>
      <c r="AD39" s="36">
        <f t="shared" si="20"/>
        <v>-2.2694608132429867E-2</v>
      </c>
      <c r="AE39" s="38">
        <v>-6.7053613999999997E-2</v>
      </c>
      <c r="AF39" s="36">
        <f t="shared" si="21"/>
        <v>-6.7566652132429864E-2</v>
      </c>
    </row>
    <row r="40" spans="2:32 16355:16355" outlineLevel="1" x14ac:dyDescent="0.25">
      <c r="B40" s="38">
        <v>2.741E-2</v>
      </c>
      <c r="C40" s="37">
        <f t="shared" si="11"/>
        <v>5.201558555298913E-4</v>
      </c>
      <c r="E40" s="40">
        <v>45926</v>
      </c>
      <c r="F40" s="38">
        <v>-1.7528951000000001E-2</v>
      </c>
      <c r="G40" s="38">
        <v>7.2193145999999999E-4</v>
      </c>
      <c r="H40" s="36">
        <f t="shared" si="12"/>
        <v>-1.8049106855529892E-2</v>
      </c>
      <c r="I40" s="36">
        <f t="shared" si="13"/>
        <v>2.0177560447010869E-4</v>
      </c>
      <c r="O40" s="38">
        <v>-6.4164760000000001E-2</v>
      </c>
      <c r="P40" s="36">
        <f t="shared" si="14"/>
        <v>-6.4684915855529893E-2</v>
      </c>
      <c r="Q40" s="38">
        <v>-5.7985782999999999E-2</v>
      </c>
      <c r="R40" s="36">
        <f t="shared" si="14"/>
        <v>-5.850593885552989E-2</v>
      </c>
      <c r="S40" s="38">
        <v>6.6804885999999994E-3</v>
      </c>
      <c r="T40" s="36">
        <f t="shared" si="15"/>
        <v>6.1603327444701081E-3</v>
      </c>
      <c r="U40" s="38">
        <v>2.9786109999999998E-2</v>
      </c>
      <c r="V40" s="36">
        <f t="shared" si="16"/>
        <v>2.9265954144470106E-2</v>
      </c>
      <c r="W40" s="38">
        <v>3.5742044000000001E-2</v>
      </c>
      <c r="X40" s="36">
        <f t="shared" si="17"/>
        <v>3.5221888144470109E-2</v>
      </c>
      <c r="Y40" s="38">
        <v>3.9397120000000001E-2</v>
      </c>
      <c r="Z40" s="36">
        <f t="shared" si="18"/>
        <v>3.8876964144470109E-2</v>
      </c>
      <c r="AA40" s="38">
        <v>1.0572672E-2</v>
      </c>
      <c r="AB40" s="36">
        <f t="shared" si="19"/>
        <v>1.0052516144470109E-2</v>
      </c>
      <c r="AC40" s="38">
        <v>4.4179199999999995E-2</v>
      </c>
      <c r="AD40" s="36">
        <f t="shared" si="20"/>
        <v>4.3659044144470104E-2</v>
      </c>
      <c r="AE40" s="38">
        <v>6.3358544999999999E-3</v>
      </c>
      <c r="AF40" s="36">
        <f t="shared" si="21"/>
        <v>5.8156986444701086E-3</v>
      </c>
    </row>
    <row r="41" spans="2:32 16355:16355" outlineLevel="1" x14ac:dyDescent="0.25">
      <c r="B41" s="38">
        <v>2.7380000000000002E-2</v>
      </c>
      <c r="C41" s="37">
        <f t="shared" si="11"/>
        <v>5.1959402390266973E-4</v>
      </c>
      <c r="E41" s="40">
        <v>45919</v>
      </c>
      <c r="F41" s="38">
        <v>2.9095173000000002E-2</v>
      </c>
      <c r="G41" s="38">
        <v>-1.2977122999999998E-3</v>
      </c>
      <c r="H41" s="36">
        <f t="shared" si="12"/>
        <v>2.8575578976097332E-2</v>
      </c>
      <c r="I41" s="36">
        <f t="shared" si="13"/>
        <v>-1.8173063239026695E-3</v>
      </c>
      <c r="O41" s="38">
        <v>5.6535244000000005E-2</v>
      </c>
      <c r="P41" s="36">
        <f t="shared" si="14"/>
        <v>5.6015649976097336E-2</v>
      </c>
      <c r="Q41" s="38">
        <v>-4.7480583E-2</v>
      </c>
      <c r="R41" s="36">
        <f t="shared" si="14"/>
        <v>-4.800017702390267E-2</v>
      </c>
      <c r="S41" s="38">
        <v>2.2317170999999998E-3</v>
      </c>
      <c r="T41" s="36">
        <f t="shared" si="15"/>
        <v>1.7121230760973301E-3</v>
      </c>
      <c r="U41" s="38">
        <v>-6.6809653999999998E-3</v>
      </c>
      <c r="V41" s="36">
        <f t="shared" si="16"/>
        <v>-7.2005594239026695E-3</v>
      </c>
      <c r="W41" s="38">
        <v>-4.0626526000000001E-3</v>
      </c>
      <c r="X41" s="36">
        <f t="shared" si="17"/>
        <v>-4.5822466239026699E-3</v>
      </c>
      <c r="Y41" s="38">
        <v>-7.7599883000000003E-3</v>
      </c>
      <c r="Z41" s="36">
        <f t="shared" si="18"/>
        <v>-8.2795823239026692E-3</v>
      </c>
      <c r="AA41" s="38">
        <v>7.6683760000000002E-3</v>
      </c>
      <c r="AB41" s="36">
        <f t="shared" si="19"/>
        <v>7.1487819760973305E-3</v>
      </c>
      <c r="AC41" s="38">
        <v>5.5470466999999997E-3</v>
      </c>
      <c r="AD41" s="36">
        <f t="shared" si="20"/>
        <v>5.02745267609733E-3</v>
      </c>
      <c r="AE41" s="38">
        <v>-1.5222728000000001E-2</v>
      </c>
      <c r="AF41" s="36">
        <f t="shared" si="21"/>
        <v>-1.5742322023902671E-2</v>
      </c>
    </row>
    <row r="42" spans="2:32 16355:16355" outlineLevel="1" x14ac:dyDescent="0.25">
      <c r="B42" s="38">
        <v>2.7040000000000002E-2</v>
      </c>
      <c r="C42" s="37">
        <f t="shared" si="11"/>
        <v>5.1322547402143925E-4</v>
      </c>
      <c r="E42" s="40">
        <v>45912</v>
      </c>
      <c r="F42" s="38">
        <v>4.1199684E-2</v>
      </c>
      <c r="G42" s="38">
        <v>1.0251045E-2</v>
      </c>
      <c r="H42" s="36">
        <f t="shared" si="12"/>
        <v>4.0686458525978561E-2</v>
      </c>
      <c r="I42" s="36">
        <f t="shared" si="13"/>
        <v>9.737819525978561E-3</v>
      </c>
      <c r="O42" s="38">
        <v>3.1612873E-2</v>
      </c>
      <c r="P42" s="36">
        <f t="shared" si="14"/>
        <v>3.109964752597856E-2</v>
      </c>
      <c r="Q42" s="38">
        <v>1.7751454999999999E-2</v>
      </c>
      <c r="R42" s="36">
        <f t="shared" si="14"/>
        <v>1.723822952597856E-2</v>
      </c>
      <c r="S42" s="38">
        <v>5.3081512000000004E-2</v>
      </c>
      <c r="T42" s="36">
        <f t="shared" si="15"/>
        <v>5.2568286525978565E-2</v>
      </c>
      <c r="U42" s="38">
        <v>-5.2238819999999998E-2</v>
      </c>
      <c r="V42" s="36">
        <f t="shared" si="16"/>
        <v>-5.2752045474021438E-2</v>
      </c>
      <c r="W42" s="38">
        <v>-2.3242592999999999E-2</v>
      </c>
      <c r="X42" s="36">
        <f t="shared" si="17"/>
        <v>-2.3755818474021438E-2</v>
      </c>
      <c r="Y42" s="38">
        <v>-4.3047667000000005E-3</v>
      </c>
      <c r="Z42" s="36">
        <f t="shared" si="18"/>
        <v>-4.8179921740214397E-3</v>
      </c>
      <c r="AA42" s="38">
        <v>-2.7985631999999996E-2</v>
      </c>
      <c r="AB42" s="36">
        <f t="shared" si="19"/>
        <v>-2.8498857474021436E-2</v>
      </c>
      <c r="AC42" s="38">
        <v>4.7603845999999997E-3</v>
      </c>
      <c r="AD42" s="36">
        <f t="shared" si="20"/>
        <v>4.2471591259785604E-3</v>
      </c>
      <c r="AE42" s="38">
        <v>-2.8866589999999998E-2</v>
      </c>
      <c r="AF42" s="36">
        <f t="shared" si="21"/>
        <v>-2.9379815474021437E-2</v>
      </c>
    </row>
    <row r="43" spans="2:32 16355:16355" outlineLevel="1" x14ac:dyDescent="0.25">
      <c r="B43" s="38">
        <v>2.6629999999999997E-2</v>
      </c>
      <c r="C43" s="37">
        <f t="shared" si="11"/>
        <v>5.0554300138649921E-4</v>
      </c>
      <c r="E43" s="40">
        <v>45905</v>
      </c>
      <c r="F43" s="38">
        <v>-1.7559528000000001E-2</v>
      </c>
      <c r="G43" s="38">
        <v>-1.6904473E-3</v>
      </c>
      <c r="H43" s="36">
        <f t="shared" si="12"/>
        <v>-1.8065071001386501E-2</v>
      </c>
      <c r="I43" s="36">
        <f t="shared" si="13"/>
        <v>-2.1959903013864992E-3</v>
      </c>
      <c r="O43" s="38">
        <v>-5.3030309999999997E-2</v>
      </c>
      <c r="P43" s="36">
        <f t="shared" si="14"/>
        <v>-5.3535853001386496E-2</v>
      </c>
      <c r="Q43" s="38">
        <v>-7.8277590000000001E-3</v>
      </c>
      <c r="R43" s="36">
        <f t="shared" si="14"/>
        <v>-8.3333020013864993E-3</v>
      </c>
      <c r="S43" s="38">
        <v>3.3361076999999996E-2</v>
      </c>
      <c r="T43" s="36">
        <f t="shared" si="15"/>
        <v>3.2855533998613497E-2</v>
      </c>
      <c r="U43" s="38">
        <v>-1.1401713000000001E-2</v>
      </c>
      <c r="V43" s="36">
        <f t="shared" si="16"/>
        <v>-1.19072560013865E-2</v>
      </c>
      <c r="W43" s="38">
        <v>-8.0599785000000004E-3</v>
      </c>
      <c r="X43" s="36">
        <f t="shared" si="17"/>
        <v>-8.5655215013864996E-3</v>
      </c>
      <c r="Y43" s="38">
        <v>-5.2259564000000005E-3</v>
      </c>
      <c r="Z43" s="36">
        <f t="shared" si="18"/>
        <v>-5.7314994013864997E-3</v>
      </c>
      <c r="AA43" s="38">
        <v>2.66366E-2</v>
      </c>
      <c r="AB43" s="36">
        <f t="shared" si="19"/>
        <v>2.6131056998613501E-2</v>
      </c>
      <c r="AC43" s="38">
        <v>-8.1309079999999992E-3</v>
      </c>
      <c r="AD43" s="36">
        <f t="shared" si="20"/>
        <v>-8.6364510013864984E-3</v>
      </c>
      <c r="AE43" s="38">
        <v>2.654457E-2</v>
      </c>
      <c r="AF43" s="36">
        <f t="shared" si="21"/>
        <v>2.6039026998613501E-2</v>
      </c>
    </row>
    <row r="44" spans="2:32 16355:16355" outlineLevel="1" x14ac:dyDescent="0.25">
      <c r="B44" s="38">
        <v>2.7130000000000001E-2</v>
      </c>
      <c r="C44" s="37">
        <f t="shared" si="11"/>
        <v>5.1491146784443664E-4</v>
      </c>
      <c r="E44" s="40">
        <v>45898</v>
      </c>
      <c r="F44" s="38">
        <v>1.1918545E-3</v>
      </c>
      <c r="G44" s="38">
        <v>-1.9882381000000001E-2</v>
      </c>
      <c r="H44" s="36">
        <f t="shared" si="12"/>
        <v>6.7694303215556331E-4</v>
      </c>
      <c r="I44" s="36">
        <f t="shared" si="13"/>
        <v>-2.0397292467844438E-2</v>
      </c>
      <c r="O44" s="38">
        <v>-5.3435086999999999E-2</v>
      </c>
      <c r="P44" s="36">
        <f t="shared" si="14"/>
        <v>-5.3949998467844436E-2</v>
      </c>
      <c r="Q44" s="38">
        <v>-2.6666699999999998E-2</v>
      </c>
      <c r="R44" s="36">
        <f t="shared" si="14"/>
        <v>-2.7181611467844435E-2</v>
      </c>
      <c r="S44" s="38">
        <v>-5.4171266999999995E-2</v>
      </c>
      <c r="T44" s="36">
        <f t="shared" si="15"/>
        <v>-5.4686178467844432E-2</v>
      </c>
      <c r="U44" s="38">
        <v>-2.1439493E-2</v>
      </c>
      <c r="V44" s="36">
        <f t="shared" si="16"/>
        <v>-2.1954404467844437E-2</v>
      </c>
      <c r="W44" s="38">
        <v>-3.2462835000000002E-2</v>
      </c>
      <c r="X44" s="36">
        <f t="shared" si="17"/>
        <v>-3.2977746467844439E-2</v>
      </c>
      <c r="Y44" s="38">
        <v>3.6687849999999999E-3</v>
      </c>
      <c r="Z44" s="36">
        <f t="shared" si="18"/>
        <v>3.1538735321555633E-3</v>
      </c>
      <c r="AA44" s="38">
        <v>-2.2501410000000003E-2</v>
      </c>
      <c r="AB44" s="36">
        <f t="shared" si="19"/>
        <v>-2.301632146784444E-2</v>
      </c>
      <c r="AC44" s="38">
        <v>4.8837661999999995E-3</v>
      </c>
      <c r="AD44" s="36">
        <f t="shared" si="20"/>
        <v>4.3688547321555629E-3</v>
      </c>
      <c r="AE44" s="38">
        <v>-2.075076E-2</v>
      </c>
      <c r="AF44" s="36">
        <f t="shared" si="21"/>
        <v>-2.1265671467844437E-2</v>
      </c>
    </row>
    <row r="45" spans="2:32 16355:16355" outlineLevel="1" x14ac:dyDescent="0.25">
      <c r="B45" s="38">
        <v>2.7269999999999999E-2</v>
      </c>
      <c r="C45" s="37">
        <f t="shared" si="11"/>
        <v>5.1753383693209365E-4</v>
      </c>
      <c r="E45" s="40">
        <v>45891</v>
      </c>
      <c r="F45" s="38">
        <v>1.3591051E-2</v>
      </c>
      <c r="G45" s="38">
        <v>1.3982177E-2</v>
      </c>
      <c r="H45" s="36">
        <f t="shared" si="12"/>
        <v>1.3073517163067906E-2</v>
      </c>
      <c r="I45" s="36">
        <f t="shared" si="13"/>
        <v>1.3464643163067906E-2</v>
      </c>
      <c r="O45" s="38">
        <v>3.8683294999999999E-2</v>
      </c>
      <c r="P45" s="36">
        <f t="shared" si="14"/>
        <v>3.8165761163067906E-2</v>
      </c>
      <c r="Q45" s="38">
        <v>2.9411792999999999E-2</v>
      </c>
      <c r="R45" s="36">
        <f t="shared" si="14"/>
        <v>2.8894259163067905E-2</v>
      </c>
      <c r="S45" s="38">
        <v>4.3785569999999996E-2</v>
      </c>
      <c r="T45" s="36">
        <f t="shared" si="15"/>
        <v>4.3268036163067902E-2</v>
      </c>
      <c r="U45" s="38">
        <v>1.4200091E-2</v>
      </c>
      <c r="V45" s="36">
        <f t="shared" si="16"/>
        <v>1.3682557163067906E-2</v>
      </c>
      <c r="W45" s="38">
        <v>3.046167E-2</v>
      </c>
      <c r="X45" s="36">
        <f t="shared" si="17"/>
        <v>2.9944136163067906E-2</v>
      </c>
      <c r="Y45" s="38">
        <v>2.5698303999999998E-2</v>
      </c>
      <c r="Z45" s="36">
        <f t="shared" si="18"/>
        <v>2.5180770163067905E-2</v>
      </c>
      <c r="AA45" s="38">
        <v>3.0761599999999997E-2</v>
      </c>
      <c r="AB45" s="36">
        <f t="shared" si="19"/>
        <v>3.0244066163067903E-2</v>
      </c>
      <c r="AC45" s="38">
        <v>3.6052345999999999E-2</v>
      </c>
      <c r="AD45" s="36">
        <f t="shared" si="20"/>
        <v>3.5534812163067905E-2</v>
      </c>
      <c r="AE45" s="38">
        <v>2.4923205E-2</v>
      </c>
      <c r="AF45" s="36">
        <f t="shared" si="21"/>
        <v>2.4405671163067907E-2</v>
      </c>
    </row>
    <row r="46" spans="2:32 16355:16355" outlineLevel="1" x14ac:dyDescent="0.25">
      <c r="B46" s="38">
        <v>2.7730000000000001E-2</v>
      </c>
      <c r="C46" s="37">
        <f t="shared" si="11"/>
        <v>5.2614772528025711E-4</v>
      </c>
      <c r="E46" s="40">
        <v>45884</v>
      </c>
      <c r="F46" s="38">
        <v>2.0968199E-2</v>
      </c>
      <c r="G46" s="38">
        <v>1.1844634999999999E-2</v>
      </c>
      <c r="H46" s="36">
        <f t="shared" si="12"/>
        <v>2.0442051274719743E-2</v>
      </c>
      <c r="I46" s="36">
        <f t="shared" si="13"/>
        <v>1.1318487274719742E-2</v>
      </c>
      <c r="O46" s="38">
        <v>2.9433608000000003E-2</v>
      </c>
      <c r="P46" s="36">
        <f t="shared" si="14"/>
        <v>2.8907460274719746E-2</v>
      </c>
      <c r="Q46" s="38">
        <v>4.4012309999999999E-2</v>
      </c>
      <c r="R46" s="36">
        <f t="shared" si="14"/>
        <v>4.3486162274719742E-2</v>
      </c>
      <c r="S46" s="38">
        <v>1.524651E-2</v>
      </c>
      <c r="T46" s="36">
        <f t="shared" si="15"/>
        <v>1.4720362274719742E-2</v>
      </c>
      <c r="U46" s="38">
        <v>3.0878304999999998E-2</v>
      </c>
      <c r="V46" s="36">
        <f t="shared" si="16"/>
        <v>3.0352157274719741E-2</v>
      </c>
      <c r="W46" s="38">
        <v>2.6669263999999998E-2</v>
      </c>
      <c r="X46" s="36">
        <f t="shared" si="17"/>
        <v>2.6143116274719741E-2</v>
      </c>
      <c r="Y46" s="38">
        <v>5.7685375000000004E-3</v>
      </c>
      <c r="Z46" s="36">
        <f t="shared" si="18"/>
        <v>5.2423897747197433E-3</v>
      </c>
      <c r="AA46" s="38">
        <v>3.0949353999999998E-2</v>
      </c>
      <c r="AB46" s="36">
        <f t="shared" si="19"/>
        <v>3.0423206274719741E-2</v>
      </c>
      <c r="AC46" s="38">
        <v>4.6903730000000005E-2</v>
      </c>
      <c r="AD46" s="36">
        <f t="shared" si="20"/>
        <v>4.6377582274719747E-2</v>
      </c>
      <c r="AE46" s="38">
        <v>2.1019100000000002E-2</v>
      </c>
      <c r="AF46" s="36">
        <f t="shared" si="21"/>
        <v>2.0492952274719745E-2</v>
      </c>
      <c r="XEA46"/>
    </row>
    <row r="47" spans="2:32 16355:16355" outlineLevel="1" x14ac:dyDescent="0.25">
      <c r="B47" s="38">
        <v>2.6779999999999998E-2</v>
      </c>
      <c r="C47" s="37">
        <f t="shared" si="11"/>
        <v>5.0835401111282152E-4</v>
      </c>
      <c r="E47" s="40">
        <v>45877</v>
      </c>
      <c r="F47" s="38">
        <v>7.4558259999999996E-3</v>
      </c>
      <c r="G47" s="38">
        <v>2.1071791999999999E-2</v>
      </c>
      <c r="H47" s="36">
        <f t="shared" si="12"/>
        <v>6.9474719888871781E-3</v>
      </c>
      <c r="I47" s="36">
        <f t="shared" si="13"/>
        <v>2.0563437988887177E-2</v>
      </c>
      <c r="O47" s="38">
        <v>6.5489649999999996E-2</v>
      </c>
      <c r="P47" s="36">
        <f t="shared" si="14"/>
        <v>6.4981295988887175E-2</v>
      </c>
      <c r="Q47" s="38">
        <v>6.951284399999999E-2</v>
      </c>
      <c r="R47" s="36">
        <f t="shared" si="14"/>
        <v>6.9004489988887169E-2</v>
      </c>
      <c r="S47" s="38">
        <v>-3.9014816000000003E-3</v>
      </c>
      <c r="T47" s="36">
        <f t="shared" si="15"/>
        <v>-4.4098356111128218E-3</v>
      </c>
      <c r="U47" s="38">
        <v>6.5042733999999991E-2</v>
      </c>
      <c r="V47" s="36">
        <f t="shared" si="16"/>
        <v>6.4534379988887169E-2</v>
      </c>
      <c r="W47" s="38">
        <v>6.1507105999999999E-2</v>
      </c>
      <c r="X47" s="36">
        <f t="shared" si="17"/>
        <v>6.0998751988887177E-2</v>
      </c>
      <c r="Y47" s="38">
        <v>3.7100434000000002E-2</v>
      </c>
      <c r="Z47" s="36">
        <f t="shared" si="18"/>
        <v>3.659207998888718E-2</v>
      </c>
      <c r="AA47" s="38">
        <v>1.0781407E-2</v>
      </c>
      <c r="AB47" s="36">
        <f t="shared" si="19"/>
        <v>1.0273052988887178E-2</v>
      </c>
      <c r="AC47" s="38">
        <v>1.0163069E-2</v>
      </c>
      <c r="AD47" s="36">
        <f t="shared" si="20"/>
        <v>9.6547149888871787E-3</v>
      </c>
      <c r="AE47" s="38">
        <v>1.1680125999999999E-2</v>
      </c>
      <c r="AF47" s="36">
        <f t="shared" si="21"/>
        <v>1.1171771988887177E-2</v>
      </c>
    </row>
    <row r="48" spans="2:32 16355:16355" outlineLevel="1" x14ac:dyDescent="0.25">
      <c r="B48" s="38">
        <v>2.6589999999999999E-2</v>
      </c>
      <c r="C48" s="37">
        <f t="shared" si="11"/>
        <v>5.0479333076158817E-4</v>
      </c>
      <c r="E48" s="40">
        <v>45870</v>
      </c>
      <c r="F48" s="38">
        <v>-6.4787919999999999E-2</v>
      </c>
      <c r="G48" s="38">
        <v>-2.5747836E-2</v>
      </c>
      <c r="H48" s="36">
        <f t="shared" si="12"/>
        <v>-6.5292713330761587E-2</v>
      </c>
      <c r="I48" s="36">
        <f t="shared" si="13"/>
        <v>-2.6252629330761588E-2</v>
      </c>
      <c r="O48" s="38">
        <v>-0.10770141999999999</v>
      </c>
      <c r="P48" s="36">
        <f t="shared" si="14"/>
        <v>-0.10820621333076158</v>
      </c>
      <c r="Q48" s="38">
        <v>-0.1087805</v>
      </c>
      <c r="R48" s="36">
        <f t="shared" si="14"/>
        <v>-0.10928529333076159</v>
      </c>
      <c r="S48" s="38">
        <v>3.3089400000000005E-2</v>
      </c>
      <c r="T48" s="36">
        <f t="shared" si="15"/>
        <v>3.2584606669238417E-2</v>
      </c>
      <c r="U48" s="38">
        <v>-7.7735304999999991E-2</v>
      </c>
      <c r="V48" s="36">
        <f t="shared" si="16"/>
        <v>-7.8240098330761579E-2</v>
      </c>
      <c r="W48" s="38">
        <v>-0.11515594</v>
      </c>
      <c r="X48" s="36">
        <f t="shared" si="17"/>
        <v>-0.11566073333076159</v>
      </c>
      <c r="Y48" s="38">
        <v>-4.2300579999999997E-2</v>
      </c>
      <c r="Z48" s="36">
        <f t="shared" si="18"/>
        <v>-4.2805373330761586E-2</v>
      </c>
      <c r="AA48" s="38">
        <v>-9.8805430000000003E-3</v>
      </c>
      <c r="AB48" s="36">
        <f t="shared" si="19"/>
        <v>-1.0385336330761588E-2</v>
      </c>
      <c r="AC48" s="38">
        <v>-1.3082026999999999E-3</v>
      </c>
      <c r="AD48" s="36">
        <f t="shared" si="20"/>
        <v>-1.812996030761588E-3</v>
      </c>
      <c r="AE48" s="38">
        <v>-1.4659286000000001E-2</v>
      </c>
      <c r="AF48" s="36">
        <f t="shared" si="21"/>
        <v>-1.5164079330761589E-2</v>
      </c>
    </row>
    <row r="49" spans="2:32" outlineLevel="1" x14ac:dyDescent="0.25">
      <c r="B49" s="38">
        <v>2.7269999999999999E-2</v>
      </c>
      <c r="C49" s="37">
        <f t="shared" si="11"/>
        <v>5.1753383693209365E-4</v>
      </c>
      <c r="E49" s="40">
        <v>45863</v>
      </c>
      <c r="F49" s="38">
        <v>2.3795365999999998E-2</v>
      </c>
      <c r="G49" s="38">
        <v>5.3930279999999994E-3</v>
      </c>
      <c r="H49" s="36">
        <f t="shared" si="12"/>
        <v>2.3277832163067905E-2</v>
      </c>
      <c r="I49" s="36">
        <f t="shared" si="13"/>
        <v>4.8754941630679057E-3</v>
      </c>
      <c r="O49" s="38">
        <v>7.4813603999999992E-2</v>
      </c>
      <c r="P49" s="36">
        <f t="shared" si="14"/>
        <v>7.4296070163067898E-2</v>
      </c>
      <c r="Q49" s="38">
        <v>0.11050916000000001</v>
      </c>
      <c r="R49" s="36">
        <f t="shared" si="14"/>
        <v>0.10999162616306792</v>
      </c>
      <c r="S49" s="38">
        <v>6.2360168000000001E-2</v>
      </c>
      <c r="T49" s="36">
        <f t="shared" si="15"/>
        <v>6.1842634163067907E-2</v>
      </c>
      <c r="U49" s="38">
        <v>6.5852522999999996E-2</v>
      </c>
      <c r="V49" s="36">
        <f t="shared" si="16"/>
        <v>6.5334989163067902E-2</v>
      </c>
      <c r="W49" s="38">
        <v>8.1044199999999997E-2</v>
      </c>
      <c r="X49" s="36">
        <f t="shared" si="17"/>
        <v>8.0526666163067903E-2</v>
      </c>
      <c r="Y49" s="38">
        <v>2.0505667000000002E-2</v>
      </c>
      <c r="Z49" s="36">
        <f t="shared" si="18"/>
        <v>1.9988133163067908E-2</v>
      </c>
      <c r="AA49" s="38">
        <v>0.10545610999999999</v>
      </c>
      <c r="AB49" s="36">
        <f t="shared" si="19"/>
        <v>0.1049385761630679</v>
      </c>
      <c r="AC49" s="38">
        <v>-3.7173033E-3</v>
      </c>
      <c r="AD49" s="36">
        <f t="shared" si="20"/>
        <v>-4.2348371369320941E-3</v>
      </c>
      <c r="AE49" s="38">
        <v>8.7895629999999988E-2</v>
      </c>
      <c r="AF49" s="36">
        <f t="shared" si="21"/>
        <v>8.7378096163067895E-2</v>
      </c>
    </row>
    <row r="50" spans="2:32" outlineLevel="1" x14ac:dyDescent="0.25">
      <c r="B50" s="38">
        <v>2.6929999999999999E-2</v>
      </c>
      <c r="C50" s="37">
        <f t="shared" si="11"/>
        <v>5.1116461811129277E-4</v>
      </c>
      <c r="E50" s="40">
        <v>45856</v>
      </c>
      <c r="F50" s="38">
        <v>-0.18398064000000003</v>
      </c>
      <c r="G50" s="38">
        <v>-6.2125920000000005E-4</v>
      </c>
      <c r="H50" s="36">
        <f t="shared" si="12"/>
        <v>-0.18449180461811132</v>
      </c>
      <c r="I50" s="36">
        <f t="shared" si="13"/>
        <v>-1.1324238181112927E-3</v>
      </c>
      <c r="O50" s="38">
        <v>-7.8383445999999996E-2</v>
      </c>
      <c r="P50" s="36">
        <f t="shared" si="14"/>
        <v>-7.8894610618111288E-2</v>
      </c>
      <c r="Q50" s="38">
        <v>-5.3333282000000003E-2</v>
      </c>
      <c r="R50" s="36">
        <f t="shared" si="14"/>
        <v>-5.3844446618111295E-2</v>
      </c>
      <c r="S50" s="38">
        <v>-1.1782467000000001E-2</v>
      </c>
      <c r="T50" s="36">
        <f t="shared" si="15"/>
        <v>-1.2293631618111294E-2</v>
      </c>
      <c r="U50" s="38">
        <v>-2.4071097E-2</v>
      </c>
      <c r="V50" s="36">
        <f t="shared" si="16"/>
        <v>-2.4582261618111292E-2</v>
      </c>
      <c r="W50" s="38">
        <v>-3.3515334000000001E-2</v>
      </c>
      <c r="X50" s="36">
        <f t="shared" si="17"/>
        <v>-3.4026498618111294E-2</v>
      </c>
      <c r="Y50" s="38">
        <v>-4.8890114000000005E-2</v>
      </c>
      <c r="Z50" s="36">
        <f t="shared" si="18"/>
        <v>-4.9401278618111298E-2</v>
      </c>
      <c r="AA50" s="38">
        <v>-5.1224229999999999E-4</v>
      </c>
      <c r="AB50" s="36">
        <f t="shared" si="19"/>
        <v>-1.0234069181112929E-3</v>
      </c>
      <c r="AC50" s="38">
        <v>7.5268744999999998E-4</v>
      </c>
      <c r="AD50" s="36">
        <f t="shared" si="20"/>
        <v>2.4152283188870721E-4</v>
      </c>
      <c r="AE50" s="38">
        <v>-1.8215656E-2</v>
      </c>
      <c r="AF50" s="36">
        <f t="shared" si="21"/>
        <v>-1.8726820618111293E-2</v>
      </c>
    </row>
    <row r="51" spans="2:32" outlineLevel="1" x14ac:dyDescent="0.25">
      <c r="B51" s="38">
        <v>2.7220000000000001E-2</v>
      </c>
      <c r="C51" s="37">
        <f t="shared" si="11"/>
        <v>5.1659731678332932E-4</v>
      </c>
      <c r="E51" s="40">
        <v>45849</v>
      </c>
      <c r="F51" s="38">
        <v>1.6280174000000001E-2</v>
      </c>
      <c r="G51" s="38">
        <v>1.147604E-2</v>
      </c>
      <c r="H51" s="36">
        <f t="shared" si="12"/>
        <v>1.5763576683216672E-2</v>
      </c>
      <c r="I51" s="36">
        <f t="shared" si="13"/>
        <v>1.0959442683216671E-2</v>
      </c>
      <c r="O51" s="38">
        <v>1.5164614000000001E-3</v>
      </c>
      <c r="P51" s="36">
        <f t="shared" si="14"/>
        <v>9.998640832166708E-4</v>
      </c>
      <c r="Q51" s="38">
        <v>5.5194736000000001E-2</v>
      </c>
      <c r="R51" s="36">
        <f t="shared" si="14"/>
        <v>5.4678138683216672E-2</v>
      </c>
      <c r="S51" s="38">
        <v>-0.14179408999999998</v>
      </c>
      <c r="T51" s="36">
        <f t="shared" si="15"/>
        <v>-0.14231068731678331</v>
      </c>
      <c r="U51" s="38">
        <v>9.9434850000000005E-2</v>
      </c>
      <c r="V51" s="36">
        <f t="shared" si="16"/>
        <v>9.8918252683216676E-2</v>
      </c>
      <c r="W51" s="38">
        <v>6.0503125000000005E-2</v>
      </c>
      <c r="X51" s="36">
        <f t="shared" si="17"/>
        <v>5.9986527683216675E-2</v>
      </c>
      <c r="Y51" s="38">
        <v>4.7103166999999998E-3</v>
      </c>
      <c r="Z51" s="36">
        <f t="shared" si="18"/>
        <v>4.1937193832166705E-3</v>
      </c>
      <c r="AA51" s="38">
        <v>-2.7992725E-3</v>
      </c>
      <c r="AB51" s="36">
        <f t="shared" si="19"/>
        <v>-3.3158698167833293E-3</v>
      </c>
      <c r="AC51" s="38">
        <v>1.6791224E-2</v>
      </c>
      <c r="AD51" s="36">
        <f t="shared" si="20"/>
        <v>1.6274626683216671E-2</v>
      </c>
      <c r="AE51" s="38">
        <v>3.3039569999999997E-2</v>
      </c>
      <c r="AF51" s="36">
        <f t="shared" si="21"/>
        <v>3.2522972683216668E-2</v>
      </c>
    </row>
    <row r="52" spans="2:32" outlineLevel="1" x14ac:dyDescent="0.25">
      <c r="B52" s="38">
        <v>2.5939999999999998E-2</v>
      </c>
      <c r="C52" s="37">
        <f t="shared" si="11"/>
        <v>4.9260716620258549E-4</v>
      </c>
      <c r="E52" s="40">
        <v>45842</v>
      </c>
      <c r="F52" s="38">
        <v>1.1224747E-2</v>
      </c>
      <c r="G52" s="38">
        <v>-4.5987368000000002E-3</v>
      </c>
      <c r="H52" s="36">
        <f t="shared" si="12"/>
        <v>1.0732139833797415E-2</v>
      </c>
      <c r="I52" s="36">
        <f t="shared" si="13"/>
        <v>-5.0913439662025857E-3</v>
      </c>
      <c r="O52" s="38">
        <v>-2.7784049999999998E-2</v>
      </c>
      <c r="P52" s="36">
        <f t="shared" si="14"/>
        <v>-2.8276657166202583E-2</v>
      </c>
      <c r="Q52" s="38">
        <v>-1.3347566E-2</v>
      </c>
      <c r="R52" s="36">
        <f t="shared" si="14"/>
        <v>-1.3840173166202585E-2</v>
      </c>
      <c r="S52" s="38">
        <v>4.7147274000000003E-3</v>
      </c>
      <c r="T52" s="36">
        <f t="shared" si="15"/>
        <v>4.2221202337974148E-3</v>
      </c>
      <c r="U52" s="38">
        <v>1.3014078E-2</v>
      </c>
      <c r="V52" s="36">
        <f t="shared" si="16"/>
        <v>1.2521470833797415E-2</v>
      </c>
      <c r="W52" s="38">
        <v>-8.1204175999999989E-3</v>
      </c>
      <c r="X52" s="36">
        <f t="shared" si="17"/>
        <v>-8.6130247662025844E-3</v>
      </c>
      <c r="Y52" s="38">
        <v>8.7901710000000008E-2</v>
      </c>
      <c r="Z52" s="36">
        <f t="shared" si="18"/>
        <v>8.7409102833797422E-2</v>
      </c>
      <c r="AA52" s="38">
        <v>-1.9431949E-2</v>
      </c>
      <c r="AB52" s="36">
        <f t="shared" si="19"/>
        <v>-1.9924556166202586E-2</v>
      </c>
      <c r="AC52" s="38">
        <v>5.9145092999999996E-2</v>
      </c>
      <c r="AD52" s="36">
        <f t="shared" si="20"/>
        <v>5.865248583379741E-2</v>
      </c>
      <c r="AE52" s="38">
        <v>1.2782574E-2</v>
      </c>
      <c r="AF52" s="36">
        <f t="shared" si="21"/>
        <v>1.2289966833797414E-2</v>
      </c>
    </row>
    <row r="53" spans="2:32" outlineLevel="1" x14ac:dyDescent="0.25">
      <c r="B53" s="38">
        <v>2.5770000000000001E-2</v>
      </c>
      <c r="C53" s="37">
        <f t="shared" si="11"/>
        <v>4.8941876627139891E-4</v>
      </c>
      <c r="E53" s="40">
        <v>45835</v>
      </c>
      <c r="F53" s="38">
        <v>3.8331984999999999E-2</v>
      </c>
      <c r="G53" s="38">
        <v>1.3233185000000001E-2</v>
      </c>
      <c r="H53" s="36">
        <f t="shared" si="12"/>
        <v>3.78425662337286E-2</v>
      </c>
      <c r="I53" s="36">
        <f t="shared" si="13"/>
        <v>1.2743766233728603E-2</v>
      </c>
      <c r="O53" s="38">
        <v>7.7731610000000007E-2</v>
      </c>
      <c r="P53" s="36">
        <f t="shared" si="14"/>
        <v>7.7242191233728608E-2</v>
      </c>
      <c r="Q53" s="38">
        <v>5.4617047000000002E-2</v>
      </c>
      <c r="R53" s="36">
        <f t="shared" si="14"/>
        <v>5.4127628233728603E-2</v>
      </c>
      <c r="S53" s="38">
        <v>3.3559800000000002E-3</v>
      </c>
      <c r="T53" s="36">
        <f t="shared" si="15"/>
        <v>2.8665612337286013E-3</v>
      </c>
      <c r="U53" s="38">
        <v>6.7222119999999996E-2</v>
      </c>
      <c r="V53" s="36">
        <f t="shared" si="16"/>
        <v>6.6732701233728597E-2</v>
      </c>
      <c r="W53" s="38">
        <v>3.8248061999999999E-2</v>
      </c>
      <c r="X53" s="36">
        <f t="shared" si="17"/>
        <v>3.77586432337286E-2</v>
      </c>
      <c r="Y53" s="38">
        <v>2.1626950000000001E-3</v>
      </c>
      <c r="Z53" s="36">
        <f t="shared" si="18"/>
        <v>1.6732762337286012E-3</v>
      </c>
      <c r="AA53" s="38">
        <v>-6.4885620000000002E-4</v>
      </c>
      <c r="AB53" s="36">
        <f t="shared" si="19"/>
        <v>-1.1382749662713989E-3</v>
      </c>
      <c r="AC53" s="38">
        <v>1.2849688999999999E-2</v>
      </c>
      <c r="AD53" s="36">
        <f t="shared" si="20"/>
        <v>1.23602702337286E-2</v>
      </c>
      <c r="AE53" s="38">
        <v>-1.2075901E-2</v>
      </c>
      <c r="AF53" s="36">
        <f t="shared" si="21"/>
        <v>-1.2565319766271399E-2</v>
      </c>
    </row>
    <row r="54" spans="2:32" outlineLevel="1" x14ac:dyDescent="0.25">
      <c r="B54" s="38">
        <v>2.52E-2</v>
      </c>
      <c r="C54" s="37">
        <f t="shared" si="11"/>
        <v>4.7872446561036952E-4</v>
      </c>
      <c r="E54" s="40">
        <v>45828</v>
      </c>
      <c r="F54" s="38">
        <v>-0.10292750000000001</v>
      </c>
      <c r="G54" s="38">
        <v>-1.5432835000000001E-2</v>
      </c>
      <c r="H54" s="36">
        <f t="shared" si="12"/>
        <v>-0.10340622446561037</v>
      </c>
      <c r="I54" s="36">
        <f t="shared" si="13"/>
        <v>-1.5911559465610368E-2</v>
      </c>
      <c r="O54" s="38">
        <v>-3.5482705000000003E-2</v>
      </c>
      <c r="P54" s="36">
        <f t="shared" si="14"/>
        <v>-3.5961429465610373E-2</v>
      </c>
      <c r="Q54" s="38">
        <v>-1.7699122000000001E-2</v>
      </c>
      <c r="R54" s="36">
        <f t="shared" si="14"/>
        <v>-1.8177846465610371E-2</v>
      </c>
      <c r="S54" s="38">
        <v>-4.3330073000000004E-2</v>
      </c>
      <c r="T54" s="36">
        <f t="shared" si="15"/>
        <v>-4.3808797465610373E-2</v>
      </c>
      <c r="U54" s="38">
        <v>-4.3824729999999999E-2</v>
      </c>
      <c r="V54" s="36">
        <f t="shared" si="16"/>
        <v>-4.4303454465610369E-2</v>
      </c>
      <c r="W54" s="38">
        <v>-4.3093260000000001E-2</v>
      </c>
      <c r="X54" s="36">
        <f t="shared" si="17"/>
        <v>-4.3571984465610371E-2</v>
      </c>
      <c r="Y54" s="38">
        <v>1.7853259999999999E-2</v>
      </c>
      <c r="Z54" s="36">
        <f t="shared" si="18"/>
        <v>1.737453553438963E-2</v>
      </c>
      <c r="AA54" s="38">
        <v>-3.0034125000000002E-2</v>
      </c>
      <c r="AB54" s="36">
        <f t="shared" si="19"/>
        <v>-3.0512849465610371E-2</v>
      </c>
      <c r="AC54" s="38">
        <v>-6.7976119999999998E-3</v>
      </c>
      <c r="AD54" s="36">
        <f t="shared" si="20"/>
        <v>-7.2763364656103693E-3</v>
      </c>
      <c r="AE54" s="38">
        <v>1.1634706999999999E-2</v>
      </c>
      <c r="AF54" s="36">
        <f t="shared" si="21"/>
        <v>1.115598253438963E-2</v>
      </c>
    </row>
    <row r="55" spans="2:32" outlineLevel="1" x14ac:dyDescent="0.25">
      <c r="B55" s="38">
        <v>2.5179999999999998E-2</v>
      </c>
      <c r="C55" s="37">
        <f t="shared" si="11"/>
        <v>4.783491211013402E-4</v>
      </c>
      <c r="E55" s="40">
        <v>45821</v>
      </c>
      <c r="F55" s="38">
        <v>9.3030929999999993E-4</v>
      </c>
      <c r="G55" s="38">
        <v>-1.5714228E-2</v>
      </c>
      <c r="H55" s="36">
        <f t="shared" si="12"/>
        <v>4.5196017889865972E-4</v>
      </c>
      <c r="I55" s="36">
        <f t="shared" si="13"/>
        <v>-1.619257712110134E-2</v>
      </c>
      <c r="O55" s="38">
        <v>-2.190715E-2</v>
      </c>
      <c r="P55" s="36">
        <f t="shared" si="14"/>
        <v>-2.238549912110134E-2</v>
      </c>
      <c r="Q55" s="38">
        <v>-3.0042887000000001E-2</v>
      </c>
      <c r="R55" s="36">
        <f t="shared" si="14"/>
        <v>-3.0521236121101341E-2</v>
      </c>
      <c r="S55" s="38">
        <v>-9.1149807000000006E-3</v>
      </c>
      <c r="T55" s="36">
        <f t="shared" si="15"/>
        <v>-9.5933298211013408E-3</v>
      </c>
      <c r="U55" s="38">
        <v>-1.7996847999999999E-2</v>
      </c>
      <c r="V55" s="36">
        <f t="shared" si="16"/>
        <v>-1.847519712110134E-2</v>
      </c>
      <c r="W55" s="38">
        <v>-1.0321319000000001E-2</v>
      </c>
      <c r="X55" s="36">
        <f t="shared" si="17"/>
        <v>-1.0799668121101341E-2</v>
      </c>
      <c r="Y55" s="38">
        <v>2.9633045000000001E-3</v>
      </c>
      <c r="Z55" s="36">
        <f t="shared" si="18"/>
        <v>2.4849553788986599E-3</v>
      </c>
      <c r="AA55" s="38">
        <v>-4.4294415000000004E-2</v>
      </c>
      <c r="AB55" s="36">
        <f t="shared" si="19"/>
        <v>-4.4772764121101344E-2</v>
      </c>
      <c r="AC55" s="38">
        <v>1.1140943E-2</v>
      </c>
      <c r="AD55" s="36">
        <f t="shared" si="20"/>
        <v>1.066259387889866E-2</v>
      </c>
      <c r="AE55" s="38">
        <v>-1.402545E-2</v>
      </c>
      <c r="AF55" s="36">
        <f t="shared" si="21"/>
        <v>-1.450379912110134E-2</v>
      </c>
    </row>
    <row r="56" spans="2:32" outlineLevel="1" x14ac:dyDescent="0.25">
      <c r="B56" s="38">
        <v>2.5610000000000001E-2</v>
      </c>
      <c r="C56" s="37">
        <f t="shared" si="11"/>
        <v>4.8641744582411661E-4</v>
      </c>
      <c r="E56" s="40">
        <v>45814</v>
      </c>
      <c r="F56" s="38">
        <v>-5.2446010000000001E-2</v>
      </c>
      <c r="G56" s="38">
        <v>9.058356E-3</v>
      </c>
      <c r="H56" s="36">
        <f t="shared" si="12"/>
        <v>-5.2932427445824118E-2</v>
      </c>
      <c r="I56" s="36">
        <f t="shared" si="13"/>
        <v>8.5719385541758834E-3</v>
      </c>
      <c r="O56" s="38">
        <v>-3.2571077000000004E-2</v>
      </c>
      <c r="P56" s="36">
        <f t="shared" si="14"/>
        <v>-3.305749444582412E-2</v>
      </c>
      <c r="Q56" s="38">
        <v>-3.9175271999999997E-2</v>
      </c>
      <c r="R56" s="36">
        <f t="shared" si="14"/>
        <v>-3.9661689445824114E-2</v>
      </c>
      <c r="S56" s="38">
        <v>-3.2860397999999999E-2</v>
      </c>
      <c r="T56" s="36">
        <f t="shared" si="15"/>
        <v>-3.3346815445824116E-2</v>
      </c>
      <c r="U56" s="38">
        <v>-1.8181801000000001E-2</v>
      </c>
      <c r="V56" s="36">
        <f t="shared" si="16"/>
        <v>-1.8668218445824118E-2</v>
      </c>
      <c r="W56" s="38">
        <v>-2.3578643999999999E-2</v>
      </c>
      <c r="X56" s="36">
        <f t="shared" si="17"/>
        <v>-2.4065061445824116E-2</v>
      </c>
      <c r="Y56" s="38">
        <v>-1.4728486999999998E-2</v>
      </c>
      <c r="Z56" s="36">
        <f t="shared" si="18"/>
        <v>-1.5214904445824115E-2</v>
      </c>
      <c r="AA56" s="38">
        <v>-4.9505710000000001E-2</v>
      </c>
      <c r="AB56" s="36">
        <f t="shared" si="19"/>
        <v>-4.9992127445824118E-2</v>
      </c>
      <c r="AC56" s="38">
        <v>-4.6203136000000006E-2</v>
      </c>
      <c r="AD56" s="36">
        <f t="shared" si="20"/>
        <v>-4.6689553445824122E-2</v>
      </c>
      <c r="AE56" s="38">
        <v>-5.2190839999999995E-2</v>
      </c>
      <c r="AF56" s="36">
        <f t="shared" si="21"/>
        <v>-5.2677257445824112E-2</v>
      </c>
    </row>
    <row r="57" spans="2:32" outlineLevel="1" x14ac:dyDescent="0.25">
      <c r="B57" s="38">
        <v>2.5139999999999999E-2</v>
      </c>
      <c r="C57" s="37">
        <f t="shared" si="11"/>
        <v>4.7759841053762742E-4</v>
      </c>
      <c r="E57" s="40">
        <v>45807</v>
      </c>
      <c r="F57" s="38">
        <v>-4.5836870000000002E-2</v>
      </c>
      <c r="G57" s="38">
        <v>6.4938070000000007E-3</v>
      </c>
      <c r="H57" s="36">
        <f t="shared" si="12"/>
        <v>-4.6314468410537629E-2</v>
      </c>
      <c r="I57" s="36">
        <f t="shared" si="13"/>
        <v>6.0162085894623733E-3</v>
      </c>
      <c r="O57" s="38">
        <v>2.550912E-2</v>
      </c>
      <c r="P57" s="36">
        <f t="shared" si="14"/>
        <v>2.5031521589462372E-2</v>
      </c>
      <c r="Q57" s="38">
        <v>1.3584137000000001E-2</v>
      </c>
      <c r="R57" s="36">
        <f t="shared" si="14"/>
        <v>1.3106538589462374E-2</v>
      </c>
      <c r="S57" s="38">
        <v>2.8939009000000002E-2</v>
      </c>
      <c r="T57" s="36">
        <f t="shared" si="15"/>
        <v>2.8461410589462374E-2</v>
      </c>
      <c r="U57" s="38">
        <v>3.7735820000000003E-2</v>
      </c>
      <c r="V57" s="36">
        <f t="shared" si="16"/>
        <v>3.7258221589462376E-2</v>
      </c>
      <c r="W57" s="38">
        <v>4.0561914000000004E-2</v>
      </c>
      <c r="X57" s="36">
        <f t="shared" si="17"/>
        <v>4.0084315589462377E-2</v>
      </c>
      <c r="Y57" s="38">
        <v>1.2245177999999999E-3</v>
      </c>
      <c r="Z57" s="36">
        <f t="shared" si="18"/>
        <v>7.4691938946237248E-4</v>
      </c>
      <c r="AA57" s="38">
        <v>4.27289E-2</v>
      </c>
      <c r="AB57" s="36">
        <f t="shared" si="19"/>
        <v>4.2251301589462373E-2</v>
      </c>
      <c r="AC57" s="38">
        <v>1.8177152000000002E-2</v>
      </c>
      <c r="AD57" s="36">
        <f t="shared" si="20"/>
        <v>1.7699553589462375E-2</v>
      </c>
      <c r="AE57" s="38">
        <v>2.2412776999999998E-2</v>
      </c>
      <c r="AF57" s="36">
        <f t="shared" si="21"/>
        <v>2.1935178589462371E-2</v>
      </c>
    </row>
    <row r="58" spans="2:32" outlineLevel="1" x14ac:dyDescent="0.25">
      <c r="B58" s="38">
        <v>2.5729999999999999E-2</v>
      </c>
      <c r="C58" s="37">
        <f t="shared" si="11"/>
        <v>4.8866847920669976E-4</v>
      </c>
      <c r="E58" s="40">
        <v>45800</v>
      </c>
      <c r="F58" s="38">
        <v>-3.0574799E-2</v>
      </c>
      <c r="G58" s="38">
        <v>-7.5192449999999999E-3</v>
      </c>
      <c r="H58" s="36">
        <f t="shared" si="12"/>
        <v>-3.1063467479206699E-2</v>
      </c>
      <c r="I58" s="36">
        <f t="shared" si="13"/>
        <v>-8.0079134792067005E-3</v>
      </c>
      <c r="O58" s="38">
        <v>-8.6711349999999993E-2</v>
      </c>
      <c r="P58" s="36">
        <f t="shared" si="14"/>
        <v>-8.7200018479206692E-2</v>
      </c>
      <c r="Q58" s="38">
        <v>-7.446813599999999E-2</v>
      </c>
      <c r="R58" s="36">
        <f t="shared" si="14"/>
        <v>-7.495680447920669E-2</v>
      </c>
      <c r="S58" s="38">
        <v>-2.0830631E-3</v>
      </c>
      <c r="T58" s="36">
        <f t="shared" si="15"/>
        <v>-2.5717315792066998E-3</v>
      </c>
      <c r="U58" s="38">
        <v>-2.1580815000000003E-2</v>
      </c>
      <c r="V58" s="36">
        <f t="shared" si="16"/>
        <v>-2.2069483479206703E-2</v>
      </c>
      <c r="W58" s="38">
        <v>-3.7333310000000001E-2</v>
      </c>
      <c r="X58" s="36">
        <f t="shared" si="17"/>
        <v>-3.7821978479206701E-2</v>
      </c>
      <c r="Y58" s="38">
        <v>-5.6722107000000001E-2</v>
      </c>
      <c r="Z58" s="36">
        <f t="shared" si="18"/>
        <v>-5.7210775479206701E-2</v>
      </c>
      <c r="AA58" s="38">
        <v>-1.14661455E-3</v>
      </c>
      <c r="AB58" s="36">
        <f t="shared" si="19"/>
        <v>-1.6352830292066997E-3</v>
      </c>
      <c r="AC58" s="38">
        <v>-4.9457550000000003E-2</v>
      </c>
      <c r="AD58" s="36">
        <f t="shared" si="20"/>
        <v>-4.9946218479206703E-2</v>
      </c>
      <c r="AE58" s="38">
        <v>1.5031934E-2</v>
      </c>
      <c r="AF58" s="36">
        <f t="shared" si="21"/>
        <v>1.4543265520793301E-2</v>
      </c>
    </row>
    <row r="59" spans="2:32" outlineLevel="1" x14ac:dyDescent="0.25">
      <c r="B59" s="38">
        <v>2.5830000000000002E-2</v>
      </c>
      <c r="C59" s="37">
        <f t="shared" si="11"/>
        <v>4.9054414306737293E-4</v>
      </c>
      <c r="E59" s="40">
        <v>45793</v>
      </c>
      <c r="F59" s="38">
        <v>2.9374718999999997E-2</v>
      </c>
      <c r="G59" s="38">
        <v>2.1005273000000001E-2</v>
      </c>
      <c r="H59" s="36">
        <f t="shared" si="12"/>
        <v>2.8884174856932624E-2</v>
      </c>
      <c r="I59" s="36">
        <f t="shared" si="13"/>
        <v>2.0514728856932628E-2</v>
      </c>
      <c r="O59" s="38">
        <v>9.3068490000000004E-2</v>
      </c>
      <c r="P59" s="36">
        <f t="shared" si="14"/>
        <v>9.2577945856932631E-2</v>
      </c>
      <c r="Q59" s="38">
        <v>1.3725518999999999E-2</v>
      </c>
      <c r="R59" s="36">
        <f t="shared" si="14"/>
        <v>1.3234974856932626E-2</v>
      </c>
      <c r="S59" s="38">
        <v>4.1843414000000002E-2</v>
      </c>
      <c r="T59" s="36">
        <f t="shared" si="15"/>
        <v>4.1352869856932629E-2</v>
      </c>
      <c r="U59" s="38">
        <v>-3.4638584E-2</v>
      </c>
      <c r="V59" s="36">
        <f t="shared" si="16"/>
        <v>-3.5129128143067373E-2</v>
      </c>
      <c r="W59" s="38">
        <v>2.8000832E-2</v>
      </c>
      <c r="X59" s="36">
        <f t="shared" si="17"/>
        <v>2.7510287856932627E-2</v>
      </c>
      <c r="Y59" s="38">
        <v>4.5963406999999998E-2</v>
      </c>
      <c r="Z59" s="36">
        <f t="shared" si="18"/>
        <v>4.5472862856932625E-2</v>
      </c>
      <c r="AA59" s="38">
        <v>-2.4792670999999999E-2</v>
      </c>
      <c r="AB59" s="36">
        <f t="shared" si="19"/>
        <v>-2.5283215143067372E-2</v>
      </c>
      <c r="AC59" s="38">
        <v>7.1162580000000003E-2</v>
      </c>
      <c r="AD59" s="36">
        <f t="shared" si="20"/>
        <v>7.067203585693263E-2</v>
      </c>
      <c r="AE59" s="38">
        <v>-4.8165026E-2</v>
      </c>
      <c r="AF59" s="36">
        <f t="shared" si="21"/>
        <v>-4.8655570143067373E-2</v>
      </c>
    </row>
    <row r="60" spans="2:32" outlineLevel="1" x14ac:dyDescent="0.25">
      <c r="B60" s="38">
        <v>2.545E-2</v>
      </c>
      <c r="C60" s="37">
        <f t="shared" si="11"/>
        <v>4.8341566612575271E-4</v>
      </c>
      <c r="E60" s="40">
        <v>45786</v>
      </c>
      <c r="F60" s="38">
        <v>5.9096813000000005E-3</v>
      </c>
      <c r="G60" s="38">
        <v>2.8522015000000001E-3</v>
      </c>
      <c r="H60" s="36">
        <f t="shared" si="12"/>
        <v>5.4262656338742478E-3</v>
      </c>
      <c r="I60" s="36">
        <f t="shared" si="13"/>
        <v>2.3687858338742474E-3</v>
      </c>
      <c r="O60" s="38">
        <v>4.4988035999999995E-2</v>
      </c>
      <c r="P60" s="36">
        <f t="shared" si="14"/>
        <v>4.4504620333874242E-2</v>
      </c>
      <c r="Q60" s="38">
        <v>3.3958434999999995E-2</v>
      </c>
      <c r="R60" s="36">
        <f t="shared" si="14"/>
        <v>3.3475019333874242E-2</v>
      </c>
      <c r="S60" s="38">
        <v>-5.0843360000000001E-3</v>
      </c>
      <c r="T60" s="36">
        <f t="shared" si="15"/>
        <v>-5.5677516661257528E-3</v>
      </c>
      <c r="U60" s="38">
        <v>6.4955949999999998E-2</v>
      </c>
      <c r="V60" s="36">
        <f t="shared" si="16"/>
        <v>6.4472534333874246E-2</v>
      </c>
      <c r="W60" s="38">
        <v>-4.1838646E-2</v>
      </c>
      <c r="X60" s="36">
        <f t="shared" si="17"/>
        <v>-4.2322061666125753E-2</v>
      </c>
      <c r="Y60" s="38">
        <v>2.3640275000000002E-2</v>
      </c>
      <c r="Z60" s="36">
        <f t="shared" si="18"/>
        <v>2.315685933387425E-2</v>
      </c>
      <c r="AA60" s="38">
        <v>-1.9946098000000002E-2</v>
      </c>
      <c r="AB60" s="36">
        <f t="shared" si="19"/>
        <v>-2.0429513666125755E-2</v>
      </c>
      <c r="AC60" s="38">
        <v>5.7916879999999997E-2</v>
      </c>
      <c r="AD60" s="36">
        <f t="shared" si="20"/>
        <v>5.7433464333874244E-2</v>
      </c>
      <c r="AE60" s="38">
        <v>8.4424020000000008E-4</v>
      </c>
      <c r="AF60" s="36">
        <f t="shared" si="21"/>
        <v>3.6082453387424737E-4</v>
      </c>
    </row>
    <row r="61" spans="2:32" outlineLevel="1" x14ac:dyDescent="0.25">
      <c r="B61" s="38">
        <v>2.5160000000000002E-2</v>
      </c>
      <c r="C61" s="37">
        <f t="shared" si="11"/>
        <v>4.7797376941050018E-4</v>
      </c>
      <c r="E61" s="40">
        <v>45779</v>
      </c>
      <c r="F61" s="38">
        <v>1.2609482E-2</v>
      </c>
      <c r="G61" s="38">
        <v>3.0704140000000001E-2</v>
      </c>
      <c r="H61" s="36">
        <f t="shared" si="12"/>
        <v>1.21315082305895E-2</v>
      </c>
      <c r="I61" s="36">
        <f t="shared" si="13"/>
        <v>3.0226166230589501E-2</v>
      </c>
      <c r="O61" s="38">
        <v>2.2075891E-2</v>
      </c>
      <c r="P61" s="36">
        <f t="shared" si="14"/>
        <v>2.15979172305895E-2</v>
      </c>
      <c r="Q61" s="38">
        <v>-1.6450644E-2</v>
      </c>
      <c r="R61" s="36">
        <f t="shared" si="14"/>
        <v>-1.6928617769410501E-2</v>
      </c>
      <c r="S61" s="38">
        <v>3.3804892999999996E-2</v>
      </c>
      <c r="T61" s="36">
        <f t="shared" si="15"/>
        <v>3.3326919230589495E-2</v>
      </c>
      <c r="U61" s="38">
        <v>-1.9654095E-2</v>
      </c>
      <c r="V61" s="36">
        <f t="shared" si="16"/>
        <v>-2.01320687694105E-2</v>
      </c>
      <c r="W61" s="38">
        <v>-2.3630737999999998E-2</v>
      </c>
      <c r="X61" s="36">
        <f t="shared" si="17"/>
        <v>-2.4108711769410499E-2</v>
      </c>
      <c r="Y61" s="38">
        <v>2.3859262000000003E-2</v>
      </c>
      <c r="Z61" s="36">
        <f t="shared" si="18"/>
        <v>2.3381288230589502E-2</v>
      </c>
      <c r="AA61" s="38">
        <v>3.3232449999999997E-2</v>
      </c>
      <c r="AB61" s="36">
        <f t="shared" si="19"/>
        <v>3.2754476230589497E-2</v>
      </c>
      <c r="AC61" s="38">
        <v>-3.8463056000000002E-2</v>
      </c>
      <c r="AD61" s="36">
        <f t="shared" si="20"/>
        <v>-3.8941029769410503E-2</v>
      </c>
      <c r="AE61" s="38">
        <v>3.2123208E-2</v>
      </c>
      <c r="AF61" s="36">
        <f t="shared" si="21"/>
        <v>3.16452342305895E-2</v>
      </c>
    </row>
    <row r="62" spans="2:32" outlineLevel="1" x14ac:dyDescent="0.25">
      <c r="B62" s="38">
        <v>2.4700000000000003E-2</v>
      </c>
      <c r="C62" s="37">
        <f t="shared" si="11"/>
        <v>4.6933869771725867E-4</v>
      </c>
      <c r="E62" s="40">
        <v>45772</v>
      </c>
      <c r="F62" s="38">
        <v>6.6074369999999993E-2</v>
      </c>
      <c r="G62" s="38">
        <v>2.7704240000000002E-2</v>
      </c>
      <c r="H62" s="36">
        <f t="shared" si="12"/>
        <v>6.5605031302282735E-2</v>
      </c>
      <c r="I62" s="36">
        <f t="shared" si="13"/>
        <v>2.7234901302282743E-2</v>
      </c>
      <c r="O62" s="38">
        <v>-1.1096357999999999E-2</v>
      </c>
      <c r="P62" s="36">
        <f t="shared" si="14"/>
        <v>-1.1565696697717258E-2</v>
      </c>
      <c r="Q62" s="38">
        <v>9.7374200000000008E-2</v>
      </c>
      <c r="R62" s="36">
        <f t="shared" si="14"/>
        <v>9.6904861302282749E-2</v>
      </c>
      <c r="S62" s="38">
        <v>2.9256463E-2</v>
      </c>
      <c r="T62" s="36">
        <f t="shared" si="15"/>
        <v>2.8787124302282741E-2</v>
      </c>
      <c r="U62" s="38">
        <v>8.6251019999999998E-2</v>
      </c>
      <c r="V62" s="36">
        <f t="shared" si="16"/>
        <v>8.5781681302282739E-2</v>
      </c>
      <c r="W62" s="38">
        <v>8.680069E-2</v>
      </c>
      <c r="X62" s="36">
        <f t="shared" si="17"/>
        <v>8.6331351302282741E-2</v>
      </c>
      <c r="Y62" s="38">
        <v>4.0920734E-2</v>
      </c>
      <c r="Z62" s="36">
        <f t="shared" si="18"/>
        <v>4.0451395302282742E-2</v>
      </c>
      <c r="AA62" s="38">
        <v>4.2843223000000007E-2</v>
      </c>
      <c r="AB62" s="36">
        <f t="shared" si="19"/>
        <v>4.2373884302282748E-2</v>
      </c>
      <c r="AC62" s="38">
        <v>5.5311680000000002E-2</v>
      </c>
      <c r="AD62" s="36">
        <f t="shared" si="20"/>
        <v>5.4842341302282743E-2</v>
      </c>
      <c r="AE62" s="38">
        <v>1.6654015000000001E-2</v>
      </c>
      <c r="AF62" s="36">
        <f t="shared" si="21"/>
        <v>1.6184676302282743E-2</v>
      </c>
    </row>
    <row r="63" spans="2:32" outlineLevel="1" x14ac:dyDescent="0.25">
      <c r="B63" s="38">
        <v>2.4700000000000003E-2</v>
      </c>
      <c r="C63" s="37">
        <f t="shared" si="11"/>
        <v>4.6933869771725867E-4</v>
      </c>
      <c r="E63" s="40">
        <v>45765</v>
      </c>
      <c r="F63" s="38">
        <v>2.6906848000000001E-2</v>
      </c>
      <c r="G63" s="38">
        <v>4.0304065E-2</v>
      </c>
      <c r="H63" s="36">
        <f t="shared" si="12"/>
        <v>2.6437509302282742E-2</v>
      </c>
      <c r="I63" s="36">
        <f t="shared" si="13"/>
        <v>3.9834726302282741E-2</v>
      </c>
      <c r="O63" s="38">
        <v>8.1387879999999996E-2</v>
      </c>
      <c r="P63" s="36">
        <f t="shared" si="14"/>
        <v>8.0918541302282737E-2</v>
      </c>
      <c r="Q63" s="38">
        <v>4.2783856000000002E-2</v>
      </c>
      <c r="R63" s="36">
        <f t="shared" si="14"/>
        <v>4.2314517302282743E-2</v>
      </c>
      <c r="S63" s="38">
        <v>1.6734123E-2</v>
      </c>
      <c r="T63" s="36">
        <f t="shared" si="15"/>
        <v>1.6264784302282741E-2</v>
      </c>
      <c r="U63" s="38">
        <v>5.8770420000000004E-2</v>
      </c>
      <c r="V63" s="36">
        <f t="shared" si="16"/>
        <v>5.8301081302282745E-2</v>
      </c>
      <c r="W63" s="38">
        <v>4.2224289999999998E-2</v>
      </c>
      <c r="X63" s="36">
        <f t="shared" si="17"/>
        <v>4.1754951302282739E-2</v>
      </c>
      <c r="Y63" s="38">
        <v>3.1066894999999997E-2</v>
      </c>
      <c r="Z63" s="36">
        <f t="shared" si="18"/>
        <v>3.0597556302282738E-2</v>
      </c>
      <c r="AA63" s="38">
        <v>6.0174108000000004E-2</v>
      </c>
      <c r="AB63" s="36">
        <f t="shared" si="19"/>
        <v>5.9704769302282745E-2</v>
      </c>
      <c r="AC63" s="38">
        <v>2.0468593E-2</v>
      </c>
      <c r="AD63" s="36">
        <f t="shared" si="20"/>
        <v>1.9999254302282742E-2</v>
      </c>
      <c r="AE63" s="38">
        <v>6.9468975000000002E-2</v>
      </c>
      <c r="AF63" s="36">
        <f t="shared" si="21"/>
        <v>6.8999636302282744E-2</v>
      </c>
    </row>
    <row r="64" spans="2:32" outlineLevel="1" x14ac:dyDescent="0.25">
      <c r="B64" s="38">
        <v>2.52E-2</v>
      </c>
      <c r="C64" s="37">
        <f t="shared" si="11"/>
        <v>4.7872446561036952E-4</v>
      </c>
      <c r="E64" s="40">
        <v>45758</v>
      </c>
      <c r="F64" s="38">
        <v>-3.4124254999999999E-2</v>
      </c>
      <c r="G64" s="38">
        <v>-1.9200920999999999E-2</v>
      </c>
      <c r="H64" s="36">
        <f t="shared" si="12"/>
        <v>-3.4602979465610369E-2</v>
      </c>
      <c r="I64" s="36">
        <f t="shared" si="13"/>
        <v>-1.9679645465610369E-2</v>
      </c>
      <c r="O64" s="38">
        <v>-0.12636739</v>
      </c>
      <c r="P64" s="36">
        <f t="shared" si="14"/>
        <v>-0.12684611446561037</v>
      </c>
      <c r="Q64" s="38">
        <v>-2.7191996999999999E-2</v>
      </c>
      <c r="R64" s="36">
        <f t="shared" si="14"/>
        <v>-2.7670721465610369E-2</v>
      </c>
      <c r="S64" s="38">
        <v>-8.4151380000000012E-2</v>
      </c>
      <c r="T64" s="36">
        <f t="shared" si="15"/>
        <v>-8.4630104465610381E-2</v>
      </c>
      <c r="U64" s="38">
        <v>-2.4117649000000001E-2</v>
      </c>
      <c r="V64" s="36">
        <f t="shared" si="16"/>
        <v>-2.4596373465610371E-2</v>
      </c>
      <c r="W64" s="38">
        <v>-1.7731547E-2</v>
      </c>
      <c r="X64" s="36">
        <f t="shared" si="17"/>
        <v>-1.821027146561037E-2</v>
      </c>
      <c r="Y64" s="38">
        <v>-5.6158840000000002E-2</v>
      </c>
      <c r="Z64" s="36">
        <f t="shared" si="18"/>
        <v>-5.6637564465610371E-2</v>
      </c>
      <c r="AA64" s="38">
        <v>-1.2606084E-2</v>
      </c>
      <c r="AB64" s="36">
        <f t="shared" si="19"/>
        <v>-1.308480846561037E-2</v>
      </c>
      <c r="AC64" s="38">
        <v>-4.2933105999999999E-2</v>
      </c>
      <c r="AD64" s="36">
        <f t="shared" si="20"/>
        <v>-4.3411830465610368E-2</v>
      </c>
      <c r="AE64" s="38">
        <v>2.761829E-2</v>
      </c>
      <c r="AF64" s="36">
        <f t="shared" si="21"/>
        <v>2.7139565534389631E-2</v>
      </c>
    </row>
    <row r="65" spans="2:32" outlineLevel="1" x14ac:dyDescent="0.25">
      <c r="B65" s="38">
        <v>2.5430000000000001E-2</v>
      </c>
      <c r="C65" s="37">
        <f t="shared" si="11"/>
        <v>4.830404113651543E-4</v>
      </c>
      <c r="E65" s="40">
        <v>45751</v>
      </c>
      <c r="F65" s="38">
        <v>-6.842107E-2</v>
      </c>
      <c r="G65" s="38">
        <v>-8.443088E-2</v>
      </c>
      <c r="H65" s="36">
        <f t="shared" si="12"/>
        <v>-6.8904110411365155E-2</v>
      </c>
      <c r="I65" s="36">
        <f t="shared" si="13"/>
        <v>-8.4913920411365154E-2</v>
      </c>
      <c r="O65" s="38">
        <v>-0.16275524</v>
      </c>
      <c r="P65" s="36">
        <f t="shared" si="14"/>
        <v>-0.16323828041136515</v>
      </c>
      <c r="Q65" s="38">
        <v>-9.2191460000000003E-2</v>
      </c>
      <c r="R65" s="36">
        <f t="shared" si="14"/>
        <v>-9.2674500411365157E-2</v>
      </c>
      <c r="S65" s="38">
        <v>-0.11980862</v>
      </c>
      <c r="T65" s="36">
        <f t="shared" si="15"/>
        <v>-0.12029166041136516</v>
      </c>
      <c r="U65" s="38">
        <v>-0.104556265</v>
      </c>
      <c r="V65" s="36">
        <f t="shared" si="16"/>
        <v>-0.10503930541136515</v>
      </c>
      <c r="W65" s="38">
        <v>-0.11991035</v>
      </c>
      <c r="X65" s="36">
        <f t="shared" si="17"/>
        <v>-0.12039339041136515</v>
      </c>
      <c r="Y65" s="38">
        <v>-2.9247581999999998E-2</v>
      </c>
      <c r="Z65" s="36">
        <f t="shared" si="18"/>
        <v>-2.9730622411365152E-2</v>
      </c>
      <c r="AA65" s="38">
        <v>-9.3295870000000003E-2</v>
      </c>
      <c r="AB65" s="36">
        <f t="shared" si="19"/>
        <v>-9.3778910411365157E-2</v>
      </c>
      <c r="AC65" s="38">
        <v>-6.7810717000000006E-2</v>
      </c>
      <c r="AD65" s="36">
        <f t="shared" si="20"/>
        <v>-6.8293757411365161E-2</v>
      </c>
      <c r="AE65" s="38">
        <v>-7.6942023999999998E-2</v>
      </c>
      <c r="AF65" s="36">
        <f t="shared" si="21"/>
        <v>-7.7425064411365152E-2</v>
      </c>
    </row>
    <row r="66" spans="2:32" outlineLevel="1" x14ac:dyDescent="0.25">
      <c r="B66" s="38">
        <v>2.742E-2</v>
      </c>
      <c r="C66" s="37">
        <f t="shared" si="11"/>
        <v>5.2034312916360292E-4</v>
      </c>
      <c r="E66" s="40">
        <v>45744</v>
      </c>
      <c r="F66" s="38">
        <v>7.4230430000000007E-3</v>
      </c>
      <c r="G66" s="38">
        <v>-1.3771891999999999E-2</v>
      </c>
      <c r="H66" s="36">
        <f t="shared" si="12"/>
        <v>6.9026998708363978E-3</v>
      </c>
      <c r="I66" s="36">
        <f t="shared" si="13"/>
        <v>-1.4292235129163602E-2</v>
      </c>
      <c r="O66" s="38">
        <v>-5.567569E-2</v>
      </c>
      <c r="P66" s="36">
        <f t="shared" si="14"/>
        <v>-5.6196033129163603E-2</v>
      </c>
      <c r="Q66" s="38">
        <v>-4.2912245000000002E-2</v>
      </c>
      <c r="R66" s="36">
        <f t="shared" si="14"/>
        <v>-4.3432588129163605E-2</v>
      </c>
      <c r="S66" s="38">
        <v>-7.6312660000000004E-2</v>
      </c>
      <c r="T66" s="36">
        <f t="shared" si="15"/>
        <v>-7.6833003129163607E-2</v>
      </c>
      <c r="U66" s="38">
        <v>-4.0677130000000006E-2</v>
      </c>
      <c r="V66" s="36">
        <f t="shared" si="16"/>
        <v>-4.1197473129163609E-2</v>
      </c>
      <c r="W66" s="38">
        <v>-4.4722440000000002E-2</v>
      </c>
      <c r="X66" s="36">
        <f t="shared" si="17"/>
        <v>-4.5242783129163605E-2</v>
      </c>
      <c r="Y66" s="38">
        <v>-2.9257298000000001E-2</v>
      </c>
      <c r="Z66" s="36">
        <f t="shared" si="18"/>
        <v>-2.9777641129163604E-2</v>
      </c>
      <c r="AA66" s="38">
        <v>-5.9959650000000003E-2</v>
      </c>
      <c r="AB66" s="36">
        <f t="shared" si="19"/>
        <v>-6.0479993129163606E-2</v>
      </c>
      <c r="AC66" s="38">
        <v>-6.3863039999999996E-2</v>
      </c>
      <c r="AD66" s="36">
        <f t="shared" si="20"/>
        <v>-6.4383383129163599E-2</v>
      </c>
      <c r="AE66" s="38">
        <v>-8.7571090000000004E-2</v>
      </c>
      <c r="AF66" s="36">
        <f t="shared" si="21"/>
        <v>-8.8091433129163607E-2</v>
      </c>
    </row>
    <row r="67" spans="2:32" outlineLevel="1" x14ac:dyDescent="0.25">
      <c r="B67" s="38">
        <v>2.7639999999999998E-2</v>
      </c>
      <c r="C67" s="37">
        <f t="shared" si="11"/>
        <v>5.2446269687744795E-4</v>
      </c>
      <c r="E67" s="40">
        <v>45737</v>
      </c>
      <c r="F67" s="38">
        <v>-2.4415493E-2</v>
      </c>
      <c r="G67" s="38">
        <v>5.6165456999999995E-3</v>
      </c>
      <c r="H67" s="36">
        <f t="shared" si="12"/>
        <v>-2.4939955696877448E-2</v>
      </c>
      <c r="I67" s="36">
        <f t="shared" si="13"/>
        <v>5.0920830031225515E-3</v>
      </c>
      <c r="O67" s="38">
        <v>-1.5433729E-2</v>
      </c>
      <c r="P67" s="36">
        <f t="shared" si="14"/>
        <v>-1.5958191696877448E-2</v>
      </c>
      <c r="Q67" s="38">
        <v>-5.4694653000000003E-2</v>
      </c>
      <c r="R67" s="36">
        <f t="shared" si="14"/>
        <v>-5.5219115696877451E-2</v>
      </c>
      <c r="S67" s="38">
        <v>-1.7766237000000001E-2</v>
      </c>
      <c r="T67" s="36">
        <f t="shared" si="15"/>
        <v>-1.8290699696877449E-2</v>
      </c>
      <c r="U67" s="38">
        <v>-3.5809934000000002E-2</v>
      </c>
      <c r="V67" s="36">
        <f t="shared" si="16"/>
        <v>-3.633439669687745E-2</v>
      </c>
      <c r="W67" s="38">
        <v>-2.6846766000000001E-2</v>
      </c>
      <c r="X67" s="36">
        <f t="shared" si="17"/>
        <v>-2.7371228696877449E-2</v>
      </c>
      <c r="Y67" s="38">
        <v>3.3787130999999998E-2</v>
      </c>
      <c r="Z67" s="36">
        <f t="shared" si="18"/>
        <v>3.326266830312255E-2</v>
      </c>
      <c r="AA67" s="38">
        <v>3.8444877000000002E-2</v>
      </c>
      <c r="AB67" s="36">
        <f t="shared" si="19"/>
        <v>3.7920414303122554E-2</v>
      </c>
      <c r="AC67" s="38">
        <v>3.6254883000000002E-2</v>
      </c>
      <c r="AD67" s="36">
        <f t="shared" si="20"/>
        <v>3.5730420303122554E-2</v>
      </c>
      <c r="AE67" s="38">
        <v>3.9317129999999999E-2</v>
      </c>
      <c r="AF67" s="36">
        <f t="shared" si="21"/>
        <v>3.8792667303122551E-2</v>
      </c>
    </row>
    <row r="68" spans="2:32" outlineLevel="1" x14ac:dyDescent="0.25">
      <c r="B68" s="38">
        <v>2.8849999999999997E-2</v>
      </c>
      <c r="C68" s="37">
        <f t="shared" si="11"/>
        <v>5.4710486944475889E-4</v>
      </c>
      <c r="E68" s="40">
        <v>45730</v>
      </c>
      <c r="F68" s="38">
        <v>1.512289E-2</v>
      </c>
      <c r="G68" s="38">
        <v>-1.2198447999999999E-2</v>
      </c>
      <c r="H68" s="36">
        <f t="shared" si="12"/>
        <v>1.4575785130555241E-2</v>
      </c>
      <c r="I68" s="36">
        <f t="shared" si="13"/>
        <v>-1.2745552869444758E-2</v>
      </c>
      <c r="O68" s="38">
        <v>-3.1942247999999999E-2</v>
      </c>
      <c r="P68" s="36">
        <f t="shared" si="14"/>
        <v>-3.2489352869444758E-2</v>
      </c>
      <c r="Q68" s="38">
        <v>-1.1711717E-2</v>
      </c>
      <c r="R68" s="36">
        <f t="shared" si="14"/>
        <v>-1.2258821869444759E-2</v>
      </c>
      <c r="S68" s="38">
        <v>-2.4524987000000002E-2</v>
      </c>
      <c r="T68" s="36">
        <f t="shared" si="15"/>
        <v>-2.507209186944476E-2</v>
      </c>
      <c r="U68" s="38">
        <v>-1.8177509000000001E-2</v>
      </c>
      <c r="V68" s="36">
        <f t="shared" si="16"/>
        <v>-1.872461386944476E-2</v>
      </c>
      <c r="W68" s="38">
        <v>-1.202637E-2</v>
      </c>
      <c r="X68" s="36">
        <f t="shared" si="17"/>
        <v>-1.2573474869444759E-2</v>
      </c>
      <c r="Y68" s="38">
        <v>-1.7397761000000001E-2</v>
      </c>
      <c r="Z68" s="36">
        <f t="shared" si="18"/>
        <v>-1.794486586944476E-2</v>
      </c>
      <c r="AA68" s="38">
        <v>-2.7143239999999999E-2</v>
      </c>
      <c r="AB68" s="36">
        <f t="shared" si="19"/>
        <v>-2.7690344869444758E-2</v>
      </c>
      <c r="AC68" s="38">
        <v>1.8736959000000001E-2</v>
      </c>
      <c r="AD68" s="36">
        <f t="shared" si="20"/>
        <v>1.8189854130555242E-2</v>
      </c>
      <c r="AE68" s="38">
        <v>6.0527324999999996E-3</v>
      </c>
      <c r="AF68" s="36">
        <f t="shared" si="21"/>
        <v>5.5056276305552408E-3</v>
      </c>
    </row>
    <row r="69" spans="2:32" outlineLevel="1" x14ac:dyDescent="0.25">
      <c r="B69" s="38">
        <v>2.8239999999999998E-2</v>
      </c>
      <c r="C69" s="37">
        <f t="shared" si="11"/>
        <v>5.3569348675996942E-4</v>
      </c>
      <c r="E69" s="40">
        <v>45723</v>
      </c>
      <c r="F69" s="38">
        <v>-4.474318E-2</v>
      </c>
      <c r="G69" s="38">
        <v>-6.8917869999999999E-3</v>
      </c>
      <c r="H69" s="36">
        <f t="shared" si="12"/>
        <v>-4.527887348675997E-2</v>
      </c>
      <c r="I69" s="36">
        <f t="shared" si="13"/>
        <v>-7.4274804867599693E-3</v>
      </c>
      <c r="O69" s="38">
        <v>-5.7766970000000001E-2</v>
      </c>
      <c r="P69" s="36">
        <f t="shared" si="14"/>
        <v>-5.830266348675997E-2</v>
      </c>
      <c r="Q69" s="38">
        <v>3.6414623E-2</v>
      </c>
      <c r="R69" s="36">
        <f t="shared" si="14"/>
        <v>3.5878929513240031E-2</v>
      </c>
      <c r="S69" s="38">
        <v>-1.082778E-3</v>
      </c>
      <c r="T69" s="36">
        <f t="shared" si="15"/>
        <v>-1.6184714867599694E-3</v>
      </c>
      <c r="U69" s="38">
        <v>-3.3372639999999999E-3</v>
      </c>
      <c r="V69" s="36">
        <f t="shared" si="16"/>
        <v>-3.8729574867599694E-3</v>
      </c>
      <c r="W69" s="38">
        <v>1.5559673000000001E-2</v>
      </c>
      <c r="X69" s="36">
        <f t="shared" si="17"/>
        <v>1.5023979513240032E-2</v>
      </c>
      <c r="Y69" s="38">
        <v>-8.1738234000000003E-3</v>
      </c>
      <c r="Z69" s="36">
        <f t="shared" si="18"/>
        <v>-8.7095168867599698E-3</v>
      </c>
      <c r="AA69" s="38">
        <v>1.8995761999999999E-2</v>
      </c>
      <c r="AB69" s="36">
        <f t="shared" si="19"/>
        <v>1.846006851324003E-2</v>
      </c>
      <c r="AC69" s="38">
        <v>-7.6149519999999998E-2</v>
      </c>
      <c r="AD69" s="36">
        <f t="shared" si="20"/>
        <v>-7.6685213486759968E-2</v>
      </c>
      <c r="AE69" s="38">
        <v>4.2194127999999999E-3</v>
      </c>
      <c r="AF69" s="36">
        <f t="shared" si="21"/>
        <v>3.6837193132400305E-3</v>
      </c>
    </row>
    <row r="70" spans="2:32" outlineLevel="1" x14ac:dyDescent="0.25">
      <c r="B70" s="38">
        <v>2.4070000000000001E-2</v>
      </c>
      <c r="C70" s="37">
        <f t="shared" si="11"/>
        <v>4.5750623283469238E-4</v>
      </c>
      <c r="E70" s="40">
        <v>45716</v>
      </c>
      <c r="F70" s="38">
        <v>2.2149323999999998E-2</v>
      </c>
      <c r="G70" s="38">
        <v>6.0305595000000002E-3</v>
      </c>
      <c r="H70" s="36">
        <f t="shared" si="12"/>
        <v>2.1691817767165306E-2</v>
      </c>
      <c r="I70" s="36">
        <f t="shared" si="13"/>
        <v>5.5730532671653078E-3</v>
      </c>
      <c r="O70" s="38">
        <v>-8.3629899999999993E-2</v>
      </c>
      <c r="P70" s="36">
        <f t="shared" si="14"/>
        <v>-8.4087406232834686E-2</v>
      </c>
      <c r="Q70" s="38">
        <v>4.5898438E-2</v>
      </c>
      <c r="R70" s="36">
        <f t="shared" si="14"/>
        <v>4.5440931767165307E-2</v>
      </c>
      <c r="S70" s="38">
        <v>-6.4694879999999996E-2</v>
      </c>
      <c r="T70" s="36">
        <f t="shared" si="15"/>
        <v>-6.5152386232834689E-2</v>
      </c>
      <c r="U70" s="38">
        <v>1.5984535000000001E-2</v>
      </c>
      <c r="V70" s="36">
        <f t="shared" si="16"/>
        <v>1.5527028767165309E-2</v>
      </c>
      <c r="W70" s="38">
        <v>1.6496658000000001E-2</v>
      </c>
      <c r="X70" s="36">
        <f t="shared" si="17"/>
        <v>1.6039151767165308E-2</v>
      </c>
      <c r="Y70" s="38">
        <v>3.4537314999999999E-2</v>
      </c>
      <c r="Z70" s="36">
        <f t="shared" si="18"/>
        <v>3.4079808767165307E-2</v>
      </c>
      <c r="AA70" s="38">
        <v>-8.5511804000000004E-3</v>
      </c>
      <c r="AB70" s="36">
        <f t="shared" si="19"/>
        <v>-9.0086866328346928E-3</v>
      </c>
      <c r="AC70" s="38">
        <v>6.6965339999999998E-2</v>
      </c>
      <c r="AD70" s="36">
        <f t="shared" si="20"/>
        <v>6.6507833767165306E-2</v>
      </c>
      <c r="AE70" s="38">
        <v>7.1156025000000001E-3</v>
      </c>
      <c r="AF70" s="36">
        <f t="shared" si="21"/>
        <v>6.6580962671653077E-3</v>
      </c>
    </row>
    <row r="71" spans="2:32" outlineLevel="1" x14ac:dyDescent="0.25">
      <c r="B71" s="38">
        <v>2.4660000000000001E-2</v>
      </c>
      <c r="C71" s="37">
        <f t="shared" si="11"/>
        <v>4.685876422558799E-4</v>
      </c>
      <c r="E71" s="40">
        <v>45709</v>
      </c>
      <c r="F71" s="38">
        <v>-7.1238099999999999E-2</v>
      </c>
      <c r="G71" s="38">
        <v>2.6067495E-3</v>
      </c>
      <c r="H71" s="36">
        <f t="shared" si="12"/>
        <v>-7.1706687642255879E-2</v>
      </c>
      <c r="I71" s="36">
        <f t="shared" si="13"/>
        <v>2.1381618577441201E-3</v>
      </c>
      <c r="O71" s="38">
        <v>4.7675369999999996E-3</v>
      </c>
      <c r="P71" s="36">
        <f t="shared" si="14"/>
        <v>4.2989493577441197E-3</v>
      </c>
      <c r="Q71" s="38">
        <v>-1.1582970999999999E-2</v>
      </c>
      <c r="R71" s="36">
        <f t="shared" si="14"/>
        <v>-1.2051558642255879E-2</v>
      </c>
      <c r="S71" s="38">
        <v>0.10213744999999999</v>
      </c>
      <c r="T71" s="36">
        <f t="shared" si="15"/>
        <v>0.10166886235774411</v>
      </c>
      <c r="U71" s="38">
        <v>-4.5804977E-3</v>
      </c>
      <c r="V71" s="36">
        <f t="shared" si="16"/>
        <v>-5.0490853422558799E-3</v>
      </c>
      <c r="W71" s="38">
        <v>-4.1095914999999997E-2</v>
      </c>
      <c r="X71" s="36">
        <f t="shared" si="17"/>
        <v>-4.1564502642255877E-2</v>
      </c>
      <c r="Y71" s="38">
        <v>-1.6087769999999998E-2</v>
      </c>
      <c r="Z71" s="36">
        <f t="shared" si="18"/>
        <v>-1.6556357642255878E-2</v>
      </c>
      <c r="AA71" s="38">
        <v>-1.3292669999999999E-2</v>
      </c>
      <c r="AB71" s="36">
        <f t="shared" si="19"/>
        <v>-1.3761257642255879E-2</v>
      </c>
      <c r="AC71" s="38">
        <v>-3.8104712999999998E-2</v>
      </c>
      <c r="AD71" s="36">
        <f t="shared" si="20"/>
        <v>-3.8573300642255878E-2</v>
      </c>
      <c r="AE71" s="38">
        <v>-3.9659023000000002E-2</v>
      </c>
      <c r="AF71" s="36">
        <f t="shared" si="21"/>
        <v>-4.0127610642255881E-2</v>
      </c>
    </row>
    <row r="72" spans="2:32" outlineLevel="1" x14ac:dyDescent="0.25">
      <c r="B72" s="38">
        <v>2.4230000000000002E-2</v>
      </c>
      <c r="C72" s="37">
        <f t="shared" si="11"/>
        <v>4.6051197947227784E-4</v>
      </c>
      <c r="E72" s="40">
        <v>45702</v>
      </c>
      <c r="F72" s="38">
        <v>6.7941426999999999E-2</v>
      </c>
      <c r="G72" s="38">
        <v>1.7798185000000001E-2</v>
      </c>
      <c r="H72" s="36">
        <f t="shared" si="12"/>
        <v>6.7480915020527721E-2</v>
      </c>
      <c r="I72" s="36">
        <f t="shared" si="13"/>
        <v>1.7337673020527723E-2</v>
      </c>
      <c r="O72" s="38">
        <v>7.1177840000000006E-2</v>
      </c>
      <c r="P72" s="36">
        <f t="shared" si="14"/>
        <v>7.0717328020527728E-2</v>
      </c>
      <c r="Q72" s="38">
        <v>7.4131726999999994E-2</v>
      </c>
      <c r="R72" s="36">
        <f t="shared" si="14"/>
        <v>7.3671215020527717E-2</v>
      </c>
      <c r="S72" s="38">
        <v>-6.5018414999999996E-2</v>
      </c>
      <c r="T72" s="36">
        <f t="shared" si="15"/>
        <v>-6.5478926979472274E-2</v>
      </c>
      <c r="U72" s="38">
        <v>8.6148260000000004E-2</v>
      </c>
      <c r="V72" s="36">
        <f t="shared" si="16"/>
        <v>8.5687748020527726E-2</v>
      </c>
      <c r="W72" s="38">
        <v>7.8059076999999991E-2</v>
      </c>
      <c r="X72" s="36">
        <f t="shared" si="17"/>
        <v>7.7598565020527713E-2</v>
      </c>
      <c r="Y72" s="38">
        <v>9.9623203000000007E-3</v>
      </c>
      <c r="Z72" s="36">
        <f t="shared" si="18"/>
        <v>9.5018083205277229E-3</v>
      </c>
      <c r="AA72" s="38">
        <v>-2.7587115999999998E-2</v>
      </c>
      <c r="AB72" s="36">
        <f t="shared" si="19"/>
        <v>-2.8047627979472276E-2</v>
      </c>
      <c r="AC72" s="38">
        <v>4.7503709999999998E-3</v>
      </c>
      <c r="AD72" s="36">
        <f t="shared" si="20"/>
        <v>4.2898590205277219E-3</v>
      </c>
      <c r="AE72" s="38">
        <v>1.8455982000000002E-3</v>
      </c>
      <c r="AF72" s="36">
        <f t="shared" si="21"/>
        <v>1.3850862205277224E-3</v>
      </c>
    </row>
    <row r="73" spans="2:32" outlineLevel="1" x14ac:dyDescent="0.25">
      <c r="B73" s="38">
        <v>2.3990000000000001E-2</v>
      </c>
      <c r="C73" s="37">
        <f t="shared" si="11"/>
        <v>4.5600318679217544E-4</v>
      </c>
      <c r="E73" s="40">
        <v>45695</v>
      </c>
      <c r="F73" s="38">
        <v>-9.8690987000000004E-3</v>
      </c>
      <c r="G73" s="38">
        <v>5.9680940000000002E-3</v>
      </c>
      <c r="H73" s="36">
        <f t="shared" si="12"/>
        <v>-1.0325101886792176E-2</v>
      </c>
      <c r="I73" s="36">
        <f t="shared" si="13"/>
        <v>5.5120908132078247E-3</v>
      </c>
      <c r="O73" s="38">
        <v>-3.3173919000000003E-2</v>
      </c>
      <c r="P73" s="36">
        <f t="shared" si="14"/>
        <v>-3.3629922186792179E-2</v>
      </c>
      <c r="Q73" s="38">
        <v>-4.8816623999999996E-2</v>
      </c>
      <c r="R73" s="36">
        <f t="shared" si="14"/>
        <v>-4.9272627186792171E-2</v>
      </c>
      <c r="S73" s="38">
        <v>7.1422935000000007E-2</v>
      </c>
      <c r="T73" s="36">
        <f t="shared" si="15"/>
        <v>7.0966931813207831E-2</v>
      </c>
      <c r="U73" s="38">
        <v>-2.8244316999999998E-2</v>
      </c>
      <c r="V73" s="36">
        <f t="shared" si="16"/>
        <v>-2.8700320186792173E-2</v>
      </c>
      <c r="W73" s="38">
        <v>-3.4623146E-2</v>
      </c>
      <c r="X73" s="36">
        <f t="shared" si="17"/>
        <v>-3.5079149186792176E-2</v>
      </c>
      <c r="Y73" s="38">
        <v>-7.8814086999999991E-2</v>
      </c>
      <c r="Z73" s="36">
        <f t="shared" si="18"/>
        <v>-7.9270090186792166E-2</v>
      </c>
      <c r="AA73" s="38">
        <v>-2.3577272999999999E-2</v>
      </c>
      <c r="AB73" s="36">
        <f t="shared" si="19"/>
        <v>-2.4033276186792175E-2</v>
      </c>
      <c r="AC73" s="38">
        <v>-3.7128210000000002E-2</v>
      </c>
      <c r="AD73" s="36">
        <f t="shared" si="20"/>
        <v>-3.7584213186792177E-2</v>
      </c>
      <c r="AE73" s="38">
        <v>-1.2689233E-3</v>
      </c>
      <c r="AF73" s="36">
        <f t="shared" si="21"/>
        <v>-1.7249264867921755E-3</v>
      </c>
    </row>
    <row r="74" spans="2:32" outlineLevel="1" x14ac:dyDescent="0.25">
      <c r="B74" s="38">
        <v>2.4629999999999999E-2</v>
      </c>
      <c r="C74" s="37">
        <f t="shared" si="11"/>
        <v>4.6802433178871894E-4</v>
      </c>
      <c r="E74" s="40">
        <v>45688</v>
      </c>
      <c r="F74" s="38">
        <v>1.0584115999999999E-2</v>
      </c>
      <c r="G74" s="38">
        <v>1.7846704000000001E-2</v>
      </c>
      <c r="H74" s="36">
        <f t="shared" si="12"/>
        <v>1.011609166821128E-2</v>
      </c>
      <c r="I74" s="36">
        <f t="shared" si="13"/>
        <v>1.7378679668211282E-2</v>
      </c>
      <c r="O74" s="38">
        <v>1.3131142E-2</v>
      </c>
      <c r="P74" s="36">
        <f t="shared" si="14"/>
        <v>1.2663117668211281E-2</v>
      </c>
      <c r="Q74" s="38">
        <v>1.7561436E-2</v>
      </c>
      <c r="R74" s="36">
        <f t="shared" si="14"/>
        <v>1.7093411668211281E-2</v>
      </c>
      <c r="S74" s="38">
        <v>3.2642959999999999E-2</v>
      </c>
      <c r="T74" s="36">
        <f t="shared" si="15"/>
        <v>3.217493566821128E-2</v>
      </c>
      <c r="U74" s="38">
        <v>-3.0441284000000002E-3</v>
      </c>
      <c r="V74" s="36">
        <f t="shared" si="16"/>
        <v>-3.5121527317887192E-3</v>
      </c>
      <c r="W74" s="38">
        <v>3.7506579999999998E-2</v>
      </c>
      <c r="X74" s="36">
        <f t="shared" si="17"/>
        <v>3.7038555668211279E-2</v>
      </c>
      <c r="Y74" s="38">
        <v>7.7848433999999998E-3</v>
      </c>
      <c r="Z74" s="36">
        <f t="shared" si="18"/>
        <v>7.3168190682112808E-3</v>
      </c>
      <c r="AA74" s="38">
        <v>4.9556017000000001E-2</v>
      </c>
      <c r="AB74" s="36">
        <f t="shared" si="19"/>
        <v>4.9087992668211282E-2</v>
      </c>
      <c r="AC74" s="38">
        <v>-7.1733713000000005E-2</v>
      </c>
      <c r="AD74" s="36">
        <f t="shared" si="20"/>
        <v>-7.2201737331788723E-2</v>
      </c>
      <c r="AE74" s="38">
        <v>1.7091869999999999E-2</v>
      </c>
      <c r="AF74" s="36">
        <f t="shared" si="21"/>
        <v>1.662384566821128E-2</v>
      </c>
    </row>
    <row r="75" spans="2:32" outlineLevel="1" x14ac:dyDescent="0.25">
      <c r="B75" s="38">
        <v>2.5760000000000002E-2</v>
      </c>
      <c r="C75" s="37">
        <f t="shared" si="11"/>
        <v>4.8923119719535002E-4</v>
      </c>
      <c r="E75" s="40">
        <v>45681</v>
      </c>
      <c r="F75" s="38">
        <v>7.3815584E-3</v>
      </c>
      <c r="G75" s="38">
        <v>1.2318134000000001E-2</v>
      </c>
      <c r="H75" s="36">
        <f t="shared" si="12"/>
        <v>6.89232720280465E-3</v>
      </c>
      <c r="I75" s="36">
        <f t="shared" si="13"/>
        <v>1.1828902802804651E-2</v>
      </c>
      <c r="O75" s="38">
        <v>1.9442200999999999E-2</v>
      </c>
      <c r="P75" s="36">
        <f t="shared" si="14"/>
        <v>1.8952969802804649E-2</v>
      </c>
      <c r="Q75" s="38">
        <v>4.4002175000000004E-2</v>
      </c>
      <c r="R75" s="36">
        <f t="shared" si="14"/>
        <v>4.3512943802804654E-2</v>
      </c>
      <c r="S75" s="38">
        <v>-2.5680660999999997E-2</v>
      </c>
      <c r="T75" s="36">
        <f t="shared" si="15"/>
        <v>-2.6169892197195347E-2</v>
      </c>
      <c r="U75" s="38">
        <v>2.2568107E-2</v>
      </c>
      <c r="V75" s="36">
        <f t="shared" si="16"/>
        <v>2.207887580280465E-2</v>
      </c>
      <c r="W75" s="38">
        <v>3.0858636000000002E-2</v>
      </c>
      <c r="X75" s="36">
        <f t="shared" si="17"/>
        <v>3.0369404802804652E-2</v>
      </c>
      <c r="Y75" s="38">
        <v>-2.6403666000000003E-2</v>
      </c>
      <c r="Z75" s="36">
        <f t="shared" si="18"/>
        <v>-2.6892897197195353E-2</v>
      </c>
      <c r="AA75" s="38">
        <v>1.5230775E-2</v>
      </c>
      <c r="AB75" s="36">
        <f t="shared" si="19"/>
        <v>1.474154380280465E-2</v>
      </c>
      <c r="AC75" s="38">
        <v>3.5859584999999999E-2</v>
      </c>
      <c r="AD75" s="36">
        <f t="shared" si="20"/>
        <v>3.5370353802804649E-2</v>
      </c>
      <c r="AE75" s="38">
        <v>-5.2737593999999995E-3</v>
      </c>
      <c r="AF75" s="36">
        <f t="shared" si="21"/>
        <v>-5.7629905971953495E-3</v>
      </c>
    </row>
    <row r="76" spans="2:32" outlineLevel="1" x14ac:dyDescent="0.25">
      <c r="B76" s="38">
        <v>2.513E-2</v>
      </c>
      <c r="C76" s="37">
        <f t="shared" si="11"/>
        <v>4.7741072840778997E-4</v>
      </c>
      <c r="E76" s="40">
        <v>45674</v>
      </c>
      <c r="F76" s="38">
        <v>6.5079689999999996E-2</v>
      </c>
      <c r="G76" s="38">
        <v>2.3694991999999998E-2</v>
      </c>
      <c r="H76" s="36">
        <f t="shared" si="12"/>
        <v>6.4602279271592206E-2</v>
      </c>
      <c r="I76" s="36">
        <f t="shared" si="13"/>
        <v>2.3217581271592208E-2</v>
      </c>
      <c r="O76" s="38">
        <v>2.2320032E-2</v>
      </c>
      <c r="P76" s="36">
        <f t="shared" si="14"/>
        <v>2.184262127159221E-2</v>
      </c>
      <c r="Q76" s="38">
        <v>3.0777573999999999E-2</v>
      </c>
      <c r="R76" s="36">
        <f t="shared" si="14"/>
        <v>3.0300163271592209E-2</v>
      </c>
      <c r="S76" s="38">
        <v>-5.9075173999999994E-2</v>
      </c>
      <c r="T76" s="36">
        <f t="shared" si="15"/>
        <v>-5.9552584728407784E-2</v>
      </c>
      <c r="U76" s="38">
        <v>9.4265939999999999E-3</v>
      </c>
      <c r="V76" s="36">
        <f t="shared" si="16"/>
        <v>8.94918327159221E-3</v>
      </c>
      <c r="W76" s="38">
        <v>9.0837479999999993E-4</v>
      </c>
      <c r="X76" s="36">
        <f t="shared" si="17"/>
        <v>4.3096407159220996E-4</v>
      </c>
      <c r="Y76" s="38">
        <v>4.9648285E-2</v>
      </c>
      <c r="Z76" s="36">
        <f t="shared" si="18"/>
        <v>4.917087427159221E-2</v>
      </c>
      <c r="AA76" s="38">
        <v>-4.5049666999999995E-2</v>
      </c>
      <c r="AB76" s="36">
        <f t="shared" si="19"/>
        <v>-4.5527077728407785E-2</v>
      </c>
      <c r="AC76" s="38">
        <v>1.7355679999999998E-2</v>
      </c>
      <c r="AD76" s="36">
        <f t="shared" si="20"/>
        <v>1.6878269271592208E-2</v>
      </c>
      <c r="AE76" s="38">
        <v>-4.0733280000000004E-2</v>
      </c>
      <c r="AF76" s="36">
        <f t="shared" si="21"/>
        <v>-4.1210690728407794E-2</v>
      </c>
    </row>
    <row r="77" spans="2:32" outlineLevel="1" x14ac:dyDescent="0.25">
      <c r="B77" s="38">
        <v>2.5530000000000001E-2</v>
      </c>
      <c r="C77" s="37">
        <f t="shared" si="11"/>
        <v>4.849166133902294E-4</v>
      </c>
      <c r="E77" s="40">
        <v>45667</v>
      </c>
      <c r="F77" s="38">
        <v>-6.2934159999999996E-3</v>
      </c>
      <c r="G77" s="38">
        <v>6.513357E-3</v>
      </c>
      <c r="H77" s="36">
        <f t="shared" si="12"/>
        <v>-6.778332613390229E-3</v>
      </c>
      <c r="I77" s="36">
        <f t="shared" si="13"/>
        <v>6.0284403866097706E-3</v>
      </c>
      <c r="O77" s="38">
        <v>8.2129239999999999E-3</v>
      </c>
      <c r="P77" s="36">
        <f t="shared" si="14"/>
        <v>7.7280073866097705E-3</v>
      </c>
      <c r="Q77" s="38">
        <v>4.5146704000000003E-2</v>
      </c>
      <c r="R77" s="36">
        <f t="shared" si="14"/>
        <v>4.4661787386609773E-2</v>
      </c>
      <c r="S77" s="38">
        <v>-5.28596E-2</v>
      </c>
      <c r="T77" s="36">
        <f t="shared" si="15"/>
        <v>-5.3344516613390229E-2</v>
      </c>
      <c r="U77" s="38">
        <v>-5.2344799999999993E-4</v>
      </c>
      <c r="V77" s="36">
        <f t="shared" si="16"/>
        <v>-1.0083646133902293E-3</v>
      </c>
      <c r="W77" s="38">
        <v>4.9380420000000001E-2</v>
      </c>
      <c r="X77" s="36">
        <f t="shared" si="17"/>
        <v>4.8895503386609772E-2</v>
      </c>
      <c r="Y77" s="38">
        <v>-1.9515215999999998E-2</v>
      </c>
      <c r="Z77" s="36">
        <f t="shared" si="18"/>
        <v>-2.0000132613390228E-2</v>
      </c>
      <c r="AA77" s="38">
        <v>-6.54999E-2</v>
      </c>
      <c r="AB77" s="36">
        <f t="shared" si="19"/>
        <v>-6.5984816613390229E-2</v>
      </c>
      <c r="AC77" s="38">
        <v>-3.3376157000000004E-2</v>
      </c>
      <c r="AD77" s="36">
        <f t="shared" si="20"/>
        <v>-3.3861073613390233E-2</v>
      </c>
      <c r="AE77" s="38">
        <v>-1.5388727E-3</v>
      </c>
      <c r="AF77" s="36">
        <f t="shared" si="21"/>
        <v>-2.0237893133902294E-3</v>
      </c>
    </row>
    <row r="78" spans="2:32" outlineLevel="1" x14ac:dyDescent="0.25">
      <c r="B78" s="38">
        <v>2.4080000000000001E-2</v>
      </c>
      <c r="C78" s="37">
        <f t="shared" si="11"/>
        <v>4.5769410549278966E-4</v>
      </c>
      <c r="E78" s="40">
        <v>45660</v>
      </c>
      <c r="F78" s="38">
        <v>-1.6435385E-2</v>
      </c>
      <c r="G78" s="38">
        <v>1.9913912E-3</v>
      </c>
      <c r="H78" s="36">
        <f t="shared" si="12"/>
        <v>-1.689307910549279E-2</v>
      </c>
      <c r="I78" s="36">
        <f t="shared" si="13"/>
        <v>1.5336970945072103E-3</v>
      </c>
      <c r="O78" s="38">
        <v>-3.3343910000000004E-2</v>
      </c>
      <c r="P78" s="36">
        <f t="shared" si="14"/>
        <v>-3.3801604105492794E-2</v>
      </c>
      <c r="Q78" s="38">
        <v>-3.0103981000000002E-2</v>
      </c>
      <c r="R78" s="36">
        <f t="shared" si="14"/>
        <v>-3.0561675105492792E-2</v>
      </c>
      <c r="S78" s="38">
        <v>-4.4173600000000007E-2</v>
      </c>
      <c r="T78" s="36">
        <f t="shared" si="15"/>
        <v>-4.4631294105492797E-2</v>
      </c>
      <c r="U78" s="38">
        <v>-2.4508535999999997E-2</v>
      </c>
      <c r="V78" s="36">
        <f t="shared" si="16"/>
        <v>-2.4966230105492787E-2</v>
      </c>
      <c r="W78" s="38">
        <v>-2.0541548999999999E-2</v>
      </c>
      <c r="X78" s="36">
        <f t="shared" si="17"/>
        <v>-2.0999243105492789E-2</v>
      </c>
      <c r="Y78" s="38">
        <v>-2.1741389999999998E-3</v>
      </c>
      <c r="Z78" s="36">
        <f t="shared" si="18"/>
        <v>-2.6318331054927895E-3</v>
      </c>
      <c r="AA78" s="38">
        <v>6.1404704999999996E-4</v>
      </c>
      <c r="AB78" s="36">
        <f t="shared" si="19"/>
        <v>1.563529445072103E-4</v>
      </c>
      <c r="AC78" s="38">
        <v>-3.3866703999999997E-2</v>
      </c>
      <c r="AD78" s="36">
        <f t="shared" si="20"/>
        <v>-3.4324398105492787E-2</v>
      </c>
      <c r="AE78" s="38">
        <v>1.6621708999999998E-2</v>
      </c>
      <c r="AF78" s="36">
        <f t="shared" si="21"/>
        <v>1.6164014894507209E-2</v>
      </c>
    </row>
    <row r="79" spans="2:32" outlineLevel="1" x14ac:dyDescent="0.25">
      <c r="B79" s="38">
        <v>2.375E-2</v>
      </c>
      <c r="C79" s="37">
        <f t="shared" si="11"/>
        <v>4.5149335755678699E-4</v>
      </c>
      <c r="E79" s="40">
        <v>45653</v>
      </c>
      <c r="F79" s="38">
        <v>6.4074990000000001E-4</v>
      </c>
      <c r="G79" s="38">
        <v>9.9364520000000001E-3</v>
      </c>
      <c r="H79" s="36">
        <f t="shared" si="12"/>
        <v>1.8925654244321302E-4</v>
      </c>
      <c r="I79" s="36">
        <f t="shared" si="13"/>
        <v>9.4849586424432131E-3</v>
      </c>
      <c r="O79" s="38">
        <v>1.7611860999999999E-2</v>
      </c>
      <c r="P79" s="36">
        <f t="shared" si="14"/>
        <v>1.7160367642443212E-2</v>
      </c>
      <c r="Q79" s="38">
        <v>7.7220200000000004E-3</v>
      </c>
      <c r="R79" s="36">
        <f t="shared" si="14"/>
        <v>7.2705266424432135E-3</v>
      </c>
      <c r="S79" s="38">
        <v>0.13918268</v>
      </c>
      <c r="T79" s="36">
        <f t="shared" si="15"/>
        <v>0.13873118664244322</v>
      </c>
      <c r="U79" s="38">
        <v>9.796262E-3</v>
      </c>
      <c r="V79" s="36">
        <f t="shared" si="16"/>
        <v>9.344768642443213E-3</v>
      </c>
      <c r="W79" s="38">
        <v>1.8708705999999999E-3</v>
      </c>
      <c r="X79" s="36">
        <f t="shared" si="17"/>
        <v>1.419377242443213E-3</v>
      </c>
      <c r="Y79" s="38">
        <v>1.2844443000000001E-2</v>
      </c>
      <c r="Z79" s="36">
        <f t="shared" si="18"/>
        <v>1.2392949642443214E-2</v>
      </c>
      <c r="AA79" s="38">
        <v>0.14001917999999999</v>
      </c>
      <c r="AB79" s="36">
        <f t="shared" si="19"/>
        <v>0.13956768664244321</v>
      </c>
      <c r="AC79" s="38">
        <v>4.5261620000000002E-2</v>
      </c>
      <c r="AD79" s="36">
        <f t="shared" si="20"/>
        <v>4.4810126642443215E-2</v>
      </c>
      <c r="AE79" s="38">
        <v>0.23411417000000001</v>
      </c>
      <c r="AF79" s="36">
        <f t="shared" si="21"/>
        <v>0.23366267664244322</v>
      </c>
    </row>
    <row r="80" spans="2:32" outlineLevel="1" x14ac:dyDescent="0.25">
      <c r="B80" s="38">
        <v>2.2850000000000002E-2</v>
      </c>
      <c r="C80" s="37">
        <f t="shared" si="11"/>
        <v>4.3457225788023912E-4</v>
      </c>
      <c r="E80" s="40">
        <v>45646</v>
      </c>
      <c r="F80" s="38">
        <v>4.5789600000000007E-2</v>
      </c>
      <c r="G80" s="38">
        <v>-2.7611613E-2</v>
      </c>
      <c r="H80" s="36">
        <f t="shared" si="12"/>
        <v>4.5355027742119768E-2</v>
      </c>
      <c r="I80" s="36">
        <f t="shared" si="13"/>
        <v>-2.8046185257880239E-2</v>
      </c>
      <c r="O80" s="38">
        <v>-7.2670040000000005E-2</v>
      </c>
      <c r="P80" s="36">
        <f t="shared" si="14"/>
        <v>-7.3104612257880244E-2</v>
      </c>
      <c r="Q80" s="38">
        <v>-1.1019110999999999E-3</v>
      </c>
      <c r="R80" s="36">
        <f t="shared" si="14"/>
        <v>-1.5364833578802391E-3</v>
      </c>
      <c r="S80" s="38">
        <v>0.23359511999999999</v>
      </c>
      <c r="T80" s="36">
        <f t="shared" si="15"/>
        <v>0.23316054774211975</v>
      </c>
      <c r="U80" s="38">
        <v>-3.2185673999999997E-2</v>
      </c>
      <c r="V80" s="36">
        <f t="shared" si="16"/>
        <v>-3.2620246257880237E-2</v>
      </c>
      <c r="W80" s="38">
        <v>-5.4484310000000001E-2</v>
      </c>
      <c r="X80" s="36">
        <f t="shared" si="17"/>
        <v>-5.491888225788024E-2</v>
      </c>
      <c r="Y80" s="38">
        <v>-4.080963E-2</v>
      </c>
      <c r="Z80" s="36">
        <f t="shared" si="18"/>
        <v>-4.1244202257880239E-2</v>
      </c>
      <c r="AA80" s="38">
        <v>1.7668246999999998E-2</v>
      </c>
      <c r="AB80" s="36">
        <f t="shared" si="19"/>
        <v>1.7233674742119759E-2</v>
      </c>
      <c r="AC80" s="38">
        <v>-5.1224230000000001E-3</v>
      </c>
      <c r="AD80" s="36">
        <f t="shared" si="20"/>
        <v>-5.5569952578802392E-3</v>
      </c>
      <c r="AE80" s="38">
        <v>-5.8511790000000001E-2</v>
      </c>
      <c r="AF80" s="36">
        <f t="shared" si="21"/>
        <v>-5.894636225788024E-2</v>
      </c>
    </row>
    <row r="81" spans="2:32" outlineLevel="1" x14ac:dyDescent="0.25">
      <c r="B81" s="38">
        <v>2.2400000000000003E-2</v>
      </c>
      <c r="C81" s="37">
        <f t="shared" si="11"/>
        <v>4.2610623134753389E-4</v>
      </c>
      <c r="E81" s="40">
        <v>45639</v>
      </c>
      <c r="F81" s="38">
        <v>2.4719715E-2</v>
      </c>
      <c r="G81" s="38">
        <v>-7.7236890000000006E-3</v>
      </c>
      <c r="H81" s="36">
        <f t="shared" si="12"/>
        <v>2.4293608768652466E-2</v>
      </c>
      <c r="I81" s="36">
        <f t="shared" si="13"/>
        <v>-8.1497952313475345E-3</v>
      </c>
      <c r="O81" s="38">
        <v>3.089273E-2</v>
      </c>
      <c r="P81" s="36">
        <f t="shared" si="14"/>
        <v>3.0466623768652466E-2</v>
      </c>
      <c r="Q81" s="38">
        <v>5.4006933999999999E-2</v>
      </c>
      <c r="R81" s="36">
        <f t="shared" si="14"/>
        <v>5.3580827768652466E-2</v>
      </c>
      <c r="S81" s="38">
        <v>-4.9304366000000002E-2</v>
      </c>
      <c r="T81" s="36">
        <f t="shared" si="15"/>
        <v>-4.9730472231347536E-2</v>
      </c>
      <c r="U81" s="38">
        <v>3.7804364999999999E-2</v>
      </c>
      <c r="V81" s="36">
        <f t="shared" si="16"/>
        <v>3.7378258768652466E-2</v>
      </c>
      <c r="W81" s="38">
        <v>5.1134230000000003E-2</v>
      </c>
      <c r="X81" s="36">
        <f t="shared" si="17"/>
        <v>5.0708123768652469E-2</v>
      </c>
      <c r="Y81" s="38">
        <v>-4.3960809999999996E-3</v>
      </c>
      <c r="Z81" s="36">
        <f t="shared" si="18"/>
        <v>-4.8221872313475335E-3</v>
      </c>
      <c r="AA81" s="38">
        <v>7.8266860000000011E-3</v>
      </c>
      <c r="AB81" s="36">
        <f t="shared" si="19"/>
        <v>7.4005797686524672E-3</v>
      </c>
      <c r="AC81" s="38">
        <v>-9.4906090000000005E-3</v>
      </c>
      <c r="AD81" s="36">
        <f t="shared" si="20"/>
        <v>-9.9167152313475344E-3</v>
      </c>
      <c r="AE81" s="38">
        <v>-1.2421607999999999E-2</v>
      </c>
      <c r="AF81" s="36">
        <f t="shared" si="21"/>
        <v>-1.2847714231347533E-2</v>
      </c>
    </row>
    <row r="82" spans="2:32" outlineLevel="1" x14ac:dyDescent="0.25">
      <c r="B82" s="38">
        <v>2.104E-2</v>
      </c>
      <c r="C82" s="37">
        <f t="shared" si="11"/>
        <v>4.0049778729933649E-4</v>
      </c>
      <c r="E82" s="40">
        <v>45632</v>
      </c>
      <c r="F82" s="38">
        <v>7.7966930000000004E-2</v>
      </c>
      <c r="G82" s="38">
        <v>2.0029306E-2</v>
      </c>
      <c r="H82" s="36">
        <f t="shared" si="12"/>
        <v>7.7566432212700667E-2</v>
      </c>
      <c r="I82" s="36">
        <f t="shared" si="13"/>
        <v>1.9628808212700664E-2</v>
      </c>
      <c r="O82" s="38">
        <v>3.2865286E-2</v>
      </c>
      <c r="P82" s="36">
        <f t="shared" si="14"/>
        <v>3.2464788212700664E-2</v>
      </c>
      <c r="Q82" s="38">
        <v>3.2374024000000001E-2</v>
      </c>
      <c r="R82" s="36">
        <f t="shared" si="14"/>
        <v>3.1973526212700665E-2</v>
      </c>
      <c r="S82" s="38">
        <v>2.583158E-2</v>
      </c>
      <c r="T82" s="36">
        <f t="shared" si="15"/>
        <v>2.5431082212700663E-2</v>
      </c>
      <c r="U82" s="38">
        <v>0.10311341</v>
      </c>
      <c r="V82" s="36">
        <f t="shared" si="16"/>
        <v>0.10271291221270067</v>
      </c>
      <c r="W82" s="38">
        <v>1.5483378999999999E-2</v>
      </c>
      <c r="X82" s="36">
        <f t="shared" si="17"/>
        <v>1.5082881212700662E-2</v>
      </c>
      <c r="Y82" s="38">
        <v>-5.5839420000000001E-2</v>
      </c>
      <c r="Z82" s="36">
        <f t="shared" si="18"/>
        <v>-5.6239917787299337E-2</v>
      </c>
      <c r="AA82" s="38">
        <v>3.2255410000000005E-2</v>
      </c>
      <c r="AB82" s="36">
        <f t="shared" si="19"/>
        <v>3.1854912212700669E-2</v>
      </c>
      <c r="AC82" s="38">
        <v>-3.9352179000000001E-2</v>
      </c>
      <c r="AD82" s="36">
        <f t="shared" si="20"/>
        <v>-3.9752676787299338E-2</v>
      </c>
      <c r="AE82" s="38">
        <v>-2.0528436000000001E-3</v>
      </c>
      <c r="AF82" s="36">
        <f t="shared" si="21"/>
        <v>-2.4533413872993366E-3</v>
      </c>
    </row>
    <row r="83" spans="2:32" outlineLevel="1" x14ac:dyDescent="0.25">
      <c r="B83" s="38">
        <v>2.1080000000000002E-2</v>
      </c>
      <c r="C83" s="37">
        <f t="shared" si="11"/>
        <v>4.0125145420866204E-4</v>
      </c>
      <c r="E83" s="40">
        <v>45625</v>
      </c>
      <c r="F83" s="38">
        <v>5.4576397E-3</v>
      </c>
      <c r="G83" s="38">
        <v>3.5006999999999998E-3</v>
      </c>
      <c r="H83" s="36">
        <f t="shared" si="12"/>
        <v>5.056388245791338E-3</v>
      </c>
      <c r="I83" s="36">
        <f t="shared" si="13"/>
        <v>3.0994485457913378E-3</v>
      </c>
      <c r="O83" s="38">
        <v>1.7580986E-3</v>
      </c>
      <c r="P83" s="36">
        <f t="shared" si="14"/>
        <v>1.356847145791338E-3</v>
      </c>
      <c r="Q83" s="38">
        <v>-7.1428419999999999E-3</v>
      </c>
      <c r="R83" s="36">
        <f t="shared" si="14"/>
        <v>-7.544093454208662E-3</v>
      </c>
      <c r="S83" s="38">
        <v>-0.10201282</v>
      </c>
      <c r="T83" s="36">
        <f t="shared" si="15"/>
        <v>-0.10241407145420867</v>
      </c>
      <c r="U83" s="38">
        <v>3.2743215999999999E-2</v>
      </c>
      <c r="V83" s="36">
        <f t="shared" si="16"/>
        <v>3.2341964545791337E-2</v>
      </c>
      <c r="W83" s="38">
        <v>1.3200640999999999E-2</v>
      </c>
      <c r="X83" s="36">
        <f t="shared" si="17"/>
        <v>1.2799389545791337E-2</v>
      </c>
      <c r="Y83" s="38">
        <v>-1.8799125999999999E-2</v>
      </c>
      <c r="Z83" s="36">
        <f t="shared" si="18"/>
        <v>-1.9200377454208661E-2</v>
      </c>
      <c r="AA83" s="38">
        <v>-2.6528299999999998E-2</v>
      </c>
      <c r="AB83" s="36">
        <f t="shared" si="19"/>
        <v>-2.692955145420866E-2</v>
      </c>
      <c r="AC83" s="38">
        <v>-6.3898919999999998E-2</v>
      </c>
      <c r="AD83" s="36">
        <f t="shared" si="20"/>
        <v>-6.430017145420866E-2</v>
      </c>
      <c r="AE83" s="38">
        <v>-3.6389768000000003E-2</v>
      </c>
      <c r="AF83" s="36">
        <f t="shared" si="21"/>
        <v>-3.6791019454208665E-2</v>
      </c>
    </row>
    <row r="84" spans="2:32" outlineLevel="1" x14ac:dyDescent="0.25">
      <c r="B84" s="38">
        <v>2.2719999999999997E-2</v>
      </c>
      <c r="C84" s="37">
        <f t="shared" si="11"/>
        <v>4.3212689216098887E-4</v>
      </c>
      <c r="E84" s="40">
        <v>45618</v>
      </c>
      <c r="F84" s="38">
        <v>-2.1126746999999998E-2</v>
      </c>
      <c r="G84" s="38">
        <v>1.0633706999999999E-2</v>
      </c>
      <c r="H84" s="36">
        <f t="shared" si="12"/>
        <v>-2.1558873892160987E-2</v>
      </c>
      <c r="I84" s="36">
        <f t="shared" si="13"/>
        <v>1.020158010783901E-2</v>
      </c>
      <c r="O84" s="38">
        <v>-1.4800786999999999E-2</v>
      </c>
      <c r="P84" s="36">
        <f t="shared" si="14"/>
        <v>-1.5232913892160988E-2</v>
      </c>
      <c r="Q84" s="38">
        <v>-3.1700313000000001E-2</v>
      </c>
      <c r="R84" s="36">
        <f t="shared" si="14"/>
        <v>-3.213243989216099E-2</v>
      </c>
      <c r="S84" s="38">
        <v>-4.0175256999999999E-2</v>
      </c>
      <c r="T84" s="36">
        <f t="shared" si="15"/>
        <v>-4.0607383892160988E-2</v>
      </c>
      <c r="U84" s="38">
        <v>-1.7667413000000002E-3</v>
      </c>
      <c r="V84" s="36">
        <f t="shared" si="16"/>
        <v>-2.198868192160989E-3</v>
      </c>
      <c r="W84" s="38">
        <v>-1.2842298E-2</v>
      </c>
      <c r="X84" s="36">
        <f t="shared" si="17"/>
        <v>-1.3274424892160989E-2</v>
      </c>
      <c r="Y84" s="38">
        <v>2.7633548000000001E-2</v>
      </c>
      <c r="Z84" s="36">
        <f t="shared" si="18"/>
        <v>2.7201421107839012E-2</v>
      </c>
      <c r="AA84" s="38">
        <v>-2.5181769999999999E-3</v>
      </c>
      <c r="AB84" s="36">
        <f t="shared" si="19"/>
        <v>-2.9503038921609888E-3</v>
      </c>
      <c r="AC84" s="38">
        <v>3.8443326999999999E-2</v>
      </c>
      <c r="AD84" s="36">
        <f t="shared" si="20"/>
        <v>3.801120010783901E-2</v>
      </c>
      <c r="AE84" s="38">
        <v>2.050805E-2</v>
      </c>
      <c r="AF84" s="36">
        <f t="shared" si="21"/>
        <v>2.0075923107839011E-2</v>
      </c>
    </row>
    <row r="85" spans="2:32" outlineLevel="1" x14ac:dyDescent="0.25">
      <c r="B85" s="38">
        <v>2.358E-2</v>
      </c>
      <c r="C85" s="37">
        <f t="shared" si="11"/>
        <v>4.4829826776671133E-4</v>
      </c>
      <c r="E85" s="40">
        <v>45611</v>
      </c>
      <c r="F85" s="38">
        <v>1.2042284E-2</v>
      </c>
      <c r="G85" s="38">
        <v>-6.9281459999999996E-3</v>
      </c>
      <c r="H85" s="36">
        <f t="shared" si="12"/>
        <v>1.1593985732233289E-2</v>
      </c>
      <c r="I85" s="36">
        <f t="shared" si="13"/>
        <v>-7.3764442677667109E-3</v>
      </c>
      <c r="O85" s="38">
        <v>1.3080239E-2</v>
      </c>
      <c r="P85" s="36">
        <f t="shared" si="14"/>
        <v>1.2631940732233289E-2</v>
      </c>
      <c r="Q85" s="38">
        <v>-7.4371100000000002E-3</v>
      </c>
      <c r="R85" s="36">
        <f t="shared" si="14"/>
        <v>-7.8854082677667116E-3</v>
      </c>
      <c r="S85" s="38">
        <v>0.11654626999999999</v>
      </c>
      <c r="T85" s="36">
        <f t="shared" si="15"/>
        <v>0.11609797173223328</v>
      </c>
      <c r="U85" s="38">
        <v>5.0309895999999998E-3</v>
      </c>
      <c r="V85" s="36">
        <f t="shared" si="16"/>
        <v>4.5826913322332885E-3</v>
      </c>
      <c r="W85" s="38">
        <v>1.1268139E-2</v>
      </c>
      <c r="X85" s="36">
        <f t="shared" si="17"/>
        <v>1.0819840732233289E-2</v>
      </c>
      <c r="Y85" s="38">
        <v>2.4033546000000003E-2</v>
      </c>
      <c r="Z85" s="36">
        <f t="shared" si="18"/>
        <v>2.3585247732233292E-2</v>
      </c>
      <c r="AA85" s="38">
        <v>1.936388E-2</v>
      </c>
      <c r="AB85" s="36">
        <f t="shared" si="19"/>
        <v>1.8915581732233289E-2</v>
      </c>
      <c r="AC85" s="38">
        <v>4.7115325999999999E-2</v>
      </c>
      <c r="AD85" s="36">
        <f t="shared" si="20"/>
        <v>4.6667027732233288E-2</v>
      </c>
      <c r="AE85" s="38">
        <v>-1.8077195000000001E-2</v>
      </c>
      <c r="AF85" s="36">
        <f t="shared" si="21"/>
        <v>-1.8525493267766712E-2</v>
      </c>
    </row>
    <row r="86" spans="2:32" outlineLevel="1" x14ac:dyDescent="0.25">
      <c r="B86" s="38">
        <v>2.358E-2</v>
      </c>
      <c r="C86" s="37">
        <f t="shared" si="11"/>
        <v>4.4829826776671133E-4</v>
      </c>
      <c r="E86" s="40">
        <v>45604</v>
      </c>
      <c r="F86" s="38">
        <v>-9.4937679999999997E-3</v>
      </c>
      <c r="G86" s="38">
        <v>-8.3577630000000007E-3</v>
      </c>
      <c r="H86" s="36">
        <f t="shared" si="12"/>
        <v>-9.942066267766711E-3</v>
      </c>
      <c r="I86" s="36">
        <f t="shared" si="13"/>
        <v>-8.806061267766712E-3</v>
      </c>
      <c r="O86" s="38">
        <v>-1.4618039000000001E-2</v>
      </c>
      <c r="P86" s="36">
        <f t="shared" si="14"/>
        <v>-1.5066337267766712E-2</v>
      </c>
      <c r="Q86" s="38">
        <v>-4.0087879999999999E-2</v>
      </c>
      <c r="R86" s="36">
        <f t="shared" si="14"/>
        <v>-4.0536178267766711E-2</v>
      </c>
      <c r="S86" s="38">
        <v>-2.9933095E-2</v>
      </c>
      <c r="T86" s="36">
        <f t="shared" si="15"/>
        <v>-3.0381393267766711E-2</v>
      </c>
      <c r="U86" s="38">
        <v>-7.6271240000000004E-2</v>
      </c>
      <c r="V86" s="36">
        <f t="shared" si="16"/>
        <v>-7.6719538267766715E-2</v>
      </c>
      <c r="W86" s="38">
        <v>-6.4164456999999994E-2</v>
      </c>
      <c r="X86" s="36">
        <f t="shared" si="17"/>
        <v>-6.4612755267766706E-2</v>
      </c>
      <c r="Y86" s="38">
        <v>8.3371399999999998E-2</v>
      </c>
      <c r="Z86" s="36">
        <f t="shared" si="18"/>
        <v>8.2923101732233287E-2</v>
      </c>
      <c r="AA86" s="38">
        <v>3.1080008000000003E-2</v>
      </c>
      <c r="AB86" s="36">
        <f t="shared" si="19"/>
        <v>3.0631709732233291E-2</v>
      </c>
      <c r="AC86" s="38">
        <v>0.10080600000000001</v>
      </c>
      <c r="AD86" s="36">
        <f t="shared" si="20"/>
        <v>0.1003577017322333</v>
      </c>
      <c r="AE86" s="38">
        <v>-8.1829370000000012E-2</v>
      </c>
      <c r="AF86" s="36">
        <f t="shared" si="21"/>
        <v>-8.2277668267766724E-2</v>
      </c>
    </row>
    <row r="87" spans="2:32" outlineLevel="1" x14ac:dyDescent="0.25">
      <c r="B87" s="38">
        <v>2.3869999999999999E-2</v>
      </c>
      <c r="C87" s="37">
        <f t="shared" si="11"/>
        <v>4.5374840177414555E-4</v>
      </c>
      <c r="E87" s="40">
        <v>45597</v>
      </c>
      <c r="F87" s="38">
        <v>-4.6867666000000002E-2</v>
      </c>
      <c r="G87" s="38">
        <v>-1.5246451000000001E-2</v>
      </c>
      <c r="H87" s="36">
        <f t="shared" si="12"/>
        <v>-4.7321414401774148E-2</v>
      </c>
      <c r="I87" s="36">
        <f t="shared" si="13"/>
        <v>-1.5700199401774147E-2</v>
      </c>
      <c r="O87" s="38">
        <v>4.1035413999999997E-3</v>
      </c>
      <c r="P87" s="36">
        <f t="shared" si="14"/>
        <v>3.6497929982258542E-3</v>
      </c>
      <c r="Q87" s="38">
        <v>-6.1823790000000003E-2</v>
      </c>
      <c r="R87" s="36">
        <f t="shared" si="14"/>
        <v>-6.2277538401774149E-2</v>
      </c>
      <c r="S87" s="38">
        <v>8.1741810000000008E-3</v>
      </c>
      <c r="T87" s="36">
        <f t="shared" si="15"/>
        <v>7.7204325982258553E-3</v>
      </c>
      <c r="U87" s="38">
        <v>-3.7368356999999998E-2</v>
      </c>
      <c r="V87" s="36">
        <f t="shared" si="16"/>
        <v>-3.7822105401774143E-2</v>
      </c>
      <c r="W87" s="38">
        <v>-3.1839430000000002E-2</v>
      </c>
      <c r="X87" s="36">
        <f t="shared" si="17"/>
        <v>-3.2293178401774147E-2</v>
      </c>
      <c r="Y87" s="38">
        <v>-7.8273295999999992E-2</v>
      </c>
      <c r="Z87" s="36">
        <f t="shared" si="18"/>
        <v>-7.8727044401774138E-2</v>
      </c>
      <c r="AA87" s="38">
        <v>-1.701653E-3</v>
      </c>
      <c r="AB87" s="36">
        <f t="shared" si="19"/>
        <v>-2.1554014017741456E-3</v>
      </c>
      <c r="AC87" s="38">
        <v>-2.2896169999999997E-2</v>
      </c>
      <c r="AD87" s="36">
        <f t="shared" si="20"/>
        <v>-2.3349918401774142E-2</v>
      </c>
      <c r="AE87" s="38">
        <v>-5.3333640000000002E-3</v>
      </c>
      <c r="AF87" s="36">
        <f t="shared" si="21"/>
        <v>-5.7871124017741457E-3</v>
      </c>
    </row>
    <row r="88" spans="2:32" outlineLevel="1" x14ac:dyDescent="0.25">
      <c r="B88" s="38">
        <v>2.2860000000000002E-2</v>
      </c>
      <c r="C88" s="37">
        <f t="shared" si="11"/>
        <v>4.347603503098707E-4</v>
      </c>
      <c r="E88" s="40">
        <v>45590</v>
      </c>
      <c r="F88" s="38">
        <v>6.4723252999999994E-2</v>
      </c>
      <c r="G88" s="38">
        <v>-1.1771619000000001E-2</v>
      </c>
      <c r="H88" s="36">
        <f t="shared" si="12"/>
        <v>6.4288492649690124E-2</v>
      </c>
      <c r="I88" s="36">
        <f t="shared" si="13"/>
        <v>-1.2206379350309871E-2</v>
      </c>
      <c r="O88" s="38">
        <v>4.0052532999999994E-2</v>
      </c>
      <c r="P88" s="36">
        <f t="shared" si="14"/>
        <v>3.9617772649690124E-2</v>
      </c>
      <c r="Q88" s="38">
        <v>1.1991620000000001E-2</v>
      </c>
      <c r="R88" s="36">
        <f t="shared" si="14"/>
        <v>1.1556859649690131E-2</v>
      </c>
      <c r="S88" s="38">
        <v>-1.2688458E-2</v>
      </c>
      <c r="T88" s="36">
        <f t="shared" si="15"/>
        <v>-1.312321835030987E-2</v>
      </c>
      <c r="U88" s="38">
        <v>1.1983991000000001E-2</v>
      </c>
      <c r="V88" s="36">
        <f t="shared" si="16"/>
        <v>1.154923064969013E-2</v>
      </c>
      <c r="W88" s="38">
        <v>8.5514783999999996E-3</v>
      </c>
      <c r="X88" s="36">
        <f t="shared" si="17"/>
        <v>8.1167180496901289E-3</v>
      </c>
      <c r="Y88" s="38">
        <v>-3.0887127000000001E-4</v>
      </c>
      <c r="Z88" s="36">
        <f t="shared" si="18"/>
        <v>-7.4363162030987077E-4</v>
      </c>
      <c r="AA88" s="38">
        <v>4.6684741999999998E-3</v>
      </c>
      <c r="AB88" s="36">
        <f t="shared" si="19"/>
        <v>4.2337138496901291E-3</v>
      </c>
      <c r="AC88" s="38">
        <v>6.1305164999999995E-2</v>
      </c>
      <c r="AD88" s="36">
        <f t="shared" si="20"/>
        <v>6.0870404649690124E-2</v>
      </c>
      <c r="AE88" s="38">
        <v>-2.1728396000000001E-2</v>
      </c>
      <c r="AF88" s="36">
        <f t="shared" si="21"/>
        <v>-2.2163156350309871E-2</v>
      </c>
    </row>
    <row r="89" spans="2:32" outlineLevel="1" x14ac:dyDescent="0.25">
      <c r="B89" s="38">
        <v>2.1869999999999997E-2</v>
      </c>
      <c r="C89" s="37">
        <f t="shared" si="11"/>
        <v>4.1613044528365783E-4</v>
      </c>
      <c r="E89" s="40">
        <v>45583</v>
      </c>
      <c r="F89" s="38">
        <v>2.8978109999999998E-2</v>
      </c>
      <c r="G89" s="38">
        <v>5.7665109999999993E-3</v>
      </c>
      <c r="H89" s="36">
        <f t="shared" si="12"/>
        <v>2.856197955471634E-2</v>
      </c>
      <c r="I89" s="36">
        <f t="shared" si="13"/>
        <v>5.3503805547163415E-3</v>
      </c>
      <c r="O89" s="38">
        <v>2.7665377000000001E-2</v>
      </c>
      <c r="P89" s="36">
        <f t="shared" si="14"/>
        <v>2.7249246554716344E-2</v>
      </c>
      <c r="Q89" s="38">
        <v>-8.7854860000000003E-3</v>
      </c>
      <c r="R89" s="36">
        <f t="shared" si="14"/>
        <v>-9.2016164452836582E-3</v>
      </c>
      <c r="S89" s="38">
        <v>3.6460160000000002E-3</v>
      </c>
      <c r="T89" s="36">
        <f t="shared" si="15"/>
        <v>3.2298855547163424E-3</v>
      </c>
      <c r="U89" s="38">
        <v>-8.9733599999999997E-3</v>
      </c>
      <c r="V89" s="36">
        <f t="shared" si="16"/>
        <v>-9.3894904452836575E-3</v>
      </c>
      <c r="W89" s="38">
        <v>-8.9934469999999999E-3</v>
      </c>
      <c r="X89" s="36">
        <f t="shared" si="17"/>
        <v>-9.4095774452836577E-3</v>
      </c>
      <c r="Y89" s="38">
        <v>4.3697E-2</v>
      </c>
      <c r="Z89" s="36">
        <f t="shared" si="18"/>
        <v>4.3280869554716342E-2</v>
      </c>
      <c r="AA89" s="38">
        <v>1.9470452999999998E-3</v>
      </c>
      <c r="AB89" s="36">
        <f t="shared" si="19"/>
        <v>1.5309148547163419E-3</v>
      </c>
      <c r="AC89" s="38">
        <v>3.5550714000000004E-2</v>
      </c>
      <c r="AD89" s="36">
        <f t="shared" si="20"/>
        <v>3.5134583554716346E-2</v>
      </c>
      <c r="AE89" s="38">
        <v>-1.0461152E-2</v>
      </c>
      <c r="AF89" s="36">
        <f t="shared" si="21"/>
        <v>-1.0877282445283657E-2</v>
      </c>
    </row>
    <row r="90" spans="2:32" outlineLevel="1" x14ac:dyDescent="0.25">
      <c r="B90" s="38">
        <v>2.2919999999999999E-2</v>
      </c>
      <c r="C90" s="37">
        <f t="shared" si="11"/>
        <v>4.3588886701417806E-4</v>
      </c>
      <c r="E90" s="40">
        <v>45576</v>
      </c>
      <c r="F90" s="38">
        <v>6.4105988000000003E-2</v>
      </c>
      <c r="G90" s="38">
        <v>6.5951349999999994E-3</v>
      </c>
      <c r="H90" s="36">
        <f t="shared" si="12"/>
        <v>6.3670099132985825E-2</v>
      </c>
      <c r="I90" s="36">
        <f t="shared" si="13"/>
        <v>6.1592461329858213E-3</v>
      </c>
      <c r="O90" s="38">
        <v>-2.1782159999999998E-2</v>
      </c>
      <c r="P90" s="36">
        <f t="shared" si="14"/>
        <v>-2.2218048867014176E-2</v>
      </c>
      <c r="Q90" s="38">
        <v>-2.0749032000000001E-2</v>
      </c>
      <c r="R90" s="36">
        <f t="shared" si="14"/>
        <v>-2.1184920867014179E-2</v>
      </c>
      <c r="S90" s="38">
        <v>-4.609978E-2</v>
      </c>
      <c r="T90" s="36">
        <f t="shared" si="15"/>
        <v>-4.6535668867014178E-2</v>
      </c>
      <c r="U90" s="38">
        <v>-2.5462984999999997E-2</v>
      </c>
      <c r="V90" s="36">
        <f t="shared" si="16"/>
        <v>-2.5898873867014175E-2</v>
      </c>
      <c r="W90" s="38">
        <v>8.7229013000000005E-3</v>
      </c>
      <c r="X90" s="36">
        <f t="shared" si="17"/>
        <v>8.2870124329858224E-3</v>
      </c>
      <c r="Y90" s="38">
        <v>1.6554117E-2</v>
      </c>
      <c r="Z90" s="36">
        <f t="shared" si="18"/>
        <v>1.6118228132985822E-2</v>
      </c>
      <c r="AA90" s="38">
        <v>-1.2028515E-2</v>
      </c>
      <c r="AB90" s="36">
        <f t="shared" si="19"/>
        <v>-1.2464403867014178E-2</v>
      </c>
      <c r="AC90" s="38">
        <v>5.0383806000000003E-2</v>
      </c>
      <c r="AD90" s="36">
        <f t="shared" si="20"/>
        <v>4.9947917132985825E-2</v>
      </c>
      <c r="AE90" s="38">
        <v>-9.4493029999999992E-3</v>
      </c>
      <c r="AF90" s="36">
        <f t="shared" si="21"/>
        <v>-9.8851918670141772E-3</v>
      </c>
    </row>
    <row r="91" spans="2:32" outlineLevel="1" x14ac:dyDescent="0.25">
      <c r="B91" s="38">
        <v>2.215E-2</v>
      </c>
      <c r="C91" s="37">
        <f t="shared" si="11"/>
        <v>4.2140130399492826E-4</v>
      </c>
      <c r="E91" s="40">
        <v>45569</v>
      </c>
      <c r="F91" s="38">
        <v>-0.10462581999999999</v>
      </c>
      <c r="G91" s="38">
        <v>-1.8027603999999999E-2</v>
      </c>
      <c r="H91" s="36">
        <f t="shared" si="12"/>
        <v>-0.10504722130399492</v>
      </c>
      <c r="I91" s="36">
        <f t="shared" si="13"/>
        <v>-1.8449005303994927E-2</v>
      </c>
      <c r="O91" s="38">
        <v>-0.1670103</v>
      </c>
      <c r="P91" s="36">
        <f t="shared" si="14"/>
        <v>-0.16743170130399493</v>
      </c>
      <c r="Q91" s="38">
        <v>-5.7251929999999999E-2</v>
      </c>
      <c r="R91" s="36">
        <f t="shared" si="14"/>
        <v>-5.7673331303994928E-2</v>
      </c>
      <c r="S91" s="38">
        <v>-5.1175775999999999E-2</v>
      </c>
      <c r="T91" s="36">
        <f t="shared" si="15"/>
        <v>-5.1597177303994927E-2</v>
      </c>
      <c r="U91" s="38">
        <v>-4.1656374999999995E-2</v>
      </c>
      <c r="V91" s="36">
        <f t="shared" si="16"/>
        <v>-4.2077776303994924E-2</v>
      </c>
      <c r="W91" s="38">
        <v>-3.6476730999999998E-2</v>
      </c>
      <c r="X91" s="36">
        <f t="shared" si="17"/>
        <v>-3.6898132303994927E-2</v>
      </c>
      <c r="Y91" s="38">
        <v>-7.5417759999999996E-4</v>
      </c>
      <c r="Z91" s="36">
        <f t="shared" si="18"/>
        <v>-1.1755789039949282E-3</v>
      </c>
      <c r="AA91" s="38">
        <v>-7.854295E-2</v>
      </c>
      <c r="AB91" s="36">
        <f t="shared" si="19"/>
        <v>-7.8964351303994929E-2</v>
      </c>
      <c r="AC91" s="38">
        <v>1.5580653999999999E-3</v>
      </c>
      <c r="AD91" s="36">
        <f t="shared" si="20"/>
        <v>1.1366640960050716E-3</v>
      </c>
      <c r="AE91" s="38">
        <v>-5.1617203E-2</v>
      </c>
      <c r="AF91" s="36">
        <f t="shared" si="21"/>
        <v>-5.2038604303994929E-2</v>
      </c>
    </row>
    <row r="92" spans="2:32" outlineLevel="1" x14ac:dyDescent="0.25">
      <c r="B92" s="38">
        <v>2.1339999999999998E-2</v>
      </c>
      <c r="C92" s="37">
        <f t="shared" si="11"/>
        <v>4.0614958341778085E-4</v>
      </c>
      <c r="E92" s="40">
        <v>45562</v>
      </c>
      <c r="F92" s="38">
        <v>7.3303820000000006E-2</v>
      </c>
      <c r="G92" s="38">
        <v>2.6873589E-2</v>
      </c>
      <c r="H92" s="36">
        <f t="shared" si="12"/>
        <v>7.2897670416582225E-2</v>
      </c>
      <c r="I92" s="36">
        <f t="shared" si="13"/>
        <v>2.6467439416582219E-2</v>
      </c>
      <c r="O92" s="38">
        <v>8.0178150000000004E-2</v>
      </c>
      <c r="P92" s="36">
        <f t="shared" si="14"/>
        <v>7.9772000416582223E-2</v>
      </c>
      <c r="Q92" s="38">
        <v>9.0530760000000002E-2</v>
      </c>
      <c r="R92" s="36">
        <f t="shared" si="14"/>
        <v>9.0124610416582221E-2</v>
      </c>
      <c r="S92" s="38">
        <v>6.2812804999999999E-2</v>
      </c>
      <c r="T92" s="36">
        <f t="shared" si="15"/>
        <v>6.2406655416582218E-2</v>
      </c>
      <c r="U92" s="38">
        <v>0.10184681</v>
      </c>
      <c r="V92" s="36">
        <f t="shared" si="16"/>
        <v>0.10144066041658222</v>
      </c>
      <c r="W92" s="38">
        <v>8.1832999999999989E-2</v>
      </c>
      <c r="X92" s="36">
        <f t="shared" si="17"/>
        <v>8.1426850416582208E-2</v>
      </c>
      <c r="Y92" s="38">
        <v>-1.2381911000000001E-2</v>
      </c>
      <c r="Z92" s="36">
        <f t="shared" si="18"/>
        <v>-1.2788060583417781E-2</v>
      </c>
      <c r="AA92" s="38">
        <v>5.2650810000000006E-2</v>
      </c>
      <c r="AB92" s="36">
        <f t="shared" si="19"/>
        <v>5.2244660416582225E-2</v>
      </c>
      <c r="AC92" s="38">
        <v>-5.2162050000000001E-2</v>
      </c>
      <c r="AD92" s="36">
        <f t="shared" si="20"/>
        <v>-5.2568199583417782E-2</v>
      </c>
      <c r="AE92" s="38">
        <v>4.9780249999999998E-2</v>
      </c>
      <c r="AF92" s="36">
        <f t="shared" si="21"/>
        <v>4.9374100416582217E-2</v>
      </c>
    </row>
    <row r="93" spans="2:32" outlineLevel="1" x14ac:dyDescent="0.25">
      <c r="B93" s="38">
        <v>2.2179999999999998E-2</v>
      </c>
      <c r="C93" s="37">
        <f t="shared" si="11"/>
        <v>4.2196595486432287E-4</v>
      </c>
      <c r="E93" s="40">
        <v>45555</v>
      </c>
      <c r="F93" s="38">
        <v>-1.7117976999999999E-2</v>
      </c>
      <c r="G93" s="38">
        <v>-3.2755136000000001E-3</v>
      </c>
      <c r="H93" s="36">
        <f t="shared" si="12"/>
        <v>-1.7539942954864322E-2</v>
      </c>
      <c r="I93" s="36">
        <f t="shared" si="13"/>
        <v>-3.6974795548643229E-3</v>
      </c>
      <c r="O93" s="38">
        <v>-1.0577320999999999E-2</v>
      </c>
      <c r="P93" s="36">
        <f t="shared" si="14"/>
        <v>-1.0999286954864322E-2</v>
      </c>
      <c r="Q93" s="38">
        <v>-2.6835442000000001E-2</v>
      </c>
      <c r="R93" s="36">
        <f t="shared" si="14"/>
        <v>-2.7257407954864324E-2</v>
      </c>
      <c r="S93" s="38">
        <v>6.5191984000000005E-3</v>
      </c>
      <c r="T93" s="36">
        <f t="shared" si="15"/>
        <v>6.0972324451356776E-3</v>
      </c>
      <c r="U93" s="38">
        <v>4.3643713000000002E-3</v>
      </c>
      <c r="V93" s="36">
        <f t="shared" si="16"/>
        <v>3.9424053451356774E-3</v>
      </c>
      <c r="W93" s="38">
        <v>-3.0842423000000001E-2</v>
      </c>
      <c r="X93" s="36">
        <f t="shared" si="17"/>
        <v>-3.1264388954864324E-2</v>
      </c>
      <c r="Y93" s="38">
        <v>1.2841462999999999E-2</v>
      </c>
      <c r="Z93" s="36">
        <f t="shared" si="18"/>
        <v>1.2419497045135676E-2</v>
      </c>
      <c r="AA93" s="38">
        <v>3.9732932999999998E-2</v>
      </c>
      <c r="AB93" s="36">
        <f t="shared" si="19"/>
        <v>3.9310967045135675E-2</v>
      </c>
      <c r="AC93" s="38">
        <v>5.0607442999999995E-2</v>
      </c>
      <c r="AD93" s="36">
        <f t="shared" si="20"/>
        <v>5.0185477045135672E-2</v>
      </c>
      <c r="AE93" s="38">
        <v>2.4704932999999998E-2</v>
      </c>
      <c r="AF93" s="36">
        <f t="shared" si="21"/>
        <v>2.4282967045135675E-2</v>
      </c>
    </row>
    <row r="94" spans="2:32" outlineLevel="1" x14ac:dyDescent="0.25">
      <c r="B94" s="38">
        <v>2.154E-2</v>
      </c>
      <c r="C94" s="37">
        <f t="shared" si="11"/>
        <v>4.0991654302025005E-4</v>
      </c>
      <c r="E94" s="40">
        <v>45548</v>
      </c>
      <c r="F94" s="38">
        <v>-2.9747188000000001E-2</v>
      </c>
      <c r="G94" s="38">
        <v>1.8536805999999999E-2</v>
      </c>
      <c r="H94" s="36">
        <f t="shared" si="12"/>
        <v>-3.0157104543020251E-2</v>
      </c>
      <c r="I94" s="36">
        <f t="shared" si="13"/>
        <v>1.8126889456979749E-2</v>
      </c>
      <c r="O94" s="38">
        <v>-3.1721175000000004E-2</v>
      </c>
      <c r="P94" s="36">
        <f t="shared" si="14"/>
        <v>-3.2131091543020254E-2</v>
      </c>
      <c r="Q94" s="38">
        <v>2.278614E-2</v>
      </c>
      <c r="R94" s="36">
        <f t="shared" si="14"/>
        <v>2.237622345697975E-2</v>
      </c>
      <c r="S94" s="38">
        <v>-4.44926E-2</v>
      </c>
      <c r="T94" s="36">
        <f t="shared" si="15"/>
        <v>-4.490251654302025E-2</v>
      </c>
      <c r="U94" s="38">
        <v>-6.2404036999999996E-2</v>
      </c>
      <c r="V94" s="36">
        <f t="shared" si="16"/>
        <v>-6.2813953543020246E-2</v>
      </c>
      <c r="W94" s="38">
        <v>-2.9255748000000002E-2</v>
      </c>
      <c r="X94" s="36">
        <f t="shared" si="17"/>
        <v>-2.9665664543020252E-2</v>
      </c>
      <c r="Y94" s="38">
        <v>1.326716E-2</v>
      </c>
      <c r="Z94" s="36">
        <f t="shared" si="18"/>
        <v>1.285724345697975E-2</v>
      </c>
      <c r="AA94" s="38">
        <v>-3.5418807999999996E-2</v>
      </c>
      <c r="AB94" s="36">
        <f t="shared" si="19"/>
        <v>-3.5828724543020246E-2</v>
      </c>
      <c r="AC94" s="38">
        <v>-1.5029252E-2</v>
      </c>
      <c r="AD94" s="36">
        <f t="shared" si="20"/>
        <v>-1.543916854302025E-2</v>
      </c>
      <c r="AE94" s="38">
        <v>-2.219057E-2</v>
      </c>
      <c r="AF94" s="36">
        <f t="shared" si="21"/>
        <v>-2.260048654302025E-2</v>
      </c>
    </row>
    <row r="95" spans="2:32" outlineLevel="1" x14ac:dyDescent="0.25">
      <c r="B95" s="38">
        <v>2.1819999999999999E-2</v>
      </c>
      <c r="C95" s="37">
        <f t="shared" si="11"/>
        <v>4.1518907146032014E-4</v>
      </c>
      <c r="E95" s="40">
        <v>45541</v>
      </c>
      <c r="F95" s="38">
        <v>-6.0768365999999997E-2</v>
      </c>
      <c r="G95" s="38">
        <v>-3.5215676000000001E-2</v>
      </c>
      <c r="H95" s="36">
        <f t="shared" si="12"/>
        <v>-6.1183555071460317E-2</v>
      </c>
      <c r="I95" s="36">
        <f t="shared" si="13"/>
        <v>-3.5630865071460321E-2</v>
      </c>
      <c r="O95" s="38">
        <v>-7.1211456999999992E-2</v>
      </c>
      <c r="P95" s="36">
        <f t="shared" si="14"/>
        <v>-7.1626646071460312E-2</v>
      </c>
      <c r="Q95" s="38">
        <v>-4.4059396000000001E-2</v>
      </c>
      <c r="R95" s="36">
        <f t="shared" si="14"/>
        <v>-4.4474585071460321E-2</v>
      </c>
      <c r="S95" s="38">
        <v>-6.7158340000000004E-3</v>
      </c>
      <c r="T95" s="36">
        <f t="shared" si="15"/>
        <v>-7.1310230714603205E-3</v>
      </c>
      <c r="U95" s="38">
        <v>-6.7048492000000001E-2</v>
      </c>
      <c r="V95" s="36">
        <f t="shared" si="16"/>
        <v>-6.7463681071460321E-2</v>
      </c>
      <c r="W95" s="38">
        <v>-6.2399745E-2</v>
      </c>
      <c r="X95" s="36">
        <f t="shared" si="17"/>
        <v>-6.2814934071460327E-2</v>
      </c>
      <c r="Y95" s="38">
        <v>-5.8891590000000001E-2</v>
      </c>
      <c r="Z95" s="36">
        <f t="shared" si="18"/>
        <v>-5.9306779071460321E-2</v>
      </c>
      <c r="AA95" s="38">
        <v>-4.6907783000000002E-2</v>
      </c>
      <c r="AB95" s="36">
        <f t="shared" si="19"/>
        <v>-4.7322972071460322E-2</v>
      </c>
      <c r="AC95" s="38">
        <v>-5.7418823000000001E-2</v>
      </c>
      <c r="AD95" s="36">
        <f t="shared" si="20"/>
        <v>-5.7834012071460321E-2</v>
      </c>
      <c r="AE95" s="38">
        <v>-2.0384370999999998E-2</v>
      </c>
      <c r="AF95" s="36">
        <f t="shared" si="21"/>
        <v>-2.0799560071460318E-2</v>
      </c>
    </row>
    <row r="96" spans="2:32" outlineLevel="1" x14ac:dyDescent="0.25">
      <c r="B96" s="38">
        <v>2.2789999999999998E-2</v>
      </c>
      <c r="C96" s="37">
        <f t="shared" si="11"/>
        <v>4.3344366542741319E-4</v>
      </c>
      <c r="E96" s="40">
        <v>45534</v>
      </c>
      <c r="F96" s="38">
        <v>-5.0960780000000004E-3</v>
      </c>
      <c r="G96" s="38">
        <v>1.3355732E-2</v>
      </c>
      <c r="H96" s="36">
        <f t="shared" si="12"/>
        <v>-5.5295216654274136E-3</v>
      </c>
      <c r="I96" s="36">
        <f t="shared" si="13"/>
        <v>1.2922288334572587E-2</v>
      </c>
      <c r="O96" s="38">
        <v>1.1492729E-2</v>
      </c>
      <c r="P96" s="36">
        <f t="shared" si="14"/>
        <v>1.1059285334572587E-2</v>
      </c>
      <c r="Q96" s="38">
        <v>-4.4465422999999997E-2</v>
      </c>
      <c r="R96" s="36">
        <f t="shared" si="14"/>
        <v>-4.489886666542741E-2</v>
      </c>
      <c r="S96" s="38">
        <v>-3.0559063000000001E-2</v>
      </c>
      <c r="T96" s="36">
        <f t="shared" si="15"/>
        <v>-3.0992506665427414E-2</v>
      </c>
      <c r="U96" s="38">
        <v>-7.5775384999999997E-3</v>
      </c>
      <c r="V96" s="36">
        <f t="shared" si="16"/>
        <v>-8.0109821654274129E-3</v>
      </c>
      <c r="W96" s="38">
        <v>4.0264129999999995E-3</v>
      </c>
      <c r="X96" s="36">
        <f t="shared" si="17"/>
        <v>3.5929693345725863E-3</v>
      </c>
      <c r="Y96" s="38">
        <v>2.7236938E-3</v>
      </c>
      <c r="Z96" s="36">
        <f t="shared" si="18"/>
        <v>2.2902501345725868E-3</v>
      </c>
      <c r="AA96" s="38">
        <v>3.5899042999999999E-2</v>
      </c>
      <c r="AB96" s="36">
        <f t="shared" si="19"/>
        <v>3.5465599334572585E-2</v>
      </c>
      <c r="AC96" s="38">
        <v>3.5051345999999997E-2</v>
      </c>
      <c r="AD96" s="36">
        <f t="shared" si="20"/>
        <v>3.4617902334572584E-2</v>
      </c>
      <c r="AE96" s="38">
        <v>1.3186336E-2</v>
      </c>
      <c r="AF96" s="36">
        <f t="shared" si="21"/>
        <v>1.2752892334572587E-2</v>
      </c>
    </row>
    <row r="97" spans="2:32" outlineLevel="1" x14ac:dyDescent="0.25">
      <c r="B97" s="38">
        <v>2.2269999999999998E-2</v>
      </c>
      <c r="C97" s="37">
        <f t="shared" si="11"/>
        <v>4.2365980995828778E-4</v>
      </c>
      <c r="E97" s="40">
        <v>45527</v>
      </c>
      <c r="F97" s="38">
        <v>4.3005585999999998E-2</v>
      </c>
      <c r="G97" s="38">
        <v>1.3060927E-2</v>
      </c>
      <c r="H97" s="36">
        <f t="shared" si="12"/>
        <v>4.2581926190041711E-2</v>
      </c>
      <c r="I97" s="36">
        <f t="shared" si="13"/>
        <v>1.2637267190041712E-2</v>
      </c>
      <c r="O97" s="38">
        <v>4.1765213000000002E-2</v>
      </c>
      <c r="P97" s="36">
        <f t="shared" si="14"/>
        <v>4.1341553190041715E-2</v>
      </c>
      <c r="Q97" s="38">
        <v>4.2406319999999997E-2</v>
      </c>
      <c r="R97" s="36">
        <f t="shared" si="14"/>
        <v>4.198266019004171E-2</v>
      </c>
      <c r="S97" s="38">
        <v>-5.9843062999999995E-5</v>
      </c>
      <c r="T97" s="36">
        <f t="shared" si="15"/>
        <v>-4.8350287295828776E-4</v>
      </c>
      <c r="U97" s="38">
        <v>3.3276199999999999E-2</v>
      </c>
      <c r="V97" s="36">
        <f t="shared" si="16"/>
        <v>3.2852540190041711E-2</v>
      </c>
      <c r="W97" s="38">
        <v>3.3283353000000002E-2</v>
      </c>
      <c r="X97" s="36">
        <f t="shared" si="17"/>
        <v>3.2859693190041714E-2</v>
      </c>
      <c r="Y97" s="38">
        <v>5.4325939999999996E-2</v>
      </c>
      <c r="Z97" s="36">
        <f t="shared" si="18"/>
        <v>5.3902280190041708E-2</v>
      </c>
      <c r="AA97" s="38">
        <v>-2.0398855E-2</v>
      </c>
      <c r="AB97" s="36">
        <f t="shared" si="19"/>
        <v>-2.0822514809958288E-2</v>
      </c>
      <c r="AC97" s="38">
        <v>5.373609E-2</v>
      </c>
      <c r="AD97" s="36">
        <f t="shared" si="20"/>
        <v>5.3312430190041712E-2</v>
      </c>
      <c r="AE97" s="38">
        <v>-1.3678074000000001E-3</v>
      </c>
      <c r="AF97" s="36">
        <f t="shared" si="21"/>
        <v>-1.7914672099582879E-3</v>
      </c>
    </row>
    <row r="98" spans="2:32" outlineLevel="1" x14ac:dyDescent="0.25">
      <c r="B98" s="38">
        <v>2.2509999999999999E-2</v>
      </c>
      <c r="C98" s="37">
        <f t="shared" si="11"/>
        <v>4.2817604193601255E-4</v>
      </c>
      <c r="E98" s="40">
        <v>45520</v>
      </c>
      <c r="F98" s="38">
        <v>2.0966887E-2</v>
      </c>
      <c r="G98" s="38">
        <v>2.4559855000000002E-2</v>
      </c>
      <c r="H98" s="36">
        <f t="shared" si="12"/>
        <v>2.0538710958063987E-2</v>
      </c>
      <c r="I98" s="36">
        <f t="shared" si="13"/>
        <v>2.4131678958063989E-2</v>
      </c>
      <c r="O98" s="38">
        <v>2.1473289000000003E-2</v>
      </c>
      <c r="P98" s="36">
        <f t="shared" si="14"/>
        <v>2.104511295806399E-2</v>
      </c>
      <c r="Q98" s="38">
        <v>-2.9498340000000001E-3</v>
      </c>
      <c r="R98" s="36">
        <f t="shared" si="14"/>
        <v>-3.3780100419360127E-3</v>
      </c>
      <c r="S98" s="38">
        <v>6.3090204999999996E-2</v>
      </c>
      <c r="T98" s="36">
        <f t="shared" si="15"/>
        <v>6.2662028958063984E-2</v>
      </c>
      <c r="U98" s="38">
        <v>2.5596022999999999E-2</v>
      </c>
      <c r="V98" s="36">
        <f t="shared" si="16"/>
        <v>2.5167846958063986E-2</v>
      </c>
      <c r="W98" s="38">
        <v>3.9439559999999999E-2</v>
      </c>
      <c r="X98" s="36">
        <f t="shared" si="17"/>
        <v>3.9011383958063986E-2</v>
      </c>
      <c r="Y98" s="38">
        <v>3.4156084000000003E-2</v>
      </c>
      <c r="Z98" s="36">
        <f t="shared" si="18"/>
        <v>3.3727907958063991E-2</v>
      </c>
      <c r="AA98" s="38">
        <v>0.10383093</v>
      </c>
      <c r="AB98" s="36">
        <f t="shared" si="19"/>
        <v>0.10340275395806399</v>
      </c>
      <c r="AC98" s="38">
        <v>3.5869718000000002E-2</v>
      </c>
      <c r="AD98" s="36">
        <f t="shared" si="20"/>
        <v>3.5441541958063989E-2</v>
      </c>
      <c r="AE98" s="38">
        <v>9.8067045000000005E-2</v>
      </c>
      <c r="AF98" s="36">
        <f t="shared" si="21"/>
        <v>9.7638868958063993E-2</v>
      </c>
    </row>
    <row r="99" spans="2:32" outlineLevel="1" x14ac:dyDescent="0.25">
      <c r="B99" s="38">
        <v>2.2189999999999998E-2</v>
      </c>
      <c r="C99" s="37">
        <f t="shared" si="11"/>
        <v>4.2215416820901019E-4</v>
      </c>
      <c r="E99" s="40">
        <v>45513</v>
      </c>
      <c r="F99" s="38">
        <v>-3.1996190000000001E-2</v>
      </c>
      <c r="G99" s="38">
        <v>2.6915073000000002E-3</v>
      </c>
      <c r="H99" s="36">
        <f t="shared" si="12"/>
        <v>-3.2418344168209011E-2</v>
      </c>
      <c r="I99" s="36">
        <f t="shared" si="13"/>
        <v>2.26935313179099E-3</v>
      </c>
      <c r="O99" s="38">
        <v>-4.2222795E-2</v>
      </c>
      <c r="P99" s="36">
        <f t="shared" si="14"/>
        <v>-4.2644949168209011E-2</v>
      </c>
      <c r="Q99" s="38">
        <v>-2.0231246999999997E-2</v>
      </c>
      <c r="R99" s="36">
        <f t="shared" si="14"/>
        <v>-2.0653401168209008E-2</v>
      </c>
      <c r="S99" s="38">
        <v>-7.1754990000000005E-2</v>
      </c>
      <c r="T99" s="36">
        <f t="shared" si="15"/>
        <v>-7.2177144168209015E-2</v>
      </c>
      <c r="U99" s="38">
        <v>-2.875948E-2</v>
      </c>
      <c r="V99" s="36">
        <f t="shared" si="16"/>
        <v>-2.9181634168209011E-2</v>
      </c>
      <c r="W99" s="38">
        <v>-8.4047914000000001E-3</v>
      </c>
      <c r="X99" s="36">
        <f t="shared" si="17"/>
        <v>-8.8269455682090103E-3</v>
      </c>
      <c r="Y99" s="38">
        <v>6.9329739999999997E-3</v>
      </c>
      <c r="Z99" s="36">
        <f t="shared" si="18"/>
        <v>6.5108198317909895E-3</v>
      </c>
      <c r="AA99" s="38">
        <v>-5.2782654999999998E-2</v>
      </c>
      <c r="AB99" s="36">
        <f t="shared" si="19"/>
        <v>-5.3204809168209008E-2</v>
      </c>
      <c r="AC99" s="38">
        <v>5.6060432999999993E-2</v>
      </c>
      <c r="AD99" s="36">
        <f t="shared" si="20"/>
        <v>5.5638278831790983E-2</v>
      </c>
      <c r="AE99" s="38">
        <v>-6.6614209999999993E-2</v>
      </c>
      <c r="AF99" s="36">
        <f t="shared" si="21"/>
        <v>-6.7036364168209003E-2</v>
      </c>
    </row>
    <row r="100" spans="2:32" outlineLevel="1" x14ac:dyDescent="0.25">
      <c r="B100" s="38">
        <v>2.1579999999999998E-2</v>
      </c>
      <c r="C100" s="37">
        <f t="shared" ref="C100:C163" si="22">(1+B100)^(1/52)-1</f>
        <v>4.106698481414206E-4</v>
      </c>
      <c r="E100" s="40">
        <v>45506</v>
      </c>
      <c r="F100" s="38">
        <v>-4.4053849999999999E-2</v>
      </c>
      <c r="G100" s="38">
        <v>-2.9210508000000003E-2</v>
      </c>
      <c r="H100" s="36">
        <f t="shared" ref="H100:H163" si="23">F100-C100</f>
        <v>-4.4464519848141419E-2</v>
      </c>
      <c r="I100" s="36">
        <f t="shared" ref="I100:I163" si="24">G100-C100</f>
        <v>-2.9621177848141424E-2</v>
      </c>
      <c r="O100" s="38">
        <v>-9.1673909999999997E-2</v>
      </c>
      <c r="P100" s="36">
        <f t="shared" ref="P100:R163" si="25">O100-$C100</f>
        <v>-9.2084579848141418E-2</v>
      </c>
      <c r="Q100" s="38">
        <v>-5.7220696999999994E-2</v>
      </c>
      <c r="R100" s="36">
        <f t="shared" si="25"/>
        <v>-5.7631366848141415E-2</v>
      </c>
      <c r="S100" s="38">
        <v>-1.3285100000000001E-2</v>
      </c>
      <c r="T100" s="36">
        <f t="shared" ref="T100:T163" si="26">S100-$C100</f>
        <v>-1.3695769848141422E-2</v>
      </c>
      <c r="U100" s="38">
        <v>-6.2814053999999994E-2</v>
      </c>
      <c r="V100" s="36">
        <f t="shared" ref="V100:V163" si="27">U100-$C100</f>
        <v>-6.3224723848141415E-2</v>
      </c>
      <c r="W100" s="38">
        <v>-7.4896870000000004E-2</v>
      </c>
      <c r="X100" s="36">
        <f t="shared" ref="X100:X163" si="28">W100-$C100</f>
        <v>-7.5307539848141425E-2</v>
      </c>
      <c r="Y100" s="38">
        <v>-0.10912121000000001</v>
      </c>
      <c r="Z100" s="36">
        <f t="shared" ref="Z100:Z163" si="29">Y100-$C100</f>
        <v>-0.10953187984814143</v>
      </c>
      <c r="AA100" s="38">
        <v>-7.538640499999999E-2</v>
      </c>
      <c r="AB100" s="36">
        <f t="shared" ref="AB100:AB163" si="30">AA100-$C100</f>
        <v>-7.579707484814141E-2</v>
      </c>
      <c r="AC100" s="38">
        <v>-7.2544393999999998E-2</v>
      </c>
      <c r="AD100" s="36">
        <f t="shared" ref="AD100:AD163" si="31">AC100-$C100</f>
        <v>-7.2955063848141419E-2</v>
      </c>
      <c r="AE100" s="38">
        <v>1.9905566999999999E-3</v>
      </c>
      <c r="AF100" s="36">
        <f t="shared" ref="AF100:AF163" si="32">AE100-$C100</f>
        <v>1.5798868518585793E-3</v>
      </c>
    </row>
    <row r="101" spans="2:32" outlineLevel="1" x14ac:dyDescent="0.25">
      <c r="B101" s="38">
        <v>2.4029999999999999E-2</v>
      </c>
      <c r="C101" s="37">
        <f t="shared" si="22"/>
        <v>4.5675472420891872E-4</v>
      </c>
      <c r="E101" s="40">
        <v>45499</v>
      </c>
      <c r="F101" s="38">
        <v>-9.3523679999999998E-2</v>
      </c>
      <c r="G101" s="38">
        <v>5.4899454000000006E-3</v>
      </c>
      <c r="H101" s="36">
        <f t="shared" si="23"/>
        <v>-9.3980434724208917E-2</v>
      </c>
      <c r="I101" s="36">
        <f t="shared" si="24"/>
        <v>5.0331906757910818E-3</v>
      </c>
      <c r="O101" s="38">
        <v>-0.13011188000000001</v>
      </c>
      <c r="P101" s="36">
        <f t="shared" si="25"/>
        <v>-0.13056863472420893</v>
      </c>
      <c r="Q101" s="38">
        <v>-7.2137119999999997E-3</v>
      </c>
      <c r="R101" s="36">
        <f t="shared" si="25"/>
        <v>-7.6704667242089184E-3</v>
      </c>
      <c r="S101" s="38">
        <v>-0.11302108000000001</v>
      </c>
      <c r="T101" s="36">
        <f t="shared" si="26"/>
        <v>-0.11347783472420893</v>
      </c>
      <c r="U101" s="38">
        <v>-2.1457373999999998E-2</v>
      </c>
      <c r="V101" s="36">
        <f t="shared" si="27"/>
        <v>-2.1914128724208917E-2</v>
      </c>
      <c r="W101" s="38">
        <v>-8.0276729999999991E-3</v>
      </c>
      <c r="X101" s="36">
        <f t="shared" si="28"/>
        <v>-8.4844277242089178E-3</v>
      </c>
      <c r="Y101" s="38">
        <v>-0.19706392</v>
      </c>
      <c r="Z101" s="36">
        <f t="shared" si="29"/>
        <v>-0.19752067472420892</v>
      </c>
      <c r="AA101" s="38">
        <v>-4.5536519999999997E-2</v>
      </c>
      <c r="AB101" s="36">
        <f t="shared" si="30"/>
        <v>-4.5993274724208916E-2</v>
      </c>
      <c r="AC101" s="38">
        <v>-8.3681470000000008E-2</v>
      </c>
      <c r="AD101" s="36">
        <f t="shared" si="31"/>
        <v>-8.4138224724208927E-2</v>
      </c>
      <c r="AE101" s="38">
        <v>-2.391708E-2</v>
      </c>
      <c r="AF101" s="36">
        <f t="shared" si="32"/>
        <v>-2.4373834724208919E-2</v>
      </c>
    </row>
    <row r="102" spans="2:32" outlineLevel="1" x14ac:dyDescent="0.25">
      <c r="B102" s="38">
        <v>2.4639999999999999E-2</v>
      </c>
      <c r="C102" s="37">
        <f t="shared" si="22"/>
        <v>4.6821210374181632E-4</v>
      </c>
      <c r="E102" s="40">
        <v>45492</v>
      </c>
      <c r="F102" s="38">
        <v>-3.6867259999999999E-2</v>
      </c>
      <c r="G102" s="38">
        <v>-2.6808918000000001E-2</v>
      </c>
      <c r="H102" s="36">
        <f t="shared" si="23"/>
        <v>-3.7335472103741815E-2</v>
      </c>
      <c r="I102" s="36">
        <f t="shared" si="24"/>
        <v>-2.7277130103741817E-2</v>
      </c>
      <c r="O102" s="38">
        <v>-3.0042530000000001E-3</v>
      </c>
      <c r="P102" s="36">
        <f t="shared" si="25"/>
        <v>-3.4724651037418165E-3</v>
      </c>
      <c r="Q102" s="38">
        <v>-3.9826809999999997E-2</v>
      </c>
      <c r="R102" s="36">
        <f t="shared" si="25"/>
        <v>-4.0295022103741814E-2</v>
      </c>
      <c r="S102" s="38">
        <v>-2.4816870000000001E-2</v>
      </c>
      <c r="T102" s="36">
        <f t="shared" si="26"/>
        <v>-2.5285082103741818E-2</v>
      </c>
      <c r="U102" s="38">
        <v>-2.9290497000000002E-2</v>
      </c>
      <c r="V102" s="36">
        <f t="shared" si="27"/>
        <v>-2.9758709103741818E-2</v>
      </c>
      <c r="W102" s="38">
        <v>-1.9296049999999999E-2</v>
      </c>
      <c r="X102" s="36">
        <f t="shared" si="28"/>
        <v>-1.9764262103741815E-2</v>
      </c>
      <c r="Y102" s="38">
        <v>-1.7795562999999999E-3</v>
      </c>
      <c r="Z102" s="36">
        <f t="shared" si="29"/>
        <v>-2.2477684037418163E-3</v>
      </c>
      <c r="AA102" s="38">
        <v>-3.9007305999999999E-2</v>
      </c>
      <c r="AB102" s="36">
        <f t="shared" si="30"/>
        <v>-3.9475518103741815E-2</v>
      </c>
      <c r="AC102" s="38">
        <v>-1.2722135000000001E-2</v>
      </c>
      <c r="AD102" s="36">
        <f t="shared" si="31"/>
        <v>-1.3190347103741817E-2</v>
      </c>
      <c r="AE102" s="38">
        <v>-1.8749176999999999E-2</v>
      </c>
      <c r="AF102" s="36">
        <f t="shared" si="32"/>
        <v>-1.9217389103741815E-2</v>
      </c>
    </row>
    <row r="103" spans="2:32" outlineLevel="1" x14ac:dyDescent="0.25">
      <c r="B103" s="38">
        <v>2.4940000000000004E-2</v>
      </c>
      <c r="C103" s="37">
        <f t="shared" si="22"/>
        <v>4.7384442673581439E-4</v>
      </c>
      <c r="E103" s="40">
        <v>45485</v>
      </c>
      <c r="F103" s="38">
        <v>1.5968083999999998E-3</v>
      </c>
      <c r="G103" s="38">
        <v>1.4479398999999999E-2</v>
      </c>
      <c r="H103" s="36">
        <f t="shared" si="23"/>
        <v>1.1229639732641854E-3</v>
      </c>
      <c r="I103" s="36">
        <f t="shared" si="24"/>
        <v>1.4005554573264184E-2</v>
      </c>
      <c r="O103" s="38">
        <v>2.9379249E-2</v>
      </c>
      <c r="P103" s="36">
        <f t="shared" si="25"/>
        <v>2.8905404573264185E-2</v>
      </c>
      <c r="Q103" s="38">
        <v>2.8495072999999999E-2</v>
      </c>
      <c r="R103" s="36">
        <f t="shared" si="25"/>
        <v>2.8021228573264185E-2</v>
      </c>
      <c r="S103" s="38">
        <v>2.5486946E-3</v>
      </c>
      <c r="T103" s="36">
        <f t="shared" si="26"/>
        <v>2.0748501732641856E-3</v>
      </c>
      <c r="U103" s="38">
        <v>5.1083325999999998E-2</v>
      </c>
      <c r="V103" s="36">
        <f t="shared" si="27"/>
        <v>5.0609481573264184E-2</v>
      </c>
      <c r="W103" s="38">
        <v>-1.0539234E-2</v>
      </c>
      <c r="X103" s="36">
        <f t="shared" si="28"/>
        <v>-1.1013078426735814E-2</v>
      </c>
      <c r="Y103" s="38">
        <v>8.4115505000000007E-2</v>
      </c>
      <c r="Z103" s="36">
        <f t="shared" si="29"/>
        <v>8.3641660573264193E-2</v>
      </c>
      <c r="AA103" s="38">
        <v>-1.0907650000000001E-3</v>
      </c>
      <c r="AB103" s="36">
        <f t="shared" si="30"/>
        <v>-1.5646094267358144E-3</v>
      </c>
      <c r="AC103" s="38">
        <v>4.5268655000000005E-2</v>
      </c>
      <c r="AD103" s="36">
        <f t="shared" si="31"/>
        <v>4.479481057326419E-2</v>
      </c>
      <c r="AE103" s="38">
        <v>-4.5987368000000002E-3</v>
      </c>
      <c r="AF103" s="36">
        <f t="shared" si="32"/>
        <v>-5.0725812267358146E-3</v>
      </c>
    </row>
    <row r="104" spans="2:32" outlineLevel="1" x14ac:dyDescent="0.25">
      <c r="B104" s="38">
        <v>2.5600000000000001E-2</v>
      </c>
      <c r="C104" s="37">
        <f t="shared" si="22"/>
        <v>4.8622984804902458E-4</v>
      </c>
      <c r="E104" s="40">
        <v>45478</v>
      </c>
      <c r="F104" s="38">
        <v>4.7240734E-2</v>
      </c>
      <c r="G104" s="38">
        <v>1.0128616999999999E-2</v>
      </c>
      <c r="H104" s="36">
        <f t="shared" si="23"/>
        <v>4.6754504151950975E-2</v>
      </c>
      <c r="I104" s="36">
        <f t="shared" si="24"/>
        <v>9.6423871519509749E-3</v>
      </c>
      <c r="O104" s="38">
        <v>-1.9599319E-2</v>
      </c>
      <c r="P104" s="36">
        <f t="shared" si="25"/>
        <v>-2.0085548848049025E-2</v>
      </c>
      <c r="Q104" s="38">
        <v>1.7842053999999998E-3</v>
      </c>
      <c r="R104" s="36">
        <f t="shared" si="25"/>
        <v>1.2979755519509752E-3</v>
      </c>
      <c r="S104" s="38">
        <v>1.8634795999999999E-2</v>
      </c>
      <c r="T104" s="36">
        <f t="shared" si="26"/>
        <v>1.8148566151950974E-2</v>
      </c>
      <c r="U104" s="38">
        <v>-7.6940655999999993E-3</v>
      </c>
      <c r="V104" s="36">
        <f t="shared" si="27"/>
        <v>-8.1802954480490239E-3</v>
      </c>
      <c r="W104" s="38">
        <v>1.3938427E-2</v>
      </c>
      <c r="X104" s="36">
        <f t="shared" si="28"/>
        <v>1.3452197151950975E-2</v>
      </c>
      <c r="Y104" s="38">
        <v>1.3848901E-2</v>
      </c>
      <c r="Z104" s="36">
        <f t="shared" si="29"/>
        <v>1.3362671151950976E-2</v>
      </c>
      <c r="AA104" s="38">
        <v>-1.8250346000000001E-3</v>
      </c>
      <c r="AB104" s="36">
        <f t="shared" si="30"/>
        <v>-2.3112644480490245E-3</v>
      </c>
      <c r="AC104" s="38">
        <v>-8.5604189999999997E-3</v>
      </c>
      <c r="AD104" s="36">
        <f t="shared" si="31"/>
        <v>-9.0466488480490242E-3</v>
      </c>
      <c r="AE104" s="38">
        <v>-3.0682087E-3</v>
      </c>
      <c r="AF104" s="36">
        <f t="shared" si="32"/>
        <v>-3.5544385480490246E-3</v>
      </c>
    </row>
    <row r="105" spans="2:32" outlineLevel="1" x14ac:dyDescent="0.25">
      <c r="B105" s="38">
        <v>2.4680000000000001E-2</v>
      </c>
      <c r="C105" s="37">
        <f t="shared" si="22"/>
        <v>4.689631735808053E-4</v>
      </c>
      <c r="E105" s="40">
        <v>45471</v>
      </c>
      <c r="F105" s="38">
        <v>-1.6851603999999999E-2</v>
      </c>
      <c r="G105" s="38">
        <v>-7.1634649999999999E-3</v>
      </c>
      <c r="H105" s="36">
        <f t="shared" si="23"/>
        <v>-1.7320567173580804E-2</v>
      </c>
      <c r="I105" s="36">
        <f t="shared" si="24"/>
        <v>-7.6324281735808052E-3</v>
      </c>
      <c r="O105" s="38">
        <v>-2.9529214000000002E-2</v>
      </c>
      <c r="P105" s="36">
        <f t="shared" si="25"/>
        <v>-2.9998177173580807E-2</v>
      </c>
      <c r="Q105" s="38">
        <v>-1.7809868000000001E-3</v>
      </c>
      <c r="R105" s="36">
        <f t="shared" si="25"/>
        <v>-2.2499499735808056E-3</v>
      </c>
      <c r="S105" s="38">
        <v>-5.9314370000000003E-3</v>
      </c>
      <c r="T105" s="36">
        <f t="shared" si="26"/>
        <v>-6.4004001735808056E-3</v>
      </c>
      <c r="U105" s="38">
        <v>1.2835144999999999E-2</v>
      </c>
      <c r="V105" s="36">
        <f t="shared" si="27"/>
        <v>1.2366181826419194E-2</v>
      </c>
      <c r="W105" s="38">
        <v>1.4294744E-2</v>
      </c>
      <c r="X105" s="36">
        <f t="shared" si="28"/>
        <v>1.3825780826419195E-2</v>
      </c>
      <c r="Y105" s="38">
        <v>5.5613400000000007E-2</v>
      </c>
      <c r="Z105" s="36">
        <f t="shared" si="29"/>
        <v>5.5144436826419202E-2</v>
      </c>
      <c r="AA105" s="38">
        <v>5.8266640000000001E-2</v>
      </c>
      <c r="AB105" s="36">
        <f t="shared" si="30"/>
        <v>5.7797676826419196E-2</v>
      </c>
      <c r="AC105" s="38">
        <v>-2.9628992E-2</v>
      </c>
      <c r="AD105" s="36">
        <f t="shared" si="31"/>
        <v>-3.0097955173580805E-2</v>
      </c>
      <c r="AE105" s="38">
        <v>2.4527073E-2</v>
      </c>
      <c r="AF105" s="36">
        <f t="shared" si="32"/>
        <v>2.4058109826419195E-2</v>
      </c>
    </row>
    <row r="106" spans="2:32" outlineLevel="1" x14ac:dyDescent="0.25">
      <c r="B106" s="38">
        <v>2.4E-2</v>
      </c>
      <c r="C106" s="37">
        <f t="shared" si="22"/>
        <v>4.561910738456465E-4</v>
      </c>
      <c r="E106" s="40">
        <v>45464</v>
      </c>
      <c r="F106" s="38">
        <v>1.0801791999999999E-2</v>
      </c>
      <c r="G106" s="38">
        <v>7.9444647000000007E-3</v>
      </c>
      <c r="H106" s="36">
        <f t="shared" si="23"/>
        <v>1.0345600926154353E-2</v>
      </c>
      <c r="I106" s="36">
        <f t="shared" si="24"/>
        <v>7.4882736261543542E-3</v>
      </c>
      <c r="O106" s="38">
        <v>1.1264563E-2</v>
      </c>
      <c r="P106" s="36">
        <f t="shared" si="25"/>
        <v>1.0808371926154354E-2</v>
      </c>
      <c r="Q106" s="38">
        <v>-8.8965890000000008E-4</v>
      </c>
      <c r="R106" s="36">
        <f t="shared" si="25"/>
        <v>-1.3458499738456466E-3</v>
      </c>
      <c r="S106" s="38">
        <v>-2.3692846E-4</v>
      </c>
      <c r="T106" s="36">
        <f t="shared" si="26"/>
        <v>-6.9311953384564647E-4</v>
      </c>
      <c r="U106" s="38">
        <v>4.1426420000000002E-3</v>
      </c>
      <c r="V106" s="36">
        <f t="shared" si="27"/>
        <v>3.6864509261543537E-3</v>
      </c>
      <c r="W106" s="38">
        <v>7.2784424000000006E-3</v>
      </c>
      <c r="X106" s="36">
        <f t="shared" si="28"/>
        <v>6.8222513261543541E-3</v>
      </c>
      <c r="Y106" s="38">
        <v>1.1622189999999999E-2</v>
      </c>
      <c r="Z106" s="36">
        <f t="shared" si="29"/>
        <v>1.1165998926154353E-2</v>
      </c>
      <c r="AA106" s="38">
        <v>-2.6608705999999999E-2</v>
      </c>
      <c r="AB106" s="36">
        <f t="shared" si="30"/>
        <v>-2.7064897073845646E-2</v>
      </c>
      <c r="AC106" s="38">
        <v>2.0837544999999999E-2</v>
      </c>
      <c r="AD106" s="36">
        <f t="shared" si="31"/>
        <v>2.0381353926154352E-2</v>
      </c>
      <c r="AE106" s="38">
        <v>-3.3968448999999998E-2</v>
      </c>
      <c r="AF106" s="36">
        <f t="shared" si="32"/>
        <v>-3.4424640073845644E-2</v>
      </c>
    </row>
    <row r="107" spans="2:32" outlineLevel="1" x14ac:dyDescent="0.25">
      <c r="B107" s="38">
        <v>2.3530000000000002E-2</v>
      </c>
      <c r="C107" s="37">
        <f t="shared" si="22"/>
        <v>4.4735843642795814E-4</v>
      </c>
      <c r="E107" s="40">
        <v>45457</v>
      </c>
      <c r="F107" s="38">
        <v>-6.01328E-2</v>
      </c>
      <c r="G107" s="38">
        <v>-2.3875475E-2</v>
      </c>
      <c r="H107" s="36">
        <f t="shared" si="23"/>
        <v>-6.0580158436427958E-2</v>
      </c>
      <c r="I107" s="36">
        <f t="shared" si="24"/>
        <v>-2.4322833436427958E-2</v>
      </c>
      <c r="O107" s="38">
        <v>-6.7855415000000002E-2</v>
      </c>
      <c r="P107" s="36">
        <f t="shared" si="25"/>
        <v>-6.830277343642796E-2</v>
      </c>
      <c r="Q107" s="38">
        <v>-9.8636680000000004E-2</v>
      </c>
      <c r="R107" s="36">
        <f t="shared" si="25"/>
        <v>-9.9084038436427962E-2</v>
      </c>
      <c r="S107" s="38">
        <v>1.6077042E-2</v>
      </c>
      <c r="T107" s="36">
        <f t="shared" si="26"/>
        <v>1.5629683563572042E-2</v>
      </c>
      <c r="U107" s="38">
        <v>-4.6940090000000004E-2</v>
      </c>
      <c r="V107" s="36">
        <f t="shared" si="27"/>
        <v>-4.7387448436427962E-2</v>
      </c>
      <c r="W107" s="38">
        <v>-2.9334961999999999E-2</v>
      </c>
      <c r="X107" s="36">
        <f t="shared" si="28"/>
        <v>-2.9782320436427957E-2</v>
      </c>
      <c r="Y107" s="38">
        <v>-2.4986684000000002E-2</v>
      </c>
      <c r="Z107" s="36">
        <f t="shared" si="29"/>
        <v>-2.543404243642796E-2</v>
      </c>
      <c r="AA107" s="38">
        <v>-2.4143398E-2</v>
      </c>
      <c r="AB107" s="36">
        <f t="shared" si="30"/>
        <v>-2.4590756436427958E-2</v>
      </c>
      <c r="AC107" s="38">
        <v>3.4882545000000001E-2</v>
      </c>
      <c r="AD107" s="36">
        <f t="shared" si="31"/>
        <v>3.4435186563572043E-2</v>
      </c>
      <c r="AE107" s="38">
        <v>2.5041579999999997E-2</v>
      </c>
      <c r="AF107" s="36">
        <f t="shared" si="32"/>
        <v>2.4594221563572039E-2</v>
      </c>
    </row>
    <row r="108" spans="2:32" outlineLevel="1" x14ac:dyDescent="0.25">
      <c r="B108" s="38">
        <v>2.6169999999999999E-2</v>
      </c>
      <c r="C108" s="37">
        <f t="shared" si="22"/>
        <v>4.9692005909740544E-4</v>
      </c>
      <c r="E108" s="40">
        <v>45450</v>
      </c>
      <c r="F108" s="38">
        <v>-4.4046282999999999E-2</v>
      </c>
      <c r="G108" s="38">
        <v>1.0382652000000001E-2</v>
      </c>
      <c r="H108" s="36">
        <f t="shared" si="23"/>
        <v>-4.4543203059097404E-2</v>
      </c>
      <c r="I108" s="36">
        <f t="shared" si="24"/>
        <v>9.8857319409025955E-3</v>
      </c>
      <c r="O108" s="38">
        <v>-4.9507618000000004E-4</v>
      </c>
      <c r="P108" s="36">
        <f t="shared" si="25"/>
        <v>-9.9199623909740548E-4</v>
      </c>
      <c r="Q108" s="38">
        <v>-4.8817754000000005E-2</v>
      </c>
      <c r="R108" s="36">
        <f t="shared" si="25"/>
        <v>-4.931467405909741E-2</v>
      </c>
      <c r="S108" s="38">
        <v>-4.2019963E-2</v>
      </c>
      <c r="T108" s="36">
        <f t="shared" si="26"/>
        <v>-4.2516883059097406E-2</v>
      </c>
      <c r="U108" s="38">
        <v>-2.1463811000000003E-2</v>
      </c>
      <c r="V108" s="36">
        <f t="shared" si="27"/>
        <v>-2.1960731059097408E-2</v>
      </c>
      <c r="W108" s="38">
        <v>-1.9427717000000001E-2</v>
      </c>
      <c r="X108" s="36">
        <f t="shared" si="28"/>
        <v>-1.9924637059097406E-2</v>
      </c>
      <c r="Y108" s="38">
        <v>5.7250259999999994E-3</v>
      </c>
      <c r="Z108" s="36">
        <f t="shared" si="29"/>
        <v>5.2281059409025939E-3</v>
      </c>
      <c r="AA108" s="38">
        <v>-4.7753096000000002E-2</v>
      </c>
      <c r="AB108" s="36">
        <f t="shared" si="30"/>
        <v>-4.8250016059097407E-2</v>
      </c>
      <c r="AC108" s="38">
        <v>2.0361423E-2</v>
      </c>
      <c r="AD108" s="36">
        <f t="shared" si="31"/>
        <v>1.9864502940902595E-2</v>
      </c>
      <c r="AE108" s="38">
        <v>-5.1908016000000001E-2</v>
      </c>
      <c r="AF108" s="36">
        <f t="shared" si="32"/>
        <v>-5.2404936059097407E-2</v>
      </c>
    </row>
    <row r="109" spans="2:32" outlineLevel="1" x14ac:dyDescent="0.25">
      <c r="B109" s="38">
        <v>2.6499999999999999E-2</v>
      </c>
      <c r="C109" s="37">
        <f t="shared" si="22"/>
        <v>5.0310646710438611E-4</v>
      </c>
      <c r="E109" s="40">
        <v>45443</v>
      </c>
      <c r="F109" s="38">
        <v>6.5208793000000001E-2</v>
      </c>
      <c r="G109" s="38">
        <v>-4.6103597000000003E-3</v>
      </c>
      <c r="H109" s="36">
        <f t="shared" si="23"/>
        <v>6.4705686532895615E-2</v>
      </c>
      <c r="I109" s="36">
        <f t="shared" si="24"/>
        <v>-5.1134661671043864E-3</v>
      </c>
      <c r="O109" s="38">
        <v>-1.7031549999999999E-2</v>
      </c>
      <c r="P109" s="36">
        <f t="shared" si="25"/>
        <v>-1.7534656467104386E-2</v>
      </c>
      <c r="Q109" s="38">
        <v>-5.9540806000000002E-2</v>
      </c>
      <c r="R109" s="36">
        <f t="shared" si="25"/>
        <v>-6.0043912467104388E-2</v>
      </c>
      <c r="S109" s="38">
        <v>8.6554289999999992E-3</v>
      </c>
      <c r="T109" s="36">
        <f t="shared" si="26"/>
        <v>8.1523225328956131E-3</v>
      </c>
      <c r="U109" s="38">
        <v>3.6622285999999998E-3</v>
      </c>
      <c r="V109" s="36">
        <f t="shared" si="27"/>
        <v>3.1591221328956137E-3</v>
      </c>
      <c r="W109" s="38">
        <v>5.6035520000000004E-3</v>
      </c>
      <c r="X109" s="36">
        <f t="shared" si="28"/>
        <v>5.1004455328956142E-3</v>
      </c>
      <c r="Y109" s="38">
        <v>-3.3859610000000003E-3</v>
      </c>
      <c r="Z109" s="36">
        <f t="shared" si="29"/>
        <v>-3.8890674671043864E-3</v>
      </c>
      <c r="AA109" s="38">
        <v>3.5119057000000003E-4</v>
      </c>
      <c r="AB109" s="36">
        <f t="shared" si="30"/>
        <v>-1.5191589710438608E-4</v>
      </c>
      <c r="AC109" s="38">
        <v>1.9010663000000001E-2</v>
      </c>
      <c r="AD109" s="36">
        <f t="shared" si="31"/>
        <v>1.8507556532895614E-2</v>
      </c>
      <c r="AE109" s="38">
        <v>1.8429994999999998E-2</v>
      </c>
      <c r="AF109" s="36">
        <f t="shared" si="32"/>
        <v>1.7926888532895612E-2</v>
      </c>
    </row>
    <row r="110" spans="2:32" outlineLevel="1" x14ac:dyDescent="0.25">
      <c r="B110" s="38">
        <v>2.589E-2</v>
      </c>
      <c r="C110" s="37">
        <f t="shared" si="22"/>
        <v>4.9166945530876305E-4</v>
      </c>
      <c r="E110" s="40">
        <v>45436</v>
      </c>
      <c r="F110" s="38">
        <v>1.9919871999999998E-3</v>
      </c>
      <c r="G110" s="38">
        <v>-4.5320391999999999E-3</v>
      </c>
      <c r="H110" s="36">
        <f t="shared" si="23"/>
        <v>1.5003177446912368E-3</v>
      </c>
      <c r="I110" s="36">
        <f t="shared" si="24"/>
        <v>-5.023708655308763E-3</v>
      </c>
      <c r="O110" s="38">
        <v>-1.1544107999999999E-2</v>
      </c>
      <c r="P110" s="36">
        <f t="shared" si="25"/>
        <v>-1.2035777455308762E-2</v>
      </c>
      <c r="Q110" s="38">
        <v>-7.1225165999999999E-3</v>
      </c>
      <c r="R110" s="36">
        <f t="shared" si="25"/>
        <v>-7.614186055308763E-3</v>
      </c>
      <c r="S110" s="38">
        <v>-6.4481497E-3</v>
      </c>
      <c r="T110" s="36">
        <f t="shared" si="26"/>
        <v>-6.9398191553087631E-3</v>
      </c>
      <c r="U110" s="38">
        <v>-3.3118129000000003E-2</v>
      </c>
      <c r="V110" s="36">
        <f t="shared" si="27"/>
        <v>-3.3609798455308766E-2</v>
      </c>
      <c r="W110" s="38">
        <v>-2.9826581000000001E-2</v>
      </c>
      <c r="X110" s="36">
        <f t="shared" si="28"/>
        <v>-3.0318250455308764E-2</v>
      </c>
      <c r="Y110" s="38">
        <v>-7.0329905E-3</v>
      </c>
      <c r="Z110" s="36">
        <f t="shared" si="29"/>
        <v>-7.524659955308763E-3</v>
      </c>
      <c r="AA110" s="38">
        <v>-1.9592345000000001E-2</v>
      </c>
      <c r="AB110" s="36">
        <f t="shared" si="30"/>
        <v>-2.0084014455308764E-2</v>
      </c>
      <c r="AC110" s="38">
        <v>-3.3391356000000004E-2</v>
      </c>
      <c r="AD110" s="36">
        <f t="shared" si="31"/>
        <v>-3.3883025455308767E-2</v>
      </c>
      <c r="AE110" s="38">
        <v>-3.1433105E-3</v>
      </c>
      <c r="AF110" s="36">
        <f t="shared" si="32"/>
        <v>-3.6349799553087631E-3</v>
      </c>
    </row>
    <row r="111" spans="2:32" outlineLevel="1" x14ac:dyDescent="0.25">
      <c r="B111" s="38">
        <v>2.5080000000000002E-2</v>
      </c>
      <c r="C111" s="37">
        <f t="shared" si="22"/>
        <v>4.764722908241481E-4</v>
      </c>
      <c r="E111" s="40">
        <v>45429</v>
      </c>
      <c r="F111" s="38">
        <v>3.9337515999999996E-2</v>
      </c>
      <c r="G111" s="38">
        <v>4.1861533999999999E-3</v>
      </c>
      <c r="H111" s="36">
        <f t="shared" si="23"/>
        <v>3.8861043709175848E-2</v>
      </c>
      <c r="I111" s="36">
        <f t="shared" si="24"/>
        <v>3.7096811091758518E-3</v>
      </c>
      <c r="O111" s="38">
        <v>2.5147915E-2</v>
      </c>
      <c r="P111" s="36">
        <f t="shared" si="25"/>
        <v>2.4671442709175852E-2</v>
      </c>
      <c r="Q111" s="38">
        <v>4.0770889999999997E-2</v>
      </c>
      <c r="R111" s="36">
        <f t="shared" si="25"/>
        <v>4.0294417709175849E-2</v>
      </c>
      <c r="S111" s="38">
        <v>-7.0089699999999998E-3</v>
      </c>
      <c r="T111" s="36">
        <f t="shared" si="26"/>
        <v>-7.4854422908241479E-3</v>
      </c>
      <c r="U111" s="38">
        <v>-5.4921270000000001E-2</v>
      </c>
      <c r="V111" s="36">
        <f t="shared" si="27"/>
        <v>-5.5397742290824149E-2</v>
      </c>
      <c r="W111" s="38">
        <v>-1.9065141999999998E-3</v>
      </c>
      <c r="X111" s="36">
        <f t="shared" si="28"/>
        <v>-2.382986490824148E-3</v>
      </c>
      <c r="Y111" s="38">
        <v>1.3639927000000001E-2</v>
      </c>
      <c r="Z111" s="36">
        <f t="shared" si="29"/>
        <v>1.3163454709175853E-2</v>
      </c>
      <c r="AA111" s="38">
        <v>-4.1804909999999997E-3</v>
      </c>
      <c r="AB111" s="36">
        <f t="shared" si="30"/>
        <v>-4.6569632908241478E-3</v>
      </c>
      <c r="AC111" s="38">
        <v>1.7422438000000001E-3</v>
      </c>
      <c r="AD111" s="36">
        <f t="shared" si="31"/>
        <v>1.265771509175852E-3</v>
      </c>
      <c r="AE111" s="38">
        <v>-1.2799024999999999E-2</v>
      </c>
      <c r="AF111" s="36">
        <f t="shared" si="32"/>
        <v>-1.3275497290824147E-2</v>
      </c>
    </row>
    <row r="112" spans="2:32" outlineLevel="1" x14ac:dyDescent="0.25">
      <c r="B112" s="38">
        <v>2.5179999999999998E-2</v>
      </c>
      <c r="C112" s="37">
        <f t="shared" si="22"/>
        <v>4.783491211013402E-4</v>
      </c>
      <c r="E112" s="40">
        <v>45422</v>
      </c>
      <c r="F112" s="38">
        <v>6.2500239999999999E-3</v>
      </c>
      <c r="G112" s="38">
        <v>3.012681E-2</v>
      </c>
      <c r="H112" s="36">
        <f t="shared" si="23"/>
        <v>5.7716748788986597E-3</v>
      </c>
      <c r="I112" s="36">
        <f t="shared" si="24"/>
        <v>2.964846087889866E-2</v>
      </c>
      <c r="O112" s="38">
        <v>-2.4594068999999998E-3</v>
      </c>
      <c r="P112" s="36">
        <f t="shared" si="25"/>
        <v>-2.93775602110134E-3</v>
      </c>
      <c r="Q112" s="38">
        <v>1.2762785E-2</v>
      </c>
      <c r="R112" s="36">
        <f t="shared" si="25"/>
        <v>1.228443587889866E-2</v>
      </c>
      <c r="S112" s="38">
        <v>-6.6427526000000001E-2</v>
      </c>
      <c r="T112" s="36">
        <f t="shared" si="26"/>
        <v>-6.6905875121101341E-2</v>
      </c>
      <c r="U112" s="38">
        <v>-8.7804793999999992E-3</v>
      </c>
      <c r="V112" s="36">
        <f t="shared" si="27"/>
        <v>-9.2588285211013394E-3</v>
      </c>
      <c r="W112" s="38">
        <v>-4.7359586000000002E-2</v>
      </c>
      <c r="X112" s="36">
        <f t="shared" si="28"/>
        <v>-4.7837935121101342E-2</v>
      </c>
      <c r="Y112" s="38">
        <v>-3.5084665000000001E-2</v>
      </c>
      <c r="Z112" s="36">
        <f t="shared" si="29"/>
        <v>-3.5563014121101341E-2</v>
      </c>
      <c r="AA112" s="38">
        <v>-6.1634835999999998E-2</v>
      </c>
      <c r="AB112" s="36">
        <f t="shared" si="30"/>
        <v>-6.2113185121101339E-2</v>
      </c>
      <c r="AC112" s="38">
        <v>8.1295969999999988E-3</v>
      </c>
      <c r="AD112" s="36">
        <f t="shared" si="31"/>
        <v>7.6512478788986586E-3</v>
      </c>
      <c r="AE112" s="38">
        <v>-4.4481634999999999E-2</v>
      </c>
      <c r="AF112" s="36">
        <f t="shared" si="32"/>
        <v>-4.4959984121101339E-2</v>
      </c>
    </row>
    <row r="113" spans="2:32" outlineLevel="1" x14ac:dyDescent="0.25">
      <c r="B113" s="38">
        <v>2.512E-2</v>
      </c>
      <c r="C113" s="37">
        <f t="shared" si="22"/>
        <v>4.7722304448249986E-4</v>
      </c>
      <c r="E113" s="40">
        <v>45415</v>
      </c>
      <c r="F113" s="38">
        <v>-1.1328518000000001E-2</v>
      </c>
      <c r="G113" s="38">
        <v>-4.8230289999999995E-3</v>
      </c>
      <c r="H113" s="36">
        <f t="shared" si="23"/>
        <v>-1.1805741044482501E-2</v>
      </c>
      <c r="I113" s="36">
        <f t="shared" si="24"/>
        <v>-5.3002520444824994E-3</v>
      </c>
      <c r="O113" s="38">
        <v>-0.117813</v>
      </c>
      <c r="P113" s="36">
        <f t="shared" si="25"/>
        <v>-0.1182902230444825</v>
      </c>
      <c r="Q113" s="38">
        <v>-4.37904E-2</v>
      </c>
      <c r="R113" s="36">
        <f t="shared" si="25"/>
        <v>-4.42676230444825E-2</v>
      </c>
      <c r="S113" s="38">
        <v>7.8004836999999994E-2</v>
      </c>
      <c r="T113" s="36">
        <f t="shared" si="26"/>
        <v>7.7527613955517494E-2</v>
      </c>
      <c r="U113" s="38">
        <v>-3.6654173999999998E-2</v>
      </c>
      <c r="V113" s="36">
        <f t="shared" si="27"/>
        <v>-3.7131397044482498E-2</v>
      </c>
      <c r="W113" s="38">
        <v>-3.7385702E-2</v>
      </c>
      <c r="X113" s="36">
        <f t="shared" si="28"/>
        <v>-3.78629250444825E-2</v>
      </c>
      <c r="Y113" s="38">
        <v>-3.6044597999999997E-2</v>
      </c>
      <c r="Z113" s="36">
        <f t="shared" si="29"/>
        <v>-3.6521821044482497E-2</v>
      </c>
      <c r="AA113" s="38">
        <v>4.1027545999999998E-2</v>
      </c>
      <c r="AB113" s="36">
        <f t="shared" si="30"/>
        <v>4.0550322955517498E-2</v>
      </c>
      <c r="AC113" s="38">
        <v>-2.9331266999999998E-2</v>
      </c>
      <c r="AD113" s="36">
        <f t="shared" si="31"/>
        <v>-2.9808490044482498E-2</v>
      </c>
      <c r="AE113" s="38">
        <v>3.9331912999999996E-2</v>
      </c>
      <c r="AF113" s="36">
        <f t="shared" si="32"/>
        <v>3.8854689955517496E-2</v>
      </c>
    </row>
    <row r="114" spans="2:32" outlineLevel="1" x14ac:dyDescent="0.25">
      <c r="B114" s="38">
        <v>2.5539999999999997E-2</v>
      </c>
      <c r="C114" s="37">
        <f t="shared" si="22"/>
        <v>4.851042237237202E-4</v>
      </c>
      <c r="E114" s="40">
        <v>45408</v>
      </c>
      <c r="F114" s="38">
        <v>1.7179966000000001E-2</v>
      </c>
      <c r="G114" s="38">
        <v>1.7404675000000001E-2</v>
      </c>
      <c r="H114" s="36">
        <f t="shared" si="23"/>
        <v>1.6694861776276281E-2</v>
      </c>
      <c r="I114" s="36">
        <f t="shared" si="24"/>
        <v>1.6919570776276281E-2</v>
      </c>
      <c r="O114" s="38">
        <v>-4.8906270000000002E-2</v>
      </c>
      <c r="P114" s="36">
        <f t="shared" si="25"/>
        <v>-4.9391374223723722E-2</v>
      </c>
      <c r="Q114" s="38">
        <v>-1.4154254999999999E-2</v>
      </c>
      <c r="R114" s="36">
        <f t="shared" si="25"/>
        <v>-1.4639359223723719E-2</v>
      </c>
      <c r="S114" s="38">
        <v>-3.9651036000000001E-2</v>
      </c>
      <c r="T114" s="36">
        <f t="shared" si="26"/>
        <v>-4.0136140223723721E-2</v>
      </c>
      <c r="U114" s="38">
        <v>5.1960945000000007E-3</v>
      </c>
      <c r="V114" s="36">
        <f t="shared" si="27"/>
        <v>4.7109902762762805E-3</v>
      </c>
      <c r="W114" s="38">
        <v>2.9673576000000001E-3</v>
      </c>
      <c r="X114" s="36">
        <f t="shared" si="28"/>
        <v>2.4822533762762799E-3</v>
      </c>
      <c r="Y114" s="38">
        <v>5.2555560000000001E-2</v>
      </c>
      <c r="Z114" s="36">
        <f t="shared" si="29"/>
        <v>5.2070455776276281E-2</v>
      </c>
      <c r="AA114" s="38">
        <v>-2.1305978E-2</v>
      </c>
      <c r="AB114" s="36">
        <f t="shared" si="30"/>
        <v>-2.179108222372372E-2</v>
      </c>
      <c r="AC114" s="38">
        <v>8.0884695000000006E-2</v>
      </c>
      <c r="AD114" s="36">
        <f t="shared" si="31"/>
        <v>8.0399590776276286E-2</v>
      </c>
      <c r="AE114" s="38">
        <v>-1.5992581999999998E-2</v>
      </c>
      <c r="AF114" s="36">
        <f t="shared" si="32"/>
        <v>-1.6477686223723718E-2</v>
      </c>
    </row>
    <row r="115" spans="2:32" outlineLevel="1" x14ac:dyDescent="0.25">
      <c r="B115" s="38">
        <v>2.52E-2</v>
      </c>
      <c r="C115" s="37">
        <f t="shared" si="22"/>
        <v>4.7872446561036952E-4</v>
      </c>
      <c r="E115" s="40">
        <v>45401</v>
      </c>
      <c r="F115" s="38">
        <v>-4.8824253000000005E-2</v>
      </c>
      <c r="G115" s="38">
        <v>-1.1796117E-2</v>
      </c>
      <c r="H115" s="36">
        <f t="shared" si="23"/>
        <v>-4.9302977465610374E-2</v>
      </c>
      <c r="I115" s="36">
        <f t="shared" si="24"/>
        <v>-1.227484146561037E-2</v>
      </c>
      <c r="O115" s="38">
        <v>-6.356418E-3</v>
      </c>
      <c r="P115" s="36">
        <f t="shared" si="25"/>
        <v>-6.8351424656103695E-3</v>
      </c>
      <c r="Q115" s="38">
        <v>-3.28542E-2</v>
      </c>
      <c r="R115" s="36">
        <f t="shared" si="25"/>
        <v>-3.333292446561037E-2</v>
      </c>
      <c r="S115" s="38">
        <v>-6.4809504000000004E-2</v>
      </c>
      <c r="T115" s="36">
        <f t="shared" si="26"/>
        <v>-6.5288228465610373E-2</v>
      </c>
      <c r="U115" s="38">
        <v>-3.3333359999999999E-2</v>
      </c>
      <c r="V115" s="36">
        <f t="shared" si="27"/>
        <v>-3.3812084465610369E-2</v>
      </c>
      <c r="W115" s="38">
        <v>-1.6319513000000001E-2</v>
      </c>
      <c r="X115" s="36">
        <f t="shared" si="28"/>
        <v>-1.679823746561037E-2</v>
      </c>
      <c r="Y115" s="38">
        <v>-4.0835977000000002E-2</v>
      </c>
      <c r="Z115" s="36">
        <f t="shared" si="29"/>
        <v>-4.1314701465610372E-2</v>
      </c>
      <c r="AA115" s="38">
        <v>-7.8441380000000005E-2</v>
      </c>
      <c r="AB115" s="36">
        <f t="shared" si="30"/>
        <v>-7.8920104465610375E-2</v>
      </c>
      <c r="AC115" s="38">
        <v>-2.0121991999999998E-2</v>
      </c>
      <c r="AD115" s="36">
        <f t="shared" si="31"/>
        <v>-2.0600716465610368E-2</v>
      </c>
      <c r="AE115" s="38">
        <v>-8.357829E-2</v>
      </c>
      <c r="AF115" s="36">
        <f t="shared" si="32"/>
        <v>-8.4057014465610369E-2</v>
      </c>
    </row>
    <row r="116" spans="2:32" outlineLevel="1" x14ac:dyDescent="0.25">
      <c r="B116" s="38">
        <v>2.3290000000000002E-2</v>
      </c>
      <c r="C116" s="37">
        <f t="shared" si="22"/>
        <v>4.4284661911531131E-4</v>
      </c>
      <c r="E116" s="40">
        <v>45394</v>
      </c>
      <c r="F116" s="38">
        <v>1.0471224999999999E-2</v>
      </c>
      <c r="G116" s="38">
        <v>-2.5663375999999999E-3</v>
      </c>
      <c r="H116" s="36">
        <f t="shared" si="23"/>
        <v>1.0028378380884688E-2</v>
      </c>
      <c r="I116" s="36">
        <f t="shared" si="24"/>
        <v>-3.0091842191153112E-3</v>
      </c>
      <c r="O116" s="38">
        <v>-8.7398289999999993E-3</v>
      </c>
      <c r="P116" s="36">
        <f t="shared" si="25"/>
        <v>-9.1826756191153106E-3</v>
      </c>
      <c r="Q116" s="38">
        <v>-1.7484784E-2</v>
      </c>
      <c r="R116" s="36">
        <f t="shared" si="25"/>
        <v>-1.7927630619115311E-2</v>
      </c>
      <c r="S116" s="38">
        <v>3.3150791999999998E-2</v>
      </c>
      <c r="T116" s="36">
        <f t="shared" si="26"/>
        <v>3.2707945380884687E-2</v>
      </c>
      <c r="U116" s="38">
        <v>-2.6666641000000001E-2</v>
      </c>
      <c r="V116" s="36">
        <f t="shared" si="27"/>
        <v>-2.7109487619115313E-2</v>
      </c>
      <c r="W116" s="38">
        <v>8.8342430000000003E-3</v>
      </c>
      <c r="X116" s="36">
        <f t="shared" si="28"/>
        <v>8.391396380884689E-3</v>
      </c>
      <c r="Y116" s="38">
        <v>-3.3703804000000004E-2</v>
      </c>
      <c r="Z116" s="36">
        <f t="shared" si="29"/>
        <v>-3.4146650619115315E-2</v>
      </c>
      <c r="AA116" s="38">
        <v>4.9593449999999997E-2</v>
      </c>
      <c r="AB116" s="36">
        <f t="shared" si="30"/>
        <v>4.9150603380884686E-2</v>
      </c>
      <c r="AC116" s="38">
        <v>-8.8211299999999999E-3</v>
      </c>
      <c r="AD116" s="36">
        <f t="shared" si="31"/>
        <v>-9.2639766191153113E-3</v>
      </c>
      <c r="AE116" s="38">
        <v>3.2253742000000002E-2</v>
      </c>
      <c r="AF116" s="36">
        <f t="shared" si="32"/>
        <v>3.1810895380884691E-2</v>
      </c>
    </row>
    <row r="117" spans="2:32" outlineLevel="1" x14ac:dyDescent="0.25">
      <c r="B117" s="38">
        <v>2.3769999999999999E-2</v>
      </c>
      <c r="C117" s="37">
        <f t="shared" si="22"/>
        <v>4.5186921626227949E-4</v>
      </c>
      <c r="E117" s="40">
        <v>45387</v>
      </c>
      <c r="F117" s="38">
        <v>6.1224580000000001E-2</v>
      </c>
      <c r="G117" s="38">
        <v>-1.1937499000000001E-2</v>
      </c>
      <c r="H117" s="36">
        <f t="shared" si="23"/>
        <v>6.0772710783737721E-2</v>
      </c>
      <c r="I117" s="36">
        <f t="shared" si="24"/>
        <v>-1.238936821626228E-2</v>
      </c>
      <c r="O117" s="38">
        <v>-6.6236439999999994E-2</v>
      </c>
      <c r="P117" s="36">
        <f t="shared" si="25"/>
        <v>-6.6688309216262273E-2</v>
      </c>
      <c r="Q117" s="38">
        <v>5.0141214999999996E-2</v>
      </c>
      <c r="R117" s="36">
        <f t="shared" si="25"/>
        <v>4.9689345783737716E-2</v>
      </c>
      <c r="S117" s="38">
        <v>-5.3504585999999993E-2</v>
      </c>
      <c r="T117" s="36">
        <f t="shared" si="26"/>
        <v>-5.3956455216262272E-2</v>
      </c>
      <c r="U117" s="38">
        <v>5.1795125000000004E-2</v>
      </c>
      <c r="V117" s="36">
        <f t="shared" si="27"/>
        <v>5.1343255783737725E-2</v>
      </c>
      <c r="W117" s="38">
        <v>1.2193441000000001E-2</v>
      </c>
      <c r="X117" s="36">
        <f t="shared" si="28"/>
        <v>1.1741571783737722E-2</v>
      </c>
      <c r="Y117" s="38">
        <v>-1.6416906999999999E-3</v>
      </c>
      <c r="Z117" s="36">
        <f t="shared" si="29"/>
        <v>-2.0935599162622796E-3</v>
      </c>
      <c r="AA117" s="38">
        <v>-4.8509240000000002E-2</v>
      </c>
      <c r="AB117" s="36">
        <f t="shared" si="30"/>
        <v>-4.8961109216262282E-2</v>
      </c>
      <c r="AC117" s="38">
        <v>-2.6297926999999999E-2</v>
      </c>
      <c r="AD117" s="36">
        <f t="shared" si="31"/>
        <v>-2.6749796216262278E-2</v>
      </c>
      <c r="AE117" s="38">
        <v>-3.2285689999999999E-2</v>
      </c>
      <c r="AF117" s="36">
        <f t="shared" si="32"/>
        <v>-3.2737559216262278E-2</v>
      </c>
    </row>
    <row r="118" spans="2:32" outlineLevel="1" x14ac:dyDescent="0.25">
      <c r="B118" s="38">
        <v>2.299E-2</v>
      </c>
      <c r="C118" s="37">
        <f t="shared" si="22"/>
        <v>4.372053877861326E-4</v>
      </c>
      <c r="E118" s="40">
        <v>45380</v>
      </c>
      <c r="F118" s="38">
        <v>2.9932857E-2</v>
      </c>
      <c r="G118" s="38">
        <v>5.9453250000000004E-3</v>
      </c>
      <c r="H118" s="36">
        <f t="shared" si="23"/>
        <v>2.9495651612213868E-2</v>
      </c>
      <c r="I118" s="36">
        <f t="shared" si="24"/>
        <v>5.5081196122138678E-3</v>
      </c>
      <c r="O118" s="38">
        <v>-2.1904587999999999E-2</v>
      </c>
      <c r="P118" s="36">
        <f t="shared" si="25"/>
        <v>-2.2341793387786132E-2</v>
      </c>
      <c r="Q118" s="38">
        <v>2.9069780999999999E-2</v>
      </c>
      <c r="R118" s="36">
        <f t="shared" si="25"/>
        <v>2.8632575612213867E-2</v>
      </c>
      <c r="S118" s="38">
        <v>-5.178547E-2</v>
      </c>
      <c r="T118" s="36">
        <f t="shared" si="26"/>
        <v>-5.2222675387786133E-2</v>
      </c>
      <c r="U118" s="38">
        <v>2.7276158000000002E-2</v>
      </c>
      <c r="V118" s="36">
        <f t="shared" si="27"/>
        <v>2.6838952612213869E-2</v>
      </c>
      <c r="W118" s="38">
        <v>4.2176247000000004E-3</v>
      </c>
      <c r="X118" s="36">
        <f t="shared" si="28"/>
        <v>3.7804193122138677E-3</v>
      </c>
      <c r="Y118" s="38">
        <v>3.0161022999999999E-2</v>
      </c>
      <c r="Z118" s="36">
        <f t="shared" si="29"/>
        <v>2.9723817612213866E-2</v>
      </c>
      <c r="AA118" s="38">
        <v>-1.9167422999999999E-2</v>
      </c>
      <c r="AB118" s="36">
        <f t="shared" si="30"/>
        <v>-1.9604628387786132E-2</v>
      </c>
      <c r="AC118" s="38">
        <v>5.4718375000000007E-2</v>
      </c>
      <c r="AD118" s="36">
        <f t="shared" si="31"/>
        <v>5.4281169612213874E-2</v>
      </c>
      <c r="AE118" s="38">
        <v>-1.4371932E-2</v>
      </c>
      <c r="AF118" s="36">
        <f t="shared" si="32"/>
        <v>-1.4809137387786133E-2</v>
      </c>
    </row>
    <row r="119" spans="2:32" outlineLevel="1" x14ac:dyDescent="0.25">
      <c r="B119" s="38">
        <v>2.3199999999999998E-2</v>
      </c>
      <c r="C119" s="37">
        <f t="shared" si="22"/>
        <v>4.411544200497719E-4</v>
      </c>
      <c r="E119" s="40">
        <v>45373</v>
      </c>
      <c r="F119" s="38">
        <v>6.1565519999999999E-2</v>
      </c>
      <c r="G119" s="38">
        <v>9.5880030000000012E-3</v>
      </c>
      <c r="H119" s="36">
        <f t="shared" si="23"/>
        <v>6.1124365579950227E-2</v>
      </c>
      <c r="I119" s="36">
        <f t="shared" si="24"/>
        <v>9.1468485799502293E-3</v>
      </c>
      <c r="O119" s="38">
        <v>3.4767509000000002E-2</v>
      </c>
      <c r="P119" s="36">
        <f t="shared" si="25"/>
        <v>3.432635457995023E-2</v>
      </c>
      <c r="Q119" s="38">
        <v>4.3214680000000005E-2</v>
      </c>
      <c r="R119" s="36">
        <f t="shared" si="25"/>
        <v>4.2773525579950233E-2</v>
      </c>
      <c r="S119" s="38">
        <v>9.5790620000000007E-2</v>
      </c>
      <c r="T119" s="36">
        <f t="shared" si="26"/>
        <v>9.5349465579950235E-2</v>
      </c>
      <c r="U119" s="38">
        <v>-1.4761508000000001E-2</v>
      </c>
      <c r="V119" s="36">
        <f t="shared" si="27"/>
        <v>-1.5202662420049773E-2</v>
      </c>
      <c r="W119" s="38">
        <v>5.4719450000000006E-3</v>
      </c>
      <c r="X119" s="36">
        <f t="shared" si="28"/>
        <v>5.0307905799502287E-3</v>
      </c>
      <c r="Y119" s="38">
        <v>7.7606797000000005E-2</v>
      </c>
      <c r="Z119" s="36">
        <f t="shared" si="29"/>
        <v>7.7165642579950233E-2</v>
      </c>
      <c r="AA119" s="38">
        <v>0.10112773999999999</v>
      </c>
      <c r="AB119" s="36">
        <f t="shared" si="30"/>
        <v>0.10068658557995022</v>
      </c>
      <c r="AC119" s="38">
        <v>6.5289736000000001E-2</v>
      </c>
      <c r="AD119" s="36">
        <f t="shared" si="31"/>
        <v>6.4848581579950229E-2</v>
      </c>
      <c r="AE119" s="38">
        <v>6.9275737000000004E-2</v>
      </c>
      <c r="AF119" s="36">
        <f t="shared" si="32"/>
        <v>6.8834582579950232E-2</v>
      </c>
    </row>
    <row r="120" spans="2:32" outlineLevel="1" x14ac:dyDescent="0.25">
      <c r="B120" s="38">
        <v>2.436E-2</v>
      </c>
      <c r="C120" s="37">
        <f t="shared" si="22"/>
        <v>4.6295380954619603E-4</v>
      </c>
      <c r="E120" s="40">
        <v>45366</v>
      </c>
      <c r="F120" s="38">
        <v>8.1900835000000005E-2</v>
      </c>
      <c r="G120" s="38">
        <v>3.0599832999999997E-3</v>
      </c>
      <c r="H120" s="36">
        <f t="shared" si="23"/>
        <v>8.1437881190453809E-2</v>
      </c>
      <c r="I120" s="36">
        <f t="shared" si="24"/>
        <v>2.5970294904538037E-3</v>
      </c>
      <c r="O120" s="38">
        <v>3.6845325999999998E-2</v>
      </c>
      <c r="P120" s="36">
        <f t="shared" si="25"/>
        <v>3.6382372190453802E-2</v>
      </c>
      <c r="Q120" s="38">
        <v>-1.7870486000000001E-2</v>
      </c>
      <c r="R120" s="36">
        <f t="shared" si="25"/>
        <v>-1.8333439809546197E-2</v>
      </c>
      <c r="S120" s="38">
        <v>4.4745803000000001E-2</v>
      </c>
      <c r="T120" s="36">
        <f t="shared" si="26"/>
        <v>4.4282849190453805E-2</v>
      </c>
      <c r="U120" s="38">
        <v>-1.3626993E-2</v>
      </c>
      <c r="V120" s="36">
        <f t="shared" si="27"/>
        <v>-1.4089946809546196E-2</v>
      </c>
      <c r="W120" s="38">
        <v>7.5808763999999996E-3</v>
      </c>
      <c r="X120" s="36">
        <f t="shared" si="28"/>
        <v>7.1179225904538035E-3</v>
      </c>
      <c r="Y120" s="38">
        <v>-3.3046006999999998E-3</v>
      </c>
      <c r="Z120" s="36">
        <f t="shared" si="29"/>
        <v>-3.7675545095461958E-3</v>
      </c>
      <c r="AA120" s="38">
        <v>-4.1068020000000004E-2</v>
      </c>
      <c r="AB120" s="36">
        <f t="shared" si="30"/>
        <v>-4.15309738095462E-2</v>
      </c>
      <c r="AC120" s="38">
        <v>3.6938548000000002E-2</v>
      </c>
      <c r="AD120" s="36">
        <f t="shared" si="31"/>
        <v>3.6475594190453806E-2</v>
      </c>
      <c r="AE120" s="38">
        <v>2.3128986000000001E-3</v>
      </c>
      <c r="AF120" s="36">
        <f t="shared" si="32"/>
        <v>1.849944790453804E-3</v>
      </c>
    </row>
    <row r="121" spans="2:32" outlineLevel="1" x14ac:dyDescent="0.25">
      <c r="B121" s="38">
        <v>2.2559999999999997E-2</v>
      </c>
      <c r="C121" s="37">
        <f t="shared" si="22"/>
        <v>4.291167927383821E-4</v>
      </c>
      <c r="E121" s="40">
        <v>45359</v>
      </c>
      <c r="F121" s="38">
        <v>2.2486448000000003E-2</v>
      </c>
      <c r="G121" s="38">
        <v>1.1415242999999999E-2</v>
      </c>
      <c r="H121" s="36">
        <f t="shared" si="23"/>
        <v>2.2057331207261621E-2</v>
      </c>
      <c r="I121" s="36">
        <f t="shared" si="24"/>
        <v>1.0986126207261616E-2</v>
      </c>
      <c r="O121" s="38">
        <v>2.7419685999999999E-2</v>
      </c>
      <c r="P121" s="36">
        <f t="shared" si="25"/>
        <v>2.6990569207261617E-2</v>
      </c>
      <c r="Q121" s="38">
        <v>-4.0028515000000001E-2</v>
      </c>
      <c r="R121" s="36">
        <f t="shared" si="25"/>
        <v>-4.0457631792738383E-2</v>
      </c>
      <c r="S121" s="38">
        <v>-6.1169862999999998E-2</v>
      </c>
      <c r="T121" s="36">
        <f t="shared" si="26"/>
        <v>-6.159897979273838E-2</v>
      </c>
      <c r="U121" s="38">
        <v>-2.422589E-2</v>
      </c>
      <c r="V121" s="36">
        <f t="shared" si="27"/>
        <v>-2.4655006792738382E-2</v>
      </c>
      <c r="W121" s="38">
        <v>-2.078545E-2</v>
      </c>
      <c r="X121" s="36">
        <f t="shared" si="28"/>
        <v>-2.1214566792738383E-2</v>
      </c>
      <c r="Y121" s="38">
        <v>-3.2799839999999997E-2</v>
      </c>
      <c r="Z121" s="36">
        <f t="shared" si="29"/>
        <v>-3.3228956792738379E-2</v>
      </c>
      <c r="AA121" s="38">
        <v>-9.8509189999999996E-3</v>
      </c>
      <c r="AB121" s="36">
        <f t="shared" si="30"/>
        <v>-1.0280035792738382E-2</v>
      </c>
      <c r="AC121" s="38">
        <v>-4.7296880000000006E-2</v>
      </c>
      <c r="AD121" s="36">
        <f t="shared" si="31"/>
        <v>-4.7725996792738389E-2</v>
      </c>
      <c r="AE121" s="38">
        <v>-1.3292491E-2</v>
      </c>
      <c r="AF121" s="36">
        <f t="shared" si="32"/>
        <v>-1.3721607792738382E-2</v>
      </c>
    </row>
    <row r="122" spans="2:32" outlineLevel="1" x14ac:dyDescent="0.25">
      <c r="B122" s="38">
        <v>2.4060000000000002E-2</v>
      </c>
      <c r="C122" s="37">
        <f t="shared" si="22"/>
        <v>4.5731835837736767E-4</v>
      </c>
      <c r="E122" s="40">
        <v>45352</v>
      </c>
      <c r="F122" s="38">
        <v>2.8852462999999998E-2</v>
      </c>
      <c r="G122" s="38">
        <v>6.6363809999999996E-4</v>
      </c>
      <c r="H122" s="36">
        <f t="shared" si="23"/>
        <v>2.8395144641622631E-2</v>
      </c>
      <c r="I122" s="36">
        <f t="shared" si="24"/>
        <v>2.0631974162263228E-4</v>
      </c>
      <c r="O122" s="38">
        <v>-7.1109533000000003E-3</v>
      </c>
      <c r="P122" s="36">
        <f t="shared" si="25"/>
        <v>-7.5682716583773679E-3</v>
      </c>
      <c r="Q122" s="38">
        <v>-1.0258316999999999E-2</v>
      </c>
      <c r="R122" s="36">
        <f t="shared" si="25"/>
        <v>-1.0715635358377367E-2</v>
      </c>
      <c r="S122" s="38">
        <v>4.4150710000000003E-2</v>
      </c>
      <c r="T122" s="36">
        <f t="shared" si="26"/>
        <v>4.3693391641622635E-2</v>
      </c>
      <c r="U122" s="38">
        <v>2.8860570000000002E-2</v>
      </c>
      <c r="V122" s="36">
        <f t="shared" si="27"/>
        <v>2.8403251641622634E-2</v>
      </c>
      <c r="W122" s="38">
        <v>3.362155E-2</v>
      </c>
      <c r="X122" s="36">
        <f t="shared" si="28"/>
        <v>3.3164231641622632E-2</v>
      </c>
      <c r="Y122" s="38">
        <v>2.4210215E-2</v>
      </c>
      <c r="Z122" s="36">
        <f t="shared" si="29"/>
        <v>2.3752896641622633E-2</v>
      </c>
      <c r="AA122" s="38">
        <v>4.6657919999999999E-2</v>
      </c>
      <c r="AB122" s="36">
        <f t="shared" si="30"/>
        <v>4.6200601641622631E-2</v>
      </c>
      <c r="AC122" s="38">
        <v>3.2981037999999997E-2</v>
      </c>
      <c r="AD122" s="36">
        <f t="shared" si="31"/>
        <v>3.252371964162263E-2</v>
      </c>
      <c r="AE122" s="38">
        <v>4.7744512999999995E-3</v>
      </c>
      <c r="AF122" s="36">
        <f t="shared" si="32"/>
        <v>4.3171329416226319E-3</v>
      </c>
    </row>
    <row r="123" spans="2:32" outlineLevel="1" x14ac:dyDescent="0.25">
      <c r="B123" s="38">
        <v>2.3869999999999999E-2</v>
      </c>
      <c r="C123" s="37">
        <f t="shared" si="22"/>
        <v>4.5374840177414555E-4</v>
      </c>
      <c r="E123" s="40">
        <v>45345</v>
      </c>
      <c r="F123" s="38">
        <v>-1.7761527999999999E-2</v>
      </c>
      <c r="G123" s="38">
        <v>1.151371E-2</v>
      </c>
      <c r="H123" s="36">
        <f t="shared" si="23"/>
        <v>-1.8215276401774144E-2</v>
      </c>
      <c r="I123" s="36">
        <f t="shared" si="24"/>
        <v>1.1059961598225854E-2</v>
      </c>
      <c r="O123" s="38">
        <v>3.5120963999999998E-2</v>
      </c>
      <c r="P123" s="36">
        <f t="shared" si="25"/>
        <v>3.4667215598225852E-2</v>
      </c>
      <c r="Q123" s="38">
        <v>4.1252375000000001E-2</v>
      </c>
      <c r="R123" s="36">
        <f t="shared" si="25"/>
        <v>4.0798626598225855E-2</v>
      </c>
      <c r="S123" s="38">
        <v>1.5681504999999998E-2</v>
      </c>
      <c r="T123" s="36">
        <f t="shared" si="26"/>
        <v>1.5227756598225853E-2</v>
      </c>
      <c r="U123" s="38">
        <v>2.5168180000000002E-2</v>
      </c>
      <c r="V123" s="36">
        <f t="shared" si="27"/>
        <v>2.4714431598225856E-2</v>
      </c>
      <c r="W123" s="38">
        <v>6.3817262999999999E-2</v>
      </c>
      <c r="X123" s="36">
        <f t="shared" si="28"/>
        <v>6.3363514598225854E-2</v>
      </c>
      <c r="Y123" s="38">
        <v>-1.756841E-2</v>
      </c>
      <c r="Z123" s="36">
        <f t="shared" si="29"/>
        <v>-1.8022158401774145E-2</v>
      </c>
      <c r="AA123" s="38">
        <v>2.4530530000000002E-2</v>
      </c>
      <c r="AB123" s="36">
        <f t="shared" si="30"/>
        <v>2.4076781598225856E-2</v>
      </c>
      <c r="AC123" s="38">
        <v>1.9299626E-2</v>
      </c>
      <c r="AD123" s="36">
        <f t="shared" si="31"/>
        <v>1.8845877598225855E-2</v>
      </c>
      <c r="AE123" s="38">
        <v>2.0328879999999997E-2</v>
      </c>
      <c r="AF123" s="36">
        <f t="shared" si="32"/>
        <v>1.9875131598225852E-2</v>
      </c>
    </row>
    <row r="124" spans="2:32" outlineLevel="1" x14ac:dyDescent="0.25">
      <c r="B124" s="38">
        <v>2.4E-2</v>
      </c>
      <c r="C124" s="37">
        <f t="shared" si="22"/>
        <v>4.561910738456465E-4</v>
      </c>
      <c r="E124" s="40">
        <v>45338</v>
      </c>
      <c r="F124" s="38">
        <v>2.2569537000000001E-2</v>
      </c>
      <c r="G124" s="38">
        <v>1.3943076E-2</v>
      </c>
      <c r="H124" s="36">
        <f t="shared" si="23"/>
        <v>2.2113345926154354E-2</v>
      </c>
      <c r="I124" s="36">
        <f t="shared" si="24"/>
        <v>1.3486884926154354E-2</v>
      </c>
      <c r="O124" s="38">
        <v>5.8312892999999998E-2</v>
      </c>
      <c r="P124" s="36">
        <f t="shared" si="25"/>
        <v>5.7856701926154351E-2</v>
      </c>
      <c r="Q124" s="38">
        <v>1.6473174E-2</v>
      </c>
      <c r="R124" s="36">
        <f t="shared" si="25"/>
        <v>1.6016982926154354E-2</v>
      </c>
      <c r="S124" s="38">
        <v>2.7049780000000002E-3</v>
      </c>
      <c r="T124" s="36">
        <f t="shared" si="26"/>
        <v>2.2487869261543537E-3</v>
      </c>
      <c r="U124" s="38">
        <v>2.0588278999999998E-2</v>
      </c>
      <c r="V124" s="36">
        <f t="shared" si="27"/>
        <v>2.0132087926154351E-2</v>
      </c>
      <c r="W124" s="38">
        <v>3.7892818000000002E-2</v>
      </c>
      <c r="X124" s="36">
        <f t="shared" si="28"/>
        <v>3.7436626926154355E-2</v>
      </c>
      <c r="Y124" s="38">
        <v>-2.861768E-2</v>
      </c>
      <c r="Z124" s="36">
        <f t="shared" si="29"/>
        <v>-2.9073871073845646E-2</v>
      </c>
      <c r="AA124" s="38">
        <v>2.2583723E-2</v>
      </c>
      <c r="AB124" s="36">
        <f t="shared" si="30"/>
        <v>2.2127531926154353E-2</v>
      </c>
      <c r="AC124" s="38">
        <v>5.0281286E-3</v>
      </c>
      <c r="AD124" s="36">
        <f t="shared" si="31"/>
        <v>4.5719375261543535E-3</v>
      </c>
      <c r="AE124" s="38">
        <v>2.3664594000000001E-2</v>
      </c>
      <c r="AF124" s="36">
        <f t="shared" si="32"/>
        <v>2.3208402926154354E-2</v>
      </c>
    </row>
    <row r="125" spans="2:32" outlineLevel="1" x14ac:dyDescent="0.25">
      <c r="B125" s="38">
        <v>2.3799999999999998E-2</v>
      </c>
      <c r="C125" s="37">
        <f t="shared" si="22"/>
        <v>4.5243299081776378E-4</v>
      </c>
      <c r="E125" s="40">
        <v>45331</v>
      </c>
      <c r="F125" s="38">
        <v>5.4647803000000002E-2</v>
      </c>
      <c r="G125" s="38">
        <v>1.8597841000000002E-3</v>
      </c>
      <c r="H125" s="36">
        <f t="shared" si="23"/>
        <v>5.4195370009182238E-2</v>
      </c>
      <c r="I125" s="36">
        <f t="shared" si="24"/>
        <v>1.4073511091822364E-3</v>
      </c>
      <c r="O125" s="38">
        <v>5.7176470000000007E-2</v>
      </c>
      <c r="P125" s="36">
        <f t="shared" si="25"/>
        <v>5.6724037009182243E-2</v>
      </c>
      <c r="Q125" s="38">
        <v>1.2893438E-2</v>
      </c>
      <c r="R125" s="36">
        <f t="shared" si="25"/>
        <v>1.2441005009182236E-2</v>
      </c>
      <c r="S125" s="38">
        <v>-4.7486249999999994E-2</v>
      </c>
      <c r="T125" s="36">
        <f t="shared" si="26"/>
        <v>-4.7938682990817758E-2</v>
      </c>
      <c r="U125" s="38">
        <v>4.1028740000000001E-2</v>
      </c>
      <c r="V125" s="36">
        <f t="shared" si="27"/>
        <v>4.0576307009182237E-2</v>
      </c>
      <c r="W125" s="38">
        <v>9.0146064999999994E-3</v>
      </c>
      <c r="X125" s="36">
        <f t="shared" si="28"/>
        <v>8.5621735091822356E-3</v>
      </c>
      <c r="Y125" s="38">
        <v>4.5981884000000001E-2</v>
      </c>
      <c r="Z125" s="36">
        <f t="shared" si="29"/>
        <v>4.5529451009182237E-2</v>
      </c>
      <c r="AA125" s="38">
        <v>0.11952030000000001</v>
      </c>
      <c r="AB125" s="36">
        <f t="shared" si="30"/>
        <v>0.11906786700918225</v>
      </c>
      <c r="AC125" s="38">
        <v>-7.5710415999999999E-3</v>
      </c>
      <c r="AD125" s="36">
        <f t="shared" si="31"/>
        <v>-8.0234745908177637E-3</v>
      </c>
      <c r="AE125" s="38">
        <v>3.602147E-2</v>
      </c>
      <c r="AF125" s="36">
        <f t="shared" si="32"/>
        <v>3.5569037009182236E-2</v>
      </c>
    </row>
    <row r="126" spans="2:32" outlineLevel="1" x14ac:dyDescent="0.25">
      <c r="B126" s="38">
        <v>2.2280000000000001E-2</v>
      </c>
      <c r="C126" s="37">
        <f t="shared" si="22"/>
        <v>4.2384800705153047E-4</v>
      </c>
      <c r="E126" s="40">
        <v>45324</v>
      </c>
      <c r="F126" s="38">
        <v>3.3328533E-2</v>
      </c>
      <c r="G126" s="38">
        <v>1.8596649999999998E-4</v>
      </c>
      <c r="H126" s="36">
        <f t="shared" si="23"/>
        <v>3.290468499294847E-2</v>
      </c>
      <c r="I126" s="36">
        <f t="shared" si="24"/>
        <v>-2.3788150705153049E-4</v>
      </c>
      <c r="O126" s="38">
        <v>8.8404059999999993E-2</v>
      </c>
      <c r="P126" s="36">
        <f t="shared" si="25"/>
        <v>8.7980211992948462E-2</v>
      </c>
      <c r="Q126" s="38">
        <v>3.2902479999999998E-2</v>
      </c>
      <c r="R126" s="36">
        <f t="shared" si="25"/>
        <v>3.2478631992948467E-2</v>
      </c>
      <c r="S126" s="38">
        <v>3.4813403999999999E-2</v>
      </c>
      <c r="T126" s="36">
        <f t="shared" si="26"/>
        <v>3.4389555992948469E-2</v>
      </c>
      <c r="U126" s="38">
        <v>3.3871530999999996E-2</v>
      </c>
      <c r="V126" s="36">
        <f t="shared" si="27"/>
        <v>3.3447682992948466E-2</v>
      </c>
      <c r="W126" s="38">
        <v>5.0277469999999998E-2</v>
      </c>
      <c r="X126" s="36">
        <f t="shared" si="28"/>
        <v>4.9853621992948467E-2</v>
      </c>
      <c r="Y126" s="38">
        <v>7.1816920000000006E-2</v>
      </c>
      <c r="Z126" s="36">
        <f t="shared" si="29"/>
        <v>7.1393071992948476E-2</v>
      </c>
      <c r="AA126" s="38">
        <v>2.4832367999999997E-2</v>
      </c>
      <c r="AB126" s="36">
        <f t="shared" si="30"/>
        <v>2.4408519992948467E-2</v>
      </c>
      <c r="AC126" s="38">
        <v>0.11222075999999999</v>
      </c>
      <c r="AD126" s="36">
        <f t="shared" si="31"/>
        <v>0.11179691199294846</v>
      </c>
      <c r="AE126" s="38">
        <v>3.7010431000000003E-2</v>
      </c>
      <c r="AF126" s="36">
        <f t="shared" si="32"/>
        <v>3.6586582992948473E-2</v>
      </c>
    </row>
    <row r="127" spans="2:32" outlineLevel="1" x14ac:dyDescent="0.25">
      <c r="B127" s="38">
        <v>2.308E-2</v>
      </c>
      <c r="C127" s="37">
        <f t="shared" si="22"/>
        <v>4.3889792753137868E-4</v>
      </c>
      <c r="E127" s="40">
        <v>45317</v>
      </c>
      <c r="F127" s="38">
        <v>3.3586025000000002E-3</v>
      </c>
      <c r="G127" s="38">
        <v>3.1114101000000002E-2</v>
      </c>
      <c r="H127" s="36">
        <f t="shared" si="23"/>
        <v>2.9197045724686215E-3</v>
      </c>
      <c r="I127" s="36">
        <f t="shared" si="24"/>
        <v>3.0675203072468623E-2</v>
      </c>
      <c r="O127" s="38">
        <v>-7.4224469999999996E-3</v>
      </c>
      <c r="P127" s="36">
        <f t="shared" si="25"/>
        <v>-7.8613449275313774E-3</v>
      </c>
      <c r="Q127" s="38">
        <v>9.8064540000000006E-2</v>
      </c>
      <c r="R127" s="36">
        <f t="shared" si="25"/>
        <v>9.7625642072468627E-2</v>
      </c>
      <c r="S127" s="38">
        <v>-1.6234457000000001E-2</v>
      </c>
      <c r="T127" s="36">
        <f t="shared" si="26"/>
        <v>-1.6673354927531379E-2</v>
      </c>
      <c r="U127" s="38">
        <v>2.676046E-2</v>
      </c>
      <c r="V127" s="36">
        <f t="shared" si="27"/>
        <v>2.6321562072468621E-2</v>
      </c>
      <c r="W127" s="38">
        <v>3.637278E-2</v>
      </c>
      <c r="X127" s="36">
        <f t="shared" si="28"/>
        <v>3.5933882072468622E-2</v>
      </c>
      <c r="Y127" s="38">
        <v>1.8883586000000001E-2</v>
      </c>
      <c r="Z127" s="36">
        <f t="shared" si="29"/>
        <v>1.8444688072468622E-2</v>
      </c>
      <c r="AA127" s="38">
        <v>-2.1488965000000002E-2</v>
      </c>
      <c r="AB127" s="36">
        <f t="shared" si="30"/>
        <v>-2.1927862927531381E-2</v>
      </c>
      <c r="AC127" s="38">
        <v>-7.4234009999999996E-3</v>
      </c>
      <c r="AD127" s="36">
        <f t="shared" si="31"/>
        <v>-7.8622989275313783E-3</v>
      </c>
      <c r="AE127" s="38">
        <v>-1.8751620999999999E-4</v>
      </c>
      <c r="AF127" s="36">
        <f t="shared" si="32"/>
        <v>-6.264141375313787E-4</v>
      </c>
    </row>
    <row r="128" spans="2:32" outlineLevel="1" x14ac:dyDescent="0.25">
      <c r="B128" s="38">
        <v>2.3450000000000002E-2</v>
      </c>
      <c r="C128" s="37">
        <f t="shared" si="22"/>
        <v>4.4585461262292014E-4</v>
      </c>
      <c r="E128" s="40">
        <v>45310</v>
      </c>
      <c r="F128" s="38">
        <v>-7.6799989999999999E-3</v>
      </c>
      <c r="G128" s="38">
        <v>-1.5773176999999999E-2</v>
      </c>
      <c r="H128" s="36">
        <f t="shared" si="23"/>
        <v>-8.12585361262292E-3</v>
      </c>
      <c r="I128" s="36">
        <f t="shared" si="24"/>
        <v>-1.6219031612622919E-2</v>
      </c>
      <c r="O128" s="38">
        <v>-3.8376926999999998E-2</v>
      </c>
      <c r="P128" s="36">
        <f t="shared" si="25"/>
        <v>-3.8822781612622918E-2</v>
      </c>
      <c r="Q128" s="38">
        <v>-3.4869193999999999E-2</v>
      </c>
      <c r="R128" s="36">
        <f t="shared" si="25"/>
        <v>-3.5315048612622919E-2</v>
      </c>
      <c r="S128" s="38">
        <v>-1.6963899000000001E-2</v>
      </c>
      <c r="T128" s="36">
        <f t="shared" si="26"/>
        <v>-1.7409753612622921E-2</v>
      </c>
      <c r="U128" s="38">
        <v>-4.6979846999999998E-2</v>
      </c>
      <c r="V128" s="36">
        <f t="shared" si="27"/>
        <v>-4.7425701612622918E-2</v>
      </c>
      <c r="W128" s="38">
        <v>-3.6668837000000003E-2</v>
      </c>
      <c r="X128" s="36">
        <f t="shared" si="28"/>
        <v>-3.7114691612622923E-2</v>
      </c>
      <c r="Y128" s="38">
        <v>-1.5278935E-2</v>
      </c>
      <c r="Z128" s="36">
        <f t="shared" si="29"/>
        <v>-1.5724789612622921E-2</v>
      </c>
      <c r="AA128" s="38">
        <v>2.7967572E-2</v>
      </c>
      <c r="AB128" s="36">
        <f t="shared" si="30"/>
        <v>2.7521717387377079E-2</v>
      </c>
      <c r="AC128" s="38">
        <v>1.4724612E-2</v>
      </c>
      <c r="AD128" s="36">
        <f t="shared" si="31"/>
        <v>1.427875738737708E-2</v>
      </c>
      <c r="AE128" s="38">
        <v>-6.1517954E-4</v>
      </c>
      <c r="AF128" s="36">
        <f t="shared" si="32"/>
        <v>-1.0610341526229201E-3</v>
      </c>
    </row>
    <row r="129" spans="2:32" outlineLevel="1" x14ac:dyDescent="0.25">
      <c r="B129" s="38">
        <v>2.2010000000000002E-2</v>
      </c>
      <c r="C129" s="37">
        <f t="shared" si="22"/>
        <v>4.1876605167501246E-4</v>
      </c>
      <c r="E129" s="40">
        <v>45303</v>
      </c>
      <c r="F129" s="38">
        <v>-5.127847E-2</v>
      </c>
      <c r="G129" s="38">
        <v>7.9774860000000002E-4</v>
      </c>
      <c r="H129" s="36">
        <f t="shared" si="23"/>
        <v>-5.1697236051675012E-2</v>
      </c>
      <c r="I129" s="36">
        <f t="shared" si="24"/>
        <v>3.7898254832498756E-4</v>
      </c>
      <c r="O129" s="38">
        <v>-2.6816129999999998E-3</v>
      </c>
      <c r="P129" s="36">
        <f t="shared" si="25"/>
        <v>-3.1003790516750123E-3</v>
      </c>
      <c r="Q129" s="38">
        <v>7.1070194000000001E-3</v>
      </c>
      <c r="R129" s="36">
        <f t="shared" si="25"/>
        <v>6.6882533483249877E-3</v>
      </c>
      <c r="S129" s="38">
        <v>4.8724412999999996E-3</v>
      </c>
      <c r="T129" s="36">
        <f t="shared" si="26"/>
        <v>4.4536752483249871E-3</v>
      </c>
      <c r="U129" s="38">
        <v>-3.7850259999999997E-2</v>
      </c>
      <c r="V129" s="36">
        <f t="shared" si="27"/>
        <v>-3.8269026051675009E-2</v>
      </c>
      <c r="W129" s="38">
        <v>-1.902473E-2</v>
      </c>
      <c r="X129" s="36">
        <f t="shared" si="28"/>
        <v>-1.9443496051675013E-2</v>
      </c>
      <c r="Y129" s="38">
        <v>-3.1764924999999999E-2</v>
      </c>
      <c r="Z129" s="36">
        <f t="shared" si="29"/>
        <v>-3.2183691051675012E-2</v>
      </c>
      <c r="AA129" s="38">
        <v>4.7152399999999997E-2</v>
      </c>
      <c r="AB129" s="36">
        <f t="shared" si="30"/>
        <v>4.6733633948324985E-2</v>
      </c>
      <c r="AC129" s="38">
        <v>-1.9122005000000001E-2</v>
      </c>
      <c r="AD129" s="36">
        <f t="shared" si="31"/>
        <v>-1.9540771051675013E-2</v>
      </c>
      <c r="AE129" s="38">
        <v>1.8971324000000001E-2</v>
      </c>
      <c r="AF129" s="36">
        <f t="shared" si="32"/>
        <v>1.8552557948324989E-2</v>
      </c>
    </row>
    <row r="130" spans="2:32" outlineLevel="1" x14ac:dyDescent="0.25">
      <c r="B130" s="38">
        <v>2.129E-2</v>
      </c>
      <c r="C130" s="37">
        <f t="shared" si="22"/>
        <v>4.0520773047592051E-4</v>
      </c>
      <c r="E130" s="40">
        <v>45296</v>
      </c>
      <c r="F130" s="38">
        <v>-1.4496683999999999E-2</v>
      </c>
      <c r="G130" s="38">
        <v>-5.4489374000000002E-3</v>
      </c>
      <c r="H130" s="36">
        <f t="shared" si="23"/>
        <v>-1.490189173047592E-2</v>
      </c>
      <c r="I130" s="36">
        <f t="shared" si="24"/>
        <v>-5.8541451304759207E-3</v>
      </c>
      <c r="O130" s="38">
        <v>-3.0260025999999999E-2</v>
      </c>
      <c r="P130" s="36">
        <f t="shared" si="25"/>
        <v>-3.0665233730475919E-2</v>
      </c>
      <c r="Q130" s="38">
        <v>9.7087619999999993E-3</v>
      </c>
      <c r="R130" s="36">
        <f t="shared" si="25"/>
        <v>9.3035542695240787E-3</v>
      </c>
      <c r="S130" s="38">
        <v>7.3975325000000007E-3</v>
      </c>
      <c r="T130" s="36">
        <f t="shared" si="26"/>
        <v>6.9923247695240802E-3</v>
      </c>
      <c r="U130" s="38">
        <v>-1.1906624E-3</v>
      </c>
      <c r="V130" s="36">
        <f t="shared" si="27"/>
        <v>-1.5958701304759205E-3</v>
      </c>
      <c r="W130" s="38">
        <v>0</v>
      </c>
      <c r="X130" s="36">
        <f t="shared" si="28"/>
        <v>-4.0520773047592051E-4</v>
      </c>
      <c r="Y130" s="38">
        <v>-2.1870493999999997E-2</v>
      </c>
      <c r="Z130" s="36">
        <f t="shared" si="29"/>
        <v>-2.2275701730475918E-2</v>
      </c>
      <c r="AA130" s="38">
        <v>2.6303887000000001E-2</v>
      </c>
      <c r="AB130" s="36">
        <f t="shared" si="30"/>
        <v>2.5898679269524081E-2</v>
      </c>
      <c r="AC130" s="38">
        <v>8.1547499999999988E-3</v>
      </c>
      <c r="AD130" s="36">
        <f t="shared" si="31"/>
        <v>7.7495422695240783E-3</v>
      </c>
      <c r="AE130" s="38">
        <v>2.7098536000000003E-2</v>
      </c>
      <c r="AF130" s="36">
        <f t="shared" si="32"/>
        <v>2.6693328269524082E-2</v>
      </c>
    </row>
    <row r="131" spans="2:32" outlineLevel="1" x14ac:dyDescent="0.25">
      <c r="B131" s="38">
        <v>2.0039999999999999E-2</v>
      </c>
      <c r="C131" s="37">
        <f t="shared" si="22"/>
        <v>3.8164669729856548E-4</v>
      </c>
      <c r="E131" s="40">
        <v>45289</v>
      </c>
      <c r="F131" s="38">
        <v>-2.0697950999999999E-2</v>
      </c>
      <c r="G131" s="38">
        <v>2.9103755999999995E-3</v>
      </c>
      <c r="H131" s="36">
        <f t="shared" si="23"/>
        <v>-2.1079597697298565E-2</v>
      </c>
      <c r="I131" s="36">
        <f t="shared" si="24"/>
        <v>2.5287289027014341E-3</v>
      </c>
      <c r="O131" s="38">
        <v>-3.5336018000000002E-3</v>
      </c>
      <c r="P131" s="36">
        <f t="shared" si="25"/>
        <v>-3.9152484972985657E-3</v>
      </c>
      <c r="Q131" s="38">
        <v>-9.615420999999999E-3</v>
      </c>
      <c r="R131" s="36">
        <f t="shared" si="25"/>
        <v>-9.9970676972985645E-3</v>
      </c>
      <c r="S131" s="38">
        <v>-1.2982130000000001E-2</v>
      </c>
      <c r="T131" s="36">
        <f t="shared" si="26"/>
        <v>-1.3363776697298567E-2</v>
      </c>
      <c r="U131" s="38">
        <v>1.3910532E-3</v>
      </c>
      <c r="V131" s="36">
        <f t="shared" si="27"/>
        <v>1.0094065027014345E-3</v>
      </c>
      <c r="W131" s="38">
        <v>-4.7732592000000003E-3</v>
      </c>
      <c r="X131" s="36">
        <f t="shared" si="28"/>
        <v>-5.1549058972985657E-3</v>
      </c>
      <c r="Y131" s="38">
        <v>-1.5993535999999999E-2</v>
      </c>
      <c r="Z131" s="36">
        <f t="shared" si="29"/>
        <v>-1.6375182697298565E-2</v>
      </c>
      <c r="AA131" s="38">
        <v>3.6598206000000001E-2</v>
      </c>
      <c r="AB131" s="36">
        <f t="shared" si="30"/>
        <v>3.6216559302701436E-2</v>
      </c>
      <c r="AC131" s="38">
        <v>-5.8456660000000002E-3</v>
      </c>
      <c r="AD131" s="36">
        <f t="shared" si="31"/>
        <v>-6.2273126972985657E-3</v>
      </c>
      <c r="AE131" s="38">
        <v>2.0358919999999999E-2</v>
      </c>
      <c r="AF131" s="36">
        <f t="shared" si="32"/>
        <v>1.9977273302701434E-2</v>
      </c>
    </row>
    <row r="132" spans="2:32" outlineLevel="1" x14ac:dyDescent="0.25">
      <c r="B132" s="38">
        <v>1.959E-2</v>
      </c>
      <c r="C132" s="37">
        <f t="shared" si="22"/>
        <v>3.7315779266844373E-4</v>
      </c>
      <c r="E132" s="40">
        <v>45282</v>
      </c>
      <c r="F132" s="38">
        <v>-4.0483770000000002E-2</v>
      </c>
      <c r="G132" s="38">
        <v>2.0772219000000001E-3</v>
      </c>
      <c r="H132" s="36">
        <f t="shared" si="23"/>
        <v>-4.0856927792668446E-2</v>
      </c>
      <c r="I132" s="36">
        <f t="shared" si="24"/>
        <v>1.7040641073315563E-3</v>
      </c>
      <c r="O132" s="38">
        <v>-1.4852643E-2</v>
      </c>
      <c r="P132" s="36">
        <f t="shared" si="25"/>
        <v>-1.5225800792668444E-2</v>
      </c>
      <c r="Q132" s="38">
        <v>-4.0128409999999996E-2</v>
      </c>
      <c r="R132" s="36">
        <f t="shared" si="25"/>
        <v>-4.050156779266844E-2</v>
      </c>
      <c r="S132" s="38">
        <v>1.340735E-2</v>
      </c>
      <c r="T132" s="36">
        <f t="shared" si="26"/>
        <v>1.3034192207331556E-2</v>
      </c>
      <c r="U132" s="38">
        <v>-2.3481429000000002E-2</v>
      </c>
      <c r="V132" s="36">
        <f t="shared" si="27"/>
        <v>-2.3854586792668445E-2</v>
      </c>
      <c r="W132" s="38">
        <v>-2.3613571999999999E-2</v>
      </c>
      <c r="X132" s="36">
        <f t="shared" si="28"/>
        <v>-2.3986729792668443E-2</v>
      </c>
      <c r="Y132" s="38">
        <v>1.8404245E-2</v>
      </c>
      <c r="Z132" s="36">
        <f t="shared" si="29"/>
        <v>1.8031087207331556E-2</v>
      </c>
      <c r="AA132" s="38">
        <v>-4.5191820000000001E-2</v>
      </c>
      <c r="AB132" s="36">
        <f t="shared" si="30"/>
        <v>-4.5564977792668444E-2</v>
      </c>
      <c r="AC132" s="38">
        <v>-7.6317789999999996E-4</v>
      </c>
      <c r="AD132" s="36">
        <f t="shared" si="31"/>
        <v>-1.1363356926684437E-3</v>
      </c>
      <c r="AE132" s="38">
        <v>2.4687051999999999E-3</v>
      </c>
      <c r="AF132" s="36">
        <f t="shared" si="32"/>
        <v>2.0955474073315562E-3</v>
      </c>
    </row>
    <row r="133" spans="2:32" outlineLevel="1" x14ac:dyDescent="0.25">
      <c r="B133" s="38">
        <v>2.0179999999999997E-2</v>
      </c>
      <c r="C133" s="37">
        <f t="shared" si="22"/>
        <v>3.8428694076353409E-4</v>
      </c>
      <c r="E133" s="40">
        <v>45275</v>
      </c>
      <c r="F133" s="38">
        <v>3.4096955999999998E-2</v>
      </c>
      <c r="G133" s="38">
        <v>9.2109440000000004E-3</v>
      </c>
      <c r="H133" s="36">
        <f t="shared" si="23"/>
        <v>3.3712669059236464E-2</v>
      </c>
      <c r="I133" s="36">
        <f t="shared" si="24"/>
        <v>8.8266570592364663E-3</v>
      </c>
      <c r="O133" s="38">
        <v>2.4732470000000003E-2</v>
      </c>
      <c r="P133" s="36">
        <f t="shared" si="25"/>
        <v>2.4348183059236469E-2</v>
      </c>
      <c r="Q133" s="38">
        <v>0</v>
      </c>
      <c r="R133" s="36">
        <f t="shared" si="25"/>
        <v>-3.8428694076353409E-4</v>
      </c>
      <c r="S133" s="38">
        <v>-1.2413144000000001E-2</v>
      </c>
      <c r="T133" s="36">
        <f t="shared" si="26"/>
        <v>-1.2797430940763535E-2</v>
      </c>
      <c r="U133" s="38">
        <v>2.1204947999999998E-2</v>
      </c>
      <c r="V133" s="36">
        <f t="shared" si="27"/>
        <v>2.0820661059236464E-2</v>
      </c>
      <c r="W133" s="38">
        <v>2.3858786E-2</v>
      </c>
      <c r="X133" s="36">
        <f t="shared" si="28"/>
        <v>2.3474499059236466E-2</v>
      </c>
      <c r="Y133" s="38">
        <v>7.7032329999999996E-2</v>
      </c>
      <c r="Z133" s="36">
        <f t="shared" si="29"/>
        <v>7.6648043059236462E-2</v>
      </c>
      <c r="AA133" s="38">
        <v>-2.4309397E-2</v>
      </c>
      <c r="AB133" s="36">
        <f t="shared" si="30"/>
        <v>-2.4693683940763534E-2</v>
      </c>
      <c r="AC133" s="38">
        <v>4.4409512999999998E-2</v>
      </c>
      <c r="AD133" s="36">
        <f t="shared" si="31"/>
        <v>4.4025226059236464E-2</v>
      </c>
      <c r="AE133" s="38">
        <v>-1.7746568000000001E-2</v>
      </c>
      <c r="AF133" s="36">
        <f t="shared" si="32"/>
        <v>-1.8130854940763535E-2</v>
      </c>
    </row>
    <row r="134" spans="2:32" outlineLevel="1" x14ac:dyDescent="0.25">
      <c r="B134" s="38">
        <v>2.257E-2</v>
      </c>
      <c r="C134" s="37">
        <f t="shared" si="22"/>
        <v>4.2930493748505327E-4</v>
      </c>
      <c r="E134" s="40">
        <v>45268</v>
      </c>
      <c r="F134" s="38">
        <v>4.7868729999999998E-2</v>
      </c>
      <c r="G134" s="38">
        <v>1.29987E-2</v>
      </c>
      <c r="H134" s="36">
        <f t="shared" si="23"/>
        <v>4.7439425062514945E-2</v>
      </c>
      <c r="I134" s="36">
        <f t="shared" si="24"/>
        <v>1.2569395062514947E-2</v>
      </c>
      <c r="O134" s="38">
        <v>4.5759797000000005E-2</v>
      </c>
      <c r="P134" s="36">
        <f t="shared" si="25"/>
        <v>4.5330492062514952E-2</v>
      </c>
      <c r="Q134" s="38">
        <v>5.1476835999999998E-2</v>
      </c>
      <c r="R134" s="36">
        <f t="shared" si="25"/>
        <v>5.1047531062514945E-2</v>
      </c>
      <c r="S134" s="38">
        <v>-1.7248333000000001E-2</v>
      </c>
      <c r="T134" s="36">
        <f t="shared" si="26"/>
        <v>-1.7677637937485054E-2</v>
      </c>
      <c r="U134" s="38">
        <v>4.9173473999999995E-2</v>
      </c>
      <c r="V134" s="36">
        <f t="shared" si="27"/>
        <v>4.8744169062514942E-2</v>
      </c>
      <c r="W134" s="38">
        <v>4.5394062999999998E-2</v>
      </c>
      <c r="X134" s="36">
        <f t="shared" si="28"/>
        <v>4.4964758062514945E-2</v>
      </c>
      <c r="Y134" s="38">
        <v>4.7117470000000002E-2</v>
      </c>
      <c r="Z134" s="36">
        <f t="shared" si="29"/>
        <v>4.6688165062514948E-2</v>
      </c>
      <c r="AA134" s="38">
        <v>-2.7190089999999997E-2</v>
      </c>
      <c r="AB134" s="36">
        <f t="shared" si="30"/>
        <v>-2.761939493748505E-2</v>
      </c>
      <c r="AC134" s="38">
        <v>4.9443364000000004E-2</v>
      </c>
      <c r="AD134" s="36">
        <f t="shared" si="31"/>
        <v>4.901405906251495E-2</v>
      </c>
      <c r="AE134" s="38">
        <v>-1.9908189999999999E-2</v>
      </c>
      <c r="AF134" s="36">
        <f t="shared" si="32"/>
        <v>-2.0337494937485052E-2</v>
      </c>
    </row>
    <row r="135" spans="2:32" outlineLevel="1" x14ac:dyDescent="0.25">
      <c r="B135" s="38">
        <v>2.3799999999999998E-2</v>
      </c>
      <c r="C135" s="37">
        <f t="shared" si="22"/>
        <v>4.5243299081776378E-4</v>
      </c>
      <c r="E135" s="40">
        <v>45261</v>
      </c>
      <c r="F135" s="38">
        <v>3.3357023999999999E-2</v>
      </c>
      <c r="G135" s="38">
        <v>1.3522387E-2</v>
      </c>
      <c r="H135" s="36">
        <f t="shared" si="23"/>
        <v>3.2904591009182235E-2</v>
      </c>
      <c r="I135" s="36">
        <f t="shared" si="24"/>
        <v>1.3069954009182237E-2</v>
      </c>
      <c r="O135" s="38">
        <v>6.9528580000000006E-2</v>
      </c>
      <c r="P135" s="36">
        <f t="shared" si="25"/>
        <v>6.9076147009182243E-2</v>
      </c>
      <c r="Q135" s="38">
        <v>-7.9531073999999993E-3</v>
      </c>
      <c r="R135" s="36">
        <f t="shared" si="25"/>
        <v>-8.4055403908177631E-3</v>
      </c>
      <c r="S135" s="38">
        <v>5.1220655E-3</v>
      </c>
      <c r="T135" s="36">
        <f t="shared" si="26"/>
        <v>4.6696325091822363E-3</v>
      </c>
      <c r="U135" s="38">
        <v>2.2753834999999997E-2</v>
      </c>
      <c r="V135" s="36">
        <f t="shared" si="27"/>
        <v>2.2301402009182233E-2</v>
      </c>
      <c r="W135" s="38">
        <v>2.6980877E-2</v>
      </c>
      <c r="X135" s="36">
        <f t="shared" si="28"/>
        <v>2.6528444009182237E-2</v>
      </c>
      <c r="Y135" s="38">
        <v>2.7118802000000001E-2</v>
      </c>
      <c r="Z135" s="36">
        <f t="shared" si="29"/>
        <v>2.6666369009182237E-2</v>
      </c>
      <c r="AA135" s="38">
        <v>3.3200859999999999E-2</v>
      </c>
      <c r="AB135" s="36">
        <f t="shared" si="30"/>
        <v>3.2748427009182235E-2</v>
      </c>
      <c r="AC135" s="38">
        <v>0.15940678</v>
      </c>
      <c r="AD135" s="36">
        <f t="shared" si="31"/>
        <v>0.15895434700918223</v>
      </c>
      <c r="AE135" s="38">
        <v>-4.1106939999999998E-3</v>
      </c>
      <c r="AF135" s="36">
        <f t="shared" si="32"/>
        <v>-4.5631269908177636E-3</v>
      </c>
    </row>
    <row r="136" spans="2:32" outlineLevel="1" x14ac:dyDescent="0.25">
      <c r="B136" s="38">
        <v>2.648E-2</v>
      </c>
      <c r="C136" s="37">
        <f t="shared" si="22"/>
        <v>5.0273158881530833E-4</v>
      </c>
      <c r="E136" s="40">
        <v>45254</v>
      </c>
      <c r="F136" s="38">
        <v>-1.3638914E-2</v>
      </c>
      <c r="G136" s="38">
        <v>9.1264250000000005E-3</v>
      </c>
      <c r="H136" s="36">
        <f t="shared" si="23"/>
        <v>-1.4141645588815309E-2</v>
      </c>
      <c r="I136" s="36">
        <f t="shared" si="24"/>
        <v>8.6236934111846922E-3</v>
      </c>
      <c r="O136" s="38">
        <v>1.7758607999999999E-2</v>
      </c>
      <c r="P136" s="36">
        <f t="shared" si="25"/>
        <v>1.725587641118469E-2</v>
      </c>
      <c r="Q136" s="38">
        <v>-1.158464E-2</v>
      </c>
      <c r="R136" s="36">
        <f t="shared" si="25"/>
        <v>-1.2087371588815309E-2</v>
      </c>
      <c r="S136" s="38">
        <v>-3.6008119999999998E-2</v>
      </c>
      <c r="T136" s="36">
        <f t="shared" si="26"/>
        <v>-3.6510851588815306E-2</v>
      </c>
      <c r="U136" s="38">
        <v>-1.2079774999999999E-2</v>
      </c>
      <c r="V136" s="36">
        <f t="shared" si="27"/>
        <v>-1.2582506588815308E-2</v>
      </c>
      <c r="W136" s="38">
        <v>-6.8253279999999996E-4</v>
      </c>
      <c r="X136" s="36">
        <f t="shared" si="28"/>
        <v>-1.1852643888153082E-3</v>
      </c>
      <c r="Y136" s="38">
        <v>7.7984332999999992E-3</v>
      </c>
      <c r="Z136" s="36">
        <f t="shared" si="29"/>
        <v>7.2957017111846909E-3</v>
      </c>
      <c r="AA136" s="38">
        <v>-3.514105E-2</v>
      </c>
      <c r="AB136" s="36">
        <f t="shared" si="30"/>
        <v>-3.5643781588815308E-2</v>
      </c>
      <c r="AC136" s="38">
        <v>5.2690506000000002E-4</v>
      </c>
      <c r="AD136" s="36">
        <f t="shared" si="31"/>
        <v>2.4173471184691687E-5</v>
      </c>
      <c r="AE136" s="38">
        <v>-3.8624108000000004E-2</v>
      </c>
      <c r="AF136" s="36">
        <f t="shared" si="32"/>
        <v>-3.9126839588815313E-2</v>
      </c>
    </row>
    <row r="137" spans="2:32" outlineLevel="1" x14ac:dyDescent="0.25">
      <c r="B137" s="38">
        <v>2.5840000000000002E-2</v>
      </c>
      <c r="C137" s="37">
        <f t="shared" si="22"/>
        <v>4.9073169959057417E-4</v>
      </c>
      <c r="E137" s="40">
        <v>45247</v>
      </c>
      <c r="F137" s="38">
        <v>4.5728563999999999E-2</v>
      </c>
      <c r="G137" s="38">
        <v>2.8219580000000001E-2</v>
      </c>
      <c r="H137" s="36">
        <f t="shared" si="23"/>
        <v>4.5237832300409425E-2</v>
      </c>
      <c r="I137" s="36">
        <f t="shared" si="24"/>
        <v>2.7728848300409427E-2</v>
      </c>
      <c r="O137" s="38">
        <v>2.7138233000000001E-2</v>
      </c>
      <c r="P137" s="36">
        <f t="shared" si="25"/>
        <v>2.6647501300409427E-2</v>
      </c>
      <c r="Q137" s="38">
        <v>5.4537535000000005E-2</v>
      </c>
      <c r="R137" s="36">
        <f t="shared" si="25"/>
        <v>5.4046803300409431E-2</v>
      </c>
      <c r="S137" s="38">
        <v>7.0662499999999996E-3</v>
      </c>
      <c r="T137" s="36">
        <f t="shared" si="26"/>
        <v>6.5755183004094254E-3</v>
      </c>
      <c r="U137" s="38">
        <v>4.4088599999999999E-2</v>
      </c>
      <c r="V137" s="36">
        <f t="shared" si="27"/>
        <v>4.3597868300409424E-2</v>
      </c>
      <c r="W137" s="38">
        <v>3.7351727000000001E-2</v>
      </c>
      <c r="X137" s="36">
        <f t="shared" si="28"/>
        <v>3.6860995300409427E-2</v>
      </c>
      <c r="Y137" s="38">
        <v>2.0822286999999998E-2</v>
      </c>
      <c r="Z137" s="36">
        <f t="shared" si="29"/>
        <v>2.0331555300409424E-2</v>
      </c>
      <c r="AA137" s="38">
        <v>2.4209738000000001E-2</v>
      </c>
      <c r="AB137" s="36">
        <f t="shared" si="30"/>
        <v>2.3719006300409427E-2</v>
      </c>
      <c r="AC137" s="38">
        <v>2.3140787999999999E-2</v>
      </c>
      <c r="AD137" s="36">
        <f t="shared" si="31"/>
        <v>2.2650056300409425E-2</v>
      </c>
      <c r="AE137" s="38">
        <v>1.7550468E-2</v>
      </c>
      <c r="AF137" s="36">
        <f t="shared" si="32"/>
        <v>1.7059736300409425E-2</v>
      </c>
    </row>
    <row r="138" spans="2:32" outlineLevel="1" x14ac:dyDescent="0.25">
      <c r="B138" s="38">
        <v>2.7140000000000001E-2</v>
      </c>
      <c r="C138" s="37">
        <f t="shared" si="22"/>
        <v>5.1509879154765237E-4</v>
      </c>
      <c r="E138" s="40">
        <v>45240</v>
      </c>
      <c r="F138" s="38">
        <v>-2.1016240000000002E-2</v>
      </c>
      <c r="G138" s="38">
        <v>-2.0934343E-3</v>
      </c>
      <c r="H138" s="36">
        <f t="shared" si="23"/>
        <v>-2.1531338791547654E-2</v>
      </c>
      <c r="I138" s="36">
        <f t="shared" si="24"/>
        <v>-2.6085330915476524E-3</v>
      </c>
      <c r="O138" s="38">
        <v>-3.8189948000000001E-2</v>
      </c>
      <c r="P138" s="36">
        <f t="shared" si="25"/>
        <v>-3.8705046791547654E-2</v>
      </c>
      <c r="Q138" s="38">
        <v>-2.3017942999999999E-2</v>
      </c>
      <c r="R138" s="36">
        <f t="shared" si="25"/>
        <v>-2.3533041791547651E-2</v>
      </c>
      <c r="S138" s="38">
        <v>1.2162328E-2</v>
      </c>
      <c r="T138" s="36">
        <f t="shared" si="26"/>
        <v>1.1647229208452348E-2</v>
      </c>
      <c r="U138" s="38">
        <v>-1.9042432000000001E-2</v>
      </c>
      <c r="V138" s="36">
        <f t="shared" si="27"/>
        <v>-1.9557530791547654E-2</v>
      </c>
      <c r="W138" s="38">
        <v>-2.4352312000000001E-2</v>
      </c>
      <c r="X138" s="36">
        <f t="shared" si="28"/>
        <v>-2.4867410791547653E-2</v>
      </c>
      <c r="Y138" s="38">
        <v>-6.0775099999999999E-2</v>
      </c>
      <c r="Z138" s="36">
        <f t="shared" si="29"/>
        <v>-6.1290198791547651E-2</v>
      </c>
      <c r="AA138" s="38">
        <v>7.2780850000000001E-3</v>
      </c>
      <c r="AB138" s="36">
        <f t="shared" si="30"/>
        <v>6.7629862084523477E-3</v>
      </c>
      <c r="AC138" s="38">
        <v>-9.2760269999999992E-2</v>
      </c>
      <c r="AD138" s="36">
        <f t="shared" si="31"/>
        <v>-9.3275368791547644E-2</v>
      </c>
      <c r="AE138" s="38">
        <v>2.2530556E-5</v>
      </c>
      <c r="AF138" s="36">
        <f t="shared" si="32"/>
        <v>-4.9256823554765232E-4</v>
      </c>
    </row>
    <row r="139" spans="2:32" outlineLevel="1" x14ac:dyDescent="0.25">
      <c r="B139" s="38">
        <v>2.6509999999999999E-2</v>
      </c>
      <c r="C139" s="37">
        <f t="shared" si="22"/>
        <v>5.032939035627404E-4</v>
      </c>
      <c r="E139" s="40">
        <v>45233</v>
      </c>
      <c r="F139" s="38">
        <v>7.0580959999999998E-2</v>
      </c>
      <c r="G139" s="38">
        <v>3.4126400000000001E-2</v>
      </c>
      <c r="H139" s="36">
        <f t="shared" si="23"/>
        <v>7.0077666096437258E-2</v>
      </c>
      <c r="I139" s="36">
        <f t="shared" si="24"/>
        <v>3.3623106096437261E-2</v>
      </c>
      <c r="O139" s="38">
        <v>7.9570293E-2</v>
      </c>
      <c r="P139" s="36">
        <f t="shared" si="25"/>
        <v>7.906699909643726E-2</v>
      </c>
      <c r="Q139" s="38">
        <v>0.10244358000000001</v>
      </c>
      <c r="R139" s="36">
        <f t="shared" si="25"/>
        <v>0.10194028609643727</v>
      </c>
      <c r="S139" s="38">
        <v>-9.7486969999999989E-3</v>
      </c>
      <c r="T139" s="36">
        <f t="shared" si="26"/>
        <v>-1.0251990903562739E-2</v>
      </c>
      <c r="U139" s="38">
        <v>5.0401210000000002E-2</v>
      </c>
      <c r="V139" s="36">
        <f t="shared" si="27"/>
        <v>4.9897916096437261E-2</v>
      </c>
      <c r="W139" s="38">
        <v>3.0065894000000003E-2</v>
      </c>
      <c r="X139" s="36">
        <f t="shared" si="28"/>
        <v>2.9562600096437262E-2</v>
      </c>
      <c r="Y139" s="38">
        <v>4.4979690000000003E-2</v>
      </c>
      <c r="Z139" s="36">
        <f t="shared" si="29"/>
        <v>4.4476396096437262E-2</v>
      </c>
      <c r="AA139" s="38">
        <v>3.2717705E-2</v>
      </c>
      <c r="AB139" s="36">
        <f t="shared" si="30"/>
        <v>3.2214411096437259E-2</v>
      </c>
      <c r="AC139" s="38">
        <v>7.7938557000000006E-2</v>
      </c>
      <c r="AD139" s="36">
        <f t="shared" si="31"/>
        <v>7.7435263096437265E-2</v>
      </c>
      <c r="AE139" s="38">
        <v>-2.6361704E-2</v>
      </c>
      <c r="AF139" s="36">
        <f t="shared" si="32"/>
        <v>-2.686499790356274E-2</v>
      </c>
    </row>
    <row r="140" spans="2:32" outlineLevel="1" x14ac:dyDescent="0.25">
      <c r="B140" s="38">
        <v>2.835E-2</v>
      </c>
      <c r="C140" s="37">
        <f t="shared" si="22"/>
        <v>5.3775176769321753E-4</v>
      </c>
      <c r="E140" s="40">
        <v>45226</v>
      </c>
      <c r="F140" s="38">
        <v>-2.3917020000000001E-2</v>
      </c>
      <c r="G140" s="38">
        <v>-9.5682144000000004E-3</v>
      </c>
      <c r="H140" s="36">
        <f t="shared" si="23"/>
        <v>-2.4454771767693218E-2</v>
      </c>
      <c r="I140" s="36">
        <f t="shared" si="24"/>
        <v>-1.0105966167693218E-2</v>
      </c>
      <c r="O140" s="38">
        <v>-1.8698989999999999E-2</v>
      </c>
      <c r="P140" s="36">
        <f t="shared" si="25"/>
        <v>-1.9236741767693216E-2</v>
      </c>
      <c r="Q140" s="38">
        <v>-7.9584780000000008E-2</v>
      </c>
      <c r="R140" s="36">
        <f t="shared" si="25"/>
        <v>-8.0122531767693225E-2</v>
      </c>
      <c r="S140" s="38">
        <v>-1.0012209999999999E-2</v>
      </c>
      <c r="T140" s="36">
        <f t="shared" si="26"/>
        <v>-1.0549961767693216E-2</v>
      </c>
      <c r="U140" s="38">
        <v>-5.4189800000000003E-2</v>
      </c>
      <c r="V140" s="36">
        <f t="shared" si="27"/>
        <v>-5.4727551767693221E-2</v>
      </c>
      <c r="W140" s="38">
        <v>-9.3533279999999996E-2</v>
      </c>
      <c r="X140" s="36">
        <f t="shared" si="28"/>
        <v>-9.4071031767693214E-2</v>
      </c>
      <c r="Y140" s="38">
        <v>-0.14356147999999999</v>
      </c>
      <c r="Z140" s="36">
        <f t="shared" si="29"/>
        <v>-0.14409923176769321</v>
      </c>
      <c r="AA140" s="38">
        <v>1.1077166000000001E-2</v>
      </c>
      <c r="AB140" s="36">
        <f t="shared" si="30"/>
        <v>1.0539414232306784E-2</v>
      </c>
      <c r="AC140" s="38">
        <v>-8.1441520000000003E-2</v>
      </c>
      <c r="AD140" s="36">
        <f t="shared" si="31"/>
        <v>-8.1979271767693221E-2</v>
      </c>
      <c r="AE140" s="38">
        <v>-1.9897699000000001E-2</v>
      </c>
      <c r="AF140" s="36">
        <f t="shared" si="32"/>
        <v>-2.0435450767693219E-2</v>
      </c>
    </row>
    <row r="141" spans="2:32" outlineLevel="1" x14ac:dyDescent="0.25">
      <c r="B141" s="38">
        <v>2.8889999999999999E-2</v>
      </c>
      <c r="C141" s="37">
        <f t="shared" si="22"/>
        <v>5.4785292498826799E-4</v>
      </c>
      <c r="E141" s="40">
        <v>45219</v>
      </c>
      <c r="F141" s="38">
        <v>-8.303445999999999E-2</v>
      </c>
      <c r="G141" s="38">
        <v>-3.4395993E-2</v>
      </c>
      <c r="H141" s="36">
        <f t="shared" si="23"/>
        <v>-8.3582312924988258E-2</v>
      </c>
      <c r="I141" s="36">
        <f t="shared" si="24"/>
        <v>-3.4943845924988268E-2</v>
      </c>
      <c r="O141" s="38">
        <v>-6.2772154999999996E-2</v>
      </c>
      <c r="P141" s="36">
        <f t="shared" si="25"/>
        <v>-6.3320007924988264E-2</v>
      </c>
      <c r="Q141" s="38">
        <v>-4.8559666000000001E-2</v>
      </c>
      <c r="R141" s="36">
        <f t="shared" si="25"/>
        <v>-4.9107518924988269E-2</v>
      </c>
      <c r="S141" s="38">
        <v>-4.3392179999999995E-2</v>
      </c>
      <c r="T141" s="36">
        <f t="shared" si="26"/>
        <v>-4.3940032924988263E-2</v>
      </c>
      <c r="U141" s="38">
        <v>-4.2962429999999996E-2</v>
      </c>
      <c r="V141" s="36">
        <f t="shared" si="27"/>
        <v>-4.3510282924988264E-2</v>
      </c>
      <c r="W141" s="38">
        <v>-3.5914183000000002E-2</v>
      </c>
      <c r="X141" s="36">
        <f t="shared" si="28"/>
        <v>-3.646203592498827E-2</v>
      </c>
      <c r="Y141" s="38">
        <v>-2.2306620000000003E-2</v>
      </c>
      <c r="Z141" s="36">
        <f t="shared" si="29"/>
        <v>-2.2854472924988271E-2</v>
      </c>
      <c r="AA141" s="38">
        <v>-3.5467266999999997E-2</v>
      </c>
      <c r="AB141" s="36">
        <f t="shared" si="30"/>
        <v>-3.6015119924988265E-2</v>
      </c>
      <c r="AC141" s="38">
        <v>-8.0276129999999994E-3</v>
      </c>
      <c r="AD141" s="36">
        <f t="shared" si="31"/>
        <v>-8.5754659249882674E-3</v>
      </c>
      <c r="AE141" s="38">
        <v>-3.9213717000000002E-2</v>
      </c>
      <c r="AF141" s="36">
        <f t="shared" si="32"/>
        <v>-3.976156992498827E-2</v>
      </c>
    </row>
    <row r="142" spans="2:32" outlineLevel="1" x14ac:dyDescent="0.25">
      <c r="B142" s="38">
        <v>2.7389999999999998E-2</v>
      </c>
      <c r="C142" s="37">
        <f t="shared" si="22"/>
        <v>5.197813028994247E-4</v>
      </c>
      <c r="E142" s="40">
        <v>45212</v>
      </c>
      <c r="F142" s="38">
        <v>1.4695644000000001E-2</v>
      </c>
      <c r="G142" s="38">
        <v>9.5521210000000002E-3</v>
      </c>
      <c r="H142" s="36">
        <f t="shared" si="23"/>
        <v>1.4175862697100576E-2</v>
      </c>
      <c r="I142" s="36">
        <f t="shared" si="24"/>
        <v>9.0323396971005755E-3</v>
      </c>
      <c r="O142" s="38">
        <v>4.6227455000000001E-2</v>
      </c>
      <c r="P142" s="36">
        <f t="shared" si="25"/>
        <v>4.5707673697100576E-2</v>
      </c>
      <c r="Q142" s="38">
        <v>2.0618439000000001E-3</v>
      </c>
      <c r="R142" s="36">
        <f t="shared" si="25"/>
        <v>1.5420625971005754E-3</v>
      </c>
      <c r="S142" s="38">
        <v>2.6699423999999999E-2</v>
      </c>
      <c r="T142" s="36">
        <f t="shared" si="26"/>
        <v>2.6179642697100575E-2</v>
      </c>
      <c r="U142" s="38">
        <v>2.1418929999999999E-2</v>
      </c>
      <c r="V142" s="36">
        <f t="shared" si="27"/>
        <v>2.0899148697100575E-2</v>
      </c>
      <c r="W142" s="38">
        <v>7.3610543999999998E-3</v>
      </c>
      <c r="X142" s="36">
        <f t="shared" si="28"/>
        <v>6.8412730971005751E-3</v>
      </c>
      <c r="Y142" s="38">
        <v>-1.2553811E-2</v>
      </c>
      <c r="Z142" s="36">
        <f t="shared" si="29"/>
        <v>-1.3073592302899424E-2</v>
      </c>
      <c r="AA142" s="38">
        <v>4.6252250000000002E-2</v>
      </c>
      <c r="AB142" s="36">
        <f t="shared" si="30"/>
        <v>4.5732468697100577E-2</v>
      </c>
      <c r="AC142" s="38">
        <v>-3.6930860000000003E-2</v>
      </c>
      <c r="AD142" s="36">
        <f t="shared" si="31"/>
        <v>-3.7450641302899428E-2</v>
      </c>
      <c r="AE142" s="38">
        <v>4.0881394999999994E-2</v>
      </c>
      <c r="AF142" s="36">
        <f t="shared" si="32"/>
        <v>4.0361613697100569E-2</v>
      </c>
    </row>
    <row r="143" spans="2:32" outlineLevel="1" x14ac:dyDescent="0.25">
      <c r="B143" s="38">
        <v>2.912E-2</v>
      </c>
      <c r="C143" s="37">
        <f t="shared" si="22"/>
        <v>5.5215369092076472E-4</v>
      </c>
      <c r="E143" s="40">
        <v>45205</v>
      </c>
      <c r="F143" s="38">
        <v>-8.1029000000000004E-2</v>
      </c>
      <c r="G143" s="38">
        <v>-1.1749803999999999E-2</v>
      </c>
      <c r="H143" s="36">
        <f t="shared" si="23"/>
        <v>-8.1581153690920769E-2</v>
      </c>
      <c r="I143" s="36">
        <f t="shared" si="24"/>
        <v>-1.2301957690920764E-2</v>
      </c>
      <c r="O143" s="38">
        <v>-1.1641979E-2</v>
      </c>
      <c r="P143" s="36">
        <f t="shared" si="25"/>
        <v>-1.2194132690920765E-2</v>
      </c>
      <c r="Q143" s="38">
        <v>-2.7666389999999999E-2</v>
      </c>
      <c r="R143" s="36">
        <f t="shared" si="25"/>
        <v>-2.8218543690920764E-2</v>
      </c>
      <c r="S143" s="38">
        <v>-7.7647090000000002E-2</v>
      </c>
      <c r="T143" s="36">
        <f t="shared" si="26"/>
        <v>-7.8199243690920767E-2</v>
      </c>
      <c r="U143" s="38">
        <v>-6.9516299999999994E-3</v>
      </c>
      <c r="V143" s="36">
        <f t="shared" si="27"/>
        <v>-7.5037836909207642E-3</v>
      </c>
      <c r="W143" s="38">
        <v>-3.0960679999999997E-2</v>
      </c>
      <c r="X143" s="36">
        <f t="shared" si="28"/>
        <v>-3.1512833690920762E-2</v>
      </c>
      <c r="Y143" s="38">
        <v>-2.9324055000000002E-2</v>
      </c>
      <c r="Z143" s="36">
        <f t="shared" si="29"/>
        <v>-2.9876208690920766E-2</v>
      </c>
      <c r="AA143" s="38">
        <v>-3.5872817000000001E-2</v>
      </c>
      <c r="AB143" s="36">
        <f t="shared" si="30"/>
        <v>-3.6424970690920766E-2</v>
      </c>
      <c r="AC143" s="38">
        <v>-5.8426676000000004E-2</v>
      </c>
      <c r="AD143" s="36">
        <f t="shared" si="31"/>
        <v>-5.8978829690920768E-2</v>
      </c>
      <c r="AE143" s="38">
        <v>-3.4216999999999997E-2</v>
      </c>
      <c r="AF143" s="36">
        <f t="shared" si="32"/>
        <v>-3.4769153690920762E-2</v>
      </c>
    </row>
    <row r="144" spans="2:32" outlineLevel="1" x14ac:dyDescent="0.25">
      <c r="B144" s="38">
        <v>2.8159999999999998E-2</v>
      </c>
      <c r="C144" s="37">
        <f t="shared" si="22"/>
        <v>5.3419641952467956E-4</v>
      </c>
      <c r="E144" s="40">
        <v>45198</v>
      </c>
      <c r="F144" s="38">
        <v>1.3689755999999999E-2</v>
      </c>
      <c r="G144" s="38">
        <v>-6.7070126999999998E-3</v>
      </c>
      <c r="H144" s="36">
        <f t="shared" si="23"/>
        <v>1.315555958047532E-2</v>
      </c>
      <c r="I144" s="36">
        <f t="shared" si="24"/>
        <v>-7.2412091195246794E-3</v>
      </c>
      <c r="O144" s="38">
        <v>-4.1561723000000002E-3</v>
      </c>
      <c r="P144" s="36">
        <f t="shared" si="25"/>
        <v>-4.6903687195246797E-3</v>
      </c>
      <c r="Q144" s="38">
        <v>-5.7088850000000003E-2</v>
      </c>
      <c r="R144" s="36">
        <f t="shared" si="25"/>
        <v>-5.7623046419524683E-2</v>
      </c>
      <c r="S144" s="38">
        <v>-4.0554404000000002E-2</v>
      </c>
      <c r="T144" s="36">
        <f t="shared" si="26"/>
        <v>-4.1088600419524682E-2</v>
      </c>
      <c r="U144" s="38">
        <v>-2.9112518E-2</v>
      </c>
      <c r="V144" s="36">
        <f t="shared" si="27"/>
        <v>-2.964671441952468E-2</v>
      </c>
      <c r="W144" s="38">
        <v>-2.1387219999999998E-2</v>
      </c>
      <c r="X144" s="36">
        <f t="shared" si="28"/>
        <v>-2.1921416419524678E-2</v>
      </c>
      <c r="Y144" s="38">
        <v>5.8488846000000006E-3</v>
      </c>
      <c r="Z144" s="36">
        <f t="shared" si="29"/>
        <v>5.314688180475321E-3</v>
      </c>
      <c r="AA144" s="38">
        <v>-4.0796875999999996E-2</v>
      </c>
      <c r="AB144" s="36">
        <f t="shared" si="30"/>
        <v>-4.1331072419524675E-2</v>
      </c>
      <c r="AC144" s="38">
        <v>1.8709064000000001E-2</v>
      </c>
      <c r="AD144" s="36">
        <f t="shared" si="31"/>
        <v>1.8174867580475321E-2</v>
      </c>
      <c r="AE144" s="38">
        <v>-4.0761174999999997E-2</v>
      </c>
      <c r="AF144" s="36">
        <f t="shared" si="32"/>
        <v>-4.1295371419524676E-2</v>
      </c>
    </row>
    <row r="145" spans="2:32" outlineLevel="1" x14ac:dyDescent="0.25">
      <c r="B145" s="38">
        <v>2.741E-2</v>
      </c>
      <c r="C145" s="37">
        <f t="shared" si="22"/>
        <v>5.201558555298913E-4</v>
      </c>
      <c r="E145" s="40">
        <v>45191</v>
      </c>
      <c r="F145" s="38">
        <v>5.3741930000000002E-3</v>
      </c>
      <c r="G145" s="38">
        <v>-1.8769026000000001E-2</v>
      </c>
      <c r="H145" s="36">
        <f t="shared" si="23"/>
        <v>4.8540371444701089E-3</v>
      </c>
      <c r="I145" s="36">
        <f t="shared" si="24"/>
        <v>-1.9289181855529892E-2</v>
      </c>
      <c r="O145" s="38">
        <v>2.1221876000000001E-2</v>
      </c>
      <c r="P145" s="36">
        <f t="shared" si="25"/>
        <v>2.0701720144470109E-2</v>
      </c>
      <c r="Q145" s="38">
        <v>6.2248945000000007E-2</v>
      </c>
      <c r="R145" s="36">
        <f t="shared" si="25"/>
        <v>6.1728789144470116E-2</v>
      </c>
      <c r="S145" s="38">
        <v>1.4591098E-2</v>
      </c>
      <c r="T145" s="36">
        <f t="shared" si="26"/>
        <v>1.4070942144470109E-2</v>
      </c>
      <c r="U145" s="38">
        <v>1.8049359000000001E-2</v>
      </c>
      <c r="V145" s="36">
        <f t="shared" si="27"/>
        <v>1.752920314447011E-2</v>
      </c>
      <c r="W145" s="38">
        <v>1.7855167E-3</v>
      </c>
      <c r="X145" s="36">
        <f t="shared" si="28"/>
        <v>1.2653608444701087E-3</v>
      </c>
      <c r="Y145" s="38">
        <v>-1.3488233000000001E-2</v>
      </c>
      <c r="Z145" s="36">
        <f t="shared" si="29"/>
        <v>-1.4008388855529892E-2</v>
      </c>
      <c r="AA145" s="38">
        <v>-1.244396E-2</v>
      </c>
      <c r="AB145" s="36">
        <f t="shared" si="30"/>
        <v>-1.2964115855529892E-2</v>
      </c>
      <c r="AC145" s="38">
        <v>-3.9588093999999997E-2</v>
      </c>
      <c r="AD145" s="36">
        <f t="shared" si="31"/>
        <v>-4.0108249855529889E-2</v>
      </c>
      <c r="AE145" s="38">
        <v>4.2915344000000006E-6</v>
      </c>
      <c r="AF145" s="36">
        <f t="shared" si="32"/>
        <v>-5.1586432112989133E-4</v>
      </c>
    </row>
    <row r="146" spans="2:32" outlineLevel="1" x14ac:dyDescent="0.25">
      <c r="B146" s="38">
        <v>2.6680000000000002E-2</v>
      </c>
      <c r="C146" s="37">
        <f t="shared" si="22"/>
        <v>5.0648004938325109E-4</v>
      </c>
      <c r="E146" s="40">
        <v>45184</v>
      </c>
      <c r="F146" s="38">
        <v>6.0024977E-2</v>
      </c>
      <c r="G146" s="38">
        <v>1.5989899999999998E-2</v>
      </c>
      <c r="H146" s="36">
        <f t="shared" si="23"/>
        <v>5.9518496950616749E-2</v>
      </c>
      <c r="I146" s="36">
        <f t="shared" si="24"/>
        <v>1.5483419950616747E-2</v>
      </c>
      <c r="O146" s="38">
        <v>5.3294180000000003E-2</v>
      </c>
      <c r="P146" s="36">
        <f t="shared" si="25"/>
        <v>5.2787699950616752E-2</v>
      </c>
      <c r="Q146" s="38">
        <v>2.6804089999999999E-2</v>
      </c>
      <c r="R146" s="36">
        <f t="shared" si="25"/>
        <v>2.6297609950616748E-2</v>
      </c>
      <c r="S146" s="38">
        <v>8.9502220000000007E-2</v>
      </c>
      <c r="T146" s="36">
        <f t="shared" si="26"/>
        <v>8.8995739950616756E-2</v>
      </c>
      <c r="U146" s="38">
        <v>1.9765735E-2</v>
      </c>
      <c r="V146" s="36">
        <f t="shared" si="27"/>
        <v>1.9259254950616748E-2</v>
      </c>
      <c r="W146" s="38">
        <v>2.0963072999999999E-2</v>
      </c>
      <c r="X146" s="36">
        <f t="shared" si="28"/>
        <v>2.0456592950616748E-2</v>
      </c>
      <c r="Y146" s="38">
        <v>2.9864788E-2</v>
      </c>
      <c r="Z146" s="36">
        <f t="shared" si="29"/>
        <v>2.9358307950616749E-2</v>
      </c>
      <c r="AA146" s="38">
        <v>8.7471010000000002E-2</v>
      </c>
      <c r="AB146" s="36">
        <f t="shared" si="30"/>
        <v>8.6964529950616751E-2</v>
      </c>
      <c r="AC146" s="38">
        <v>3.5034059999999999E-2</v>
      </c>
      <c r="AD146" s="36">
        <f t="shared" si="31"/>
        <v>3.4527579950616748E-2</v>
      </c>
      <c r="AE146" s="38">
        <v>6.3832283000000004E-2</v>
      </c>
      <c r="AF146" s="36">
        <f t="shared" si="32"/>
        <v>6.3325802950616752E-2</v>
      </c>
    </row>
    <row r="147" spans="2:32" outlineLevel="1" x14ac:dyDescent="0.25">
      <c r="B147" s="38">
        <v>2.5990000000000003E-2</v>
      </c>
      <c r="C147" s="37">
        <f t="shared" si="22"/>
        <v>4.9354483227626034E-4</v>
      </c>
      <c r="E147" s="40">
        <v>45177</v>
      </c>
      <c r="F147" s="38">
        <v>2.814293E-2</v>
      </c>
      <c r="G147" s="38">
        <v>-7.5742600000000002E-3</v>
      </c>
      <c r="H147" s="36">
        <f t="shared" si="23"/>
        <v>2.764938516772374E-2</v>
      </c>
      <c r="I147" s="36">
        <f t="shared" si="24"/>
        <v>-8.0678048322762597E-3</v>
      </c>
      <c r="O147" s="38">
        <v>1.1904836E-2</v>
      </c>
      <c r="P147" s="36">
        <f t="shared" si="25"/>
        <v>1.141129116772374E-2</v>
      </c>
      <c r="Q147" s="38">
        <v>-3.2322466000000001E-2</v>
      </c>
      <c r="R147" s="36">
        <f t="shared" si="25"/>
        <v>-3.2816010832276261E-2</v>
      </c>
      <c r="S147" s="38">
        <v>7.1568489999999998E-3</v>
      </c>
      <c r="T147" s="36">
        <f t="shared" si="26"/>
        <v>6.6633041677237395E-3</v>
      </c>
      <c r="U147" s="38">
        <v>1.5074372000000001E-2</v>
      </c>
      <c r="V147" s="36">
        <f t="shared" si="27"/>
        <v>1.458082716772374E-2</v>
      </c>
      <c r="W147" s="38">
        <v>-4.554987E-4</v>
      </c>
      <c r="X147" s="36">
        <f t="shared" si="28"/>
        <v>-9.4904353227626029E-4</v>
      </c>
      <c r="Y147" s="38">
        <v>2.1926044999999998E-2</v>
      </c>
      <c r="Z147" s="36">
        <f t="shared" si="29"/>
        <v>2.1432500167723738E-2</v>
      </c>
      <c r="AA147" s="38">
        <v>3.0522345999999999E-2</v>
      </c>
      <c r="AB147" s="36">
        <f t="shared" si="30"/>
        <v>3.0028801167723738E-2</v>
      </c>
      <c r="AC147" s="38">
        <v>-9.1100334999999998E-3</v>
      </c>
      <c r="AD147" s="36">
        <f t="shared" si="31"/>
        <v>-9.6035783322762601E-3</v>
      </c>
      <c r="AE147" s="38">
        <v>4.6492696E-2</v>
      </c>
      <c r="AF147" s="36">
        <f t="shared" si="32"/>
        <v>4.599915116772374E-2</v>
      </c>
    </row>
    <row r="148" spans="2:32" outlineLevel="1" x14ac:dyDescent="0.25">
      <c r="B148" s="38">
        <v>2.5160000000000002E-2</v>
      </c>
      <c r="C148" s="37">
        <f t="shared" si="22"/>
        <v>4.7797376941050018E-4</v>
      </c>
      <c r="E148" s="40">
        <v>45170</v>
      </c>
      <c r="F148" s="38">
        <v>-3.8593589999999997E-2</v>
      </c>
      <c r="G148" s="38">
        <v>1.4931679E-2</v>
      </c>
      <c r="H148" s="36">
        <f t="shared" si="23"/>
        <v>-3.9071563769410497E-2</v>
      </c>
      <c r="I148" s="36">
        <f t="shared" si="24"/>
        <v>1.44537052305895E-2</v>
      </c>
      <c r="O148" s="38">
        <v>4.7847033000000001E-3</v>
      </c>
      <c r="P148" s="36">
        <f t="shared" si="25"/>
        <v>4.3067295305894999E-3</v>
      </c>
      <c r="Q148" s="38">
        <v>-5.5408896999999999E-2</v>
      </c>
      <c r="R148" s="36">
        <f t="shared" si="25"/>
        <v>-5.5886870769410499E-2</v>
      </c>
      <c r="S148" s="38">
        <v>3.2949447999999999E-2</v>
      </c>
      <c r="T148" s="36">
        <f t="shared" si="26"/>
        <v>3.2471474230589499E-2</v>
      </c>
      <c r="U148" s="38">
        <v>-2.3935377999999997E-2</v>
      </c>
      <c r="V148" s="36">
        <f t="shared" si="27"/>
        <v>-2.4413351769410497E-2</v>
      </c>
      <c r="W148" s="38">
        <v>-1.7014921000000002E-2</v>
      </c>
      <c r="X148" s="36">
        <f t="shared" si="28"/>
        <v>-1.7492894769410502E-2</v>
      </c>
      <c r="Y148" s="38">
        <v>1.5821814999999999E-2</v>
      </c>
      <c r="Z148" s="36">
        <f t="shared" si="29"/>
        <v>1.5343841230589499E-2</v>
      </c>
      <c r="AA148" s="38">
        <v>5.2330493999999998E-2</v>
      </c>
      <c r="AB148" s="36">
        <f t="shared" si="30"/>
        <v>5.1852520230589498E-2</v>
      </c>
      <c r="AC148" s="38">
        <v>1.4421105E-2</v>
      </c>
      <c r="AD148" s="36">
        <f t="shared" si="31"/>
        <v>1.39431312305895E-2</v>
      </c>
      <c r="AE148" s="38">
        <v>4.5980809999999997E-2</v>
      </c>
      <c r="AF148" s="36">
        <f t="shared" si="32"/>
        <v>4.5502836230589497E-2</v>
      </c>
    </row>
    <row r="149" spans="2:32" outlineLevel="1" x14ac:dyDescent="0.25">
      <c r="B149" s="38">
        <v>2.5569999999999999E-2</v>
      </c>
      <c r="C149" s="37">
        <f t="shared" si="22"/>
        <v>4.8566704395991422E-4</v>
      </c>
      <c r="E149" s="40">
        <v>45163</v>
      </c>
      <c r="F149" s="38">
        <v>-6.8203807000000007E-3</v>
      </c>
      <c r="G149" s="38">
        <v>6.5784454000000006E-3</v>
      </c>
      <c r="H149" s="36">
        <f t="shared" si="23"/>
        <v>-7.3060477439599149E-3</v>
      </c>
      <c r="I149" s="36">
        <f t="shared" si="24"/>
        <v>6.0927783560400864E-3</v>
      </c>
      <c r="O149" s="38">
        <v>2.2379756000000001E-2</v>
      </c>
      <c r="P149" s="36">
        <f t="shared" si="25"/>
        <v>2.1894088956040086E-2</v>
      </c>
      <c r="Q149" s="38">
        <v>-9.3353389999999998E-3</v>
      </c>
      <c r="R149" s="36">
        <f t="shared" si="25"/>
        <v>-9.821006043959914E-3</v>
      </c>
      <c r="S149" s="38">
        <v>2.1864889999999998E-2</v>
      </c>
      <c r="T149" s="36">
        <f t="shared" si="26"/>
        <v>2.1379222956040084E-2</v>
      </c>
      <c r="U149" s="38">
        <v>-1.7709911000000002E-2</v>
      </c>
      <c r="V149" s="36">
        <f t="shared" si="27"/>
        <v>-1.8195578043959916E-2</v>
      </c>
      <c r="W149" s="38">
        <v>-2.9838085000000002E-4</v>
      </c>
      <c r="X149" s="36">
        <f t="shared" si="28"/>
        <v>-7.840478939599143E-4</v>
      </c>
      <c r="Y149" s="38">
        <v>5.3426030000000005E-3</v>
      </c>
      <c r="Z149" s="36">
        <f t="shared" si="29"/>
        <v>4.8569359560400862E-3</v>
      </c>
      <c r="AA149" s="38">
        <v>1.9923329E-2</v>
      </c>
      <c r="AB149" s="36">
        <f t="shared" si="30"/>
        <v>1.9437661956040086E-2</v>
      </c>
      <c r="AC149" s="38">
        <v>4.381299E-3</v>
      </c>
      <c r="AD149" s="36">
        <f t="shared" si="31"/>
        <v>3.8956319560400857E-3</v>
      </c>
      <c r="AE149" s="38">
        <v>2.1608114000000001E-2</v>
      </c>
      <c r="AF149" s="36">
        <f t="shared" si="32"/>
        <v>2.1122446956040087E-2</v>
      </c>
    </row>
    <row r="150" spans="2:32" outlineLevel="1" x14ac:dyDescent="0.25">
      <c r="B150" s="38">
        <v>2.6099999999999998E-2</v>
      </c>
      <c r="C150" s="37">
        <f t="shared" si="22"/>
        <v>4.9560753989275064E-4</v>
      </c>
      <c r="E150" s="40">
        <v>45156</v>
      </c>
      <c r="F150" s="38">
        <v>-3.0803859999999999E-2</v>
      </c>
      <c r="G150" s="38">
        <v>-2.3368299999999998E-2</v>
      </c>
      <c r="H150" s="36">
        <f t="shared" si="23"/>
        <v>-3.1299467539892753E-2</v>
      </c>
      <c r="I150" s="36">
        <f t="shared" si="24"/>
        <v>-2.3863907539892749E-2</v>
      </c>
      <c r="O150" s="38">
        <v>-2.9436230000000001E-2</v>
      </c>
      <c r="P150" s="36">
        <f t="shared" si="25"/>
        <v>-2.9931837539892751E-2</v>
      </c>
      <c r="Q150" s="38">
        <v>-2.3340702000000001E-2</v>
      </c>
      <c r="R150" s="36">
        <f t="shared" si="25"/>
        <v>-2.3836309539892752E-2</v>
      </c>
      <c r="S150" s="38">
        <v>-5.6619463000000002E-2</v>
      </c>
      <c r="T150" s="36">
        <f t="shared" si="26"/>
        <v>-5.7115070539892752E-2</v>
      </c>
      <c r="U150" s="38">
        <v>-1.7401694999999998E-2</v>
      </c>
      <c r="V150" s="36">
        <f t="shared" si="27"/>
        <v>-1.7897302539892749E-2</v>
      </c>
      <c r="W150" s="38">
        <v>-3.0241728000000002E-2</v>
      </c>
      <c r="X150" s="36">
        <f t="shared" si="28"/>
        <v>-3.0737335539892753E-2</v>
      </c>
      <c r="Y150" s="38">
        <v>-5.9026479999999999E-3</v>
      </c>
      <c r="Z150" s="36">
        <f t="shared" si="29"/>
        <v>-6.3982555398927506E-3</v>
      </c>
      <c r="AA150" s="38">
        <v>-2.7534366000000001E-2</v>
      </c>
      <c r="AB150" s="36">
        <f t="shared" si="30"/>
        <v>-2.8029973539892752E-2</v>
      </c>
      <c r="AC150" s="38">
        <v>-1.3867676000000001E-2</v>
      </c>
      <c r="AD150" s="36">
        <f t="shared" si="31"/>
        <v>-1.4363283539892751E-2</v>
      </c>
      <c r="AE150" s="38">
        <v>-4.8247220000000007E-2</v>
      </c>
      <c r="AF150" s="36">
        <f t="shared" si="32"/>
        <v>-4.8742827539892758E-2</v>
      </c>
    </row>
    <row r="151" spans="2:32" outlineLevel="1" x14ac:dyDescent="0.25">
      <c r="B151" s="38">
        <v>2.6120000000000001E-2</v>
      </c>
      <c r="C151" s="37">
        <f t="shared" si="22"/>
        <v>4.9598255434046834E-4</v>
      </c>
      <c r="E151" s="40">
        <v>45149</v>
      </c>
      <c r="F151" s="38">
        <v>-1.5873015000000001E-2</v>
      </c>
      <c r="G151" s="38">
        <v>-2.3949146000000002E-4</v>
      </c>
      <c r="H151" s="36">
        <f t="shared" si="23"/>
        <v>-1.6368997554340469E-2</v>
      </c>
      <c r="I151" s="36">
        <f t="shared" si="24"/>
        <v>-7.3547401434046833E-4</v>
      </c>
      <c r="O151" s="38">
        <v>-5.6445239999999994E-2</v>
      </c>
      <c r="P151" s="36">
        <f t="shared" si="25"/>
        <v>-5.6941222554340462E-2</v>
      </c>
      <c r="Q151" s="38">
        <v>-2.9036759999999998E-2</v>
      </c>
      <c r="R151" s="36">
        <f t="shared" si="25"/>
        <v>-2.9532742554340467E-2</v>
      </c>
      <c r="S151" s="38">
        <v>-2.1733880000000001E-2</v>
      </c>
      <c r="T151" s="36">
        <f t="shared" si="26"/>
        <v>-2.2229862554340469E-2</v>
      </c>
      <c r="U151" s="38">
        <v>-3.9296746E-2</v>
      </c>
      <c r="V151" s="36">
        <f t="shared" si="27"/>
        <v>-3.9792728554340469E-2</v>
      </c>
      <c r="W151" s="38">
        <v>-3.3426583000000003E-2</v>
      </c>
      <c r="X151" s="36">
        <f t="shared" si="28"/>
        <v>-3.3922565554340471E-2</v>
      </c>
      <c r="Y151" s="38">
        <v>-5.3806839999999995E-2</v>
      </c>
      <c r="Z151" s="36">
        <f t="shared" si="29"/>
        <v>-5.4302822554340463E-2</v>
      </c>
      <c r="AA151" s="38">
        <v>-1.9052385999999998E-2</v>
      </c>
      <c r="AB151" s="36">
        <f t="shared" si="30"/>
        <v>-1.9548368554340466E-2</v>
      </c>
      <c r="AC151" s="38">
        <v>-6.8976582999999994E-2</v>
      </c>
      <c r="AD151" s="36">
        <f t="shared" si="31"/>
        <v>-6.9472565554340462E-2</v>
      </c>
      <c r="AE151" s="38">
        <v>4.3599605999999999E-2</v>
      </c>
      <c r="AF151" s="36">
        <f t="shared" si="32"/>
        <v>4.3103623445659531E-2</v>
      </c>
    </row>
    <row r="152" spans="2:32" outlineLevel="1" x14ac:dyDescent="0.25">
      <c r="B152" s="38">
        <v>2.5659999999999999E-2</v>
      </c>
      <c r="C152" s="37">
        <f t="shared" si="22"/>
        <v>4.8735540779087927E-4</v>
      </c>
      <c r="E152" s="40">
        <v>45142</v>
      </c>
      <c r="F152" s="38">
        <v>-5.1930428000000001E-2</v>
      </c>
      <c r="G152" s="38">
        <v>-2.4427533000000001E-2</v>
      </c>
      <c r="H152" s="36">
        <f t="shared" si="23"/>
        <v>-5.241778340779088E-2</v>
      </c>
      <c r="I152" s="36">
        <f t="shared" si="24"/>
        <v>-2.4914888407790881E-2</v>
      </c>
      <c r="O152" s="38">
        <v>-3.8859009999999999E-2</v>
      </c>
      <c r="P152" s="36">
        <f t="shared" si="25"/>
        <v>-3.9346365407790879E-2</v>
      </c>
      <c r="Q152" s="38">
        <v>-3.4199714999999999E-2</v>
      </c>
      <c r="R152" s="36">
        <f t="shared" si="25"/>
        <v>-3.4687070407790878E-2</v>
      </c>
      <c r="S152" s="38">
        <v>5.5279730000000003E-3</v>
      </c>
      <c r="T152" s="36">
        <f t="shared" si="26"/>
        <v>5.040617592209121E-3</v>
      </c>
      <c r="U152" s="38">
        <v>-6.4701614000000005E-2</v>
      </c>
      <c r="V152" s="36">
        <f t="shared" si="27"/>
        <v>-6.5188969407790884E-2</v>
      </c>
      <c r="W152" s="38">
        <v>-2.8004289000000002E-2</v>
      </c>
      <c r="X152" s="36">
        <f t="shared" si="28"/>
        <v>-2.8491644407790881E-2</v>
      </c>
      <c r="Y152" s="38">
        <v>-2.6801050000000003E-2</v>
      </c>
      <c r="Z152" s="36">
        <f t="shared" si="29"/>
        <v>-2.7288405407790883E-2</v>
      </c>
      <c r="AA152" s="38">
        <v>4.5143722999999997E-2</v>
      </c>
      <c r="AB152" s="36">
        <f t="shared" si="30"/>
        <v>4.4656367592209117E-2</v>
      </c>
      <c r="AC152" s="38">
        <v>-3.7806273000000001E-2</v>
      </c>
      <c r="AD152" s="36">
        <f t="shared" si="31"/>
        <v>-3.8293628407790881E-2</v>
      </c>
      <c r="AE152" s="38">
        <v>-8.3999634E-3</v>
      </c>
      <c r="AF152" s="36">
        <f t="shared" si="32"/>
        <v>-8.8873188077908793E-3</v>
      </c>
    </row>
    <row r="153" spans="2:32" outlineLevel="1" x14ac:dyDescent="0.25">
      <c r="B153" s="38">
        <v>2.4860000000000004E-2</v>
      </c>
      <c r="C153" s="37">
        <f t="shared" si="22"/>
        <v>4.7234263204809501E-4</v>
      </c>
      <c r="E153" s="40">
        <v>45135</v>
      </c>
      <c r="F153" s="38">
        <v>3.1031490000000002E-2</v>
      </c>
      <c r="G153" s="38">
        <v>1.1559962999999999E-2</v>
      </c>
      <c r="H153" s="36">
        <f t="shared" si="23"/>
        <v>3.0559147367951907E-2</v>
      </c>
      <c r="I153" s="36">
        <f t="shared" si="24"/>
        <v>1.1087620367951904E-2</v>
      </c>
      <c r="O153" s="38">
        <v>0.12537849000000001</v>
      </c>
      <c r="P153" s="36">
        <f t="shared" si="25"/>
        <v>0.12490614736795191</v>
      </c>
      <c r="Q153" s="38">
        <v>-2.4032056000000003E-2</v>
      </c>
      <c r="R153" s="36">
        <f t="shared" si="25"/>
        <v>-2.4504398632048098E-2</v>
      </c>
      <c r="S153" s="38">
        <v>4.0830849999999995E-2</v>
      </c>
      <c r="T153" s="36">
        <f t="shared" si="26"/>
        <v>4.03585073679519E-2</v>
      </c>
      <c r="U153" s="38">
        <v>3.4392952999999997E-2</v>
      </c>
      <c r="V153" s="36">
        <f t="shared" si="27"/>
        <v>3.3920610367951902E-2</v>
      </c>
      <c r="W153" s="38">
        <v>3.3146024000000003E-2</v>
      </c>
      <c r="X153" s="36">
        <f t="shared" si="28"/>
        <v>3.2673681367951908E-2</v>
      </c>
      <c r="Y153" s="38">
        <v>-4.1369556999999994E-2</v>
      </c>
      <c r="Z153" s="36">
        <f t="shared" si="29"/>
        <v>-4.1841899632048089E-2</v>
      </c>
      <c r="AA153" s="38">
        <v>2.7447104000000003E-2</v>
      </c>
      <c r="AB153" s="36">
        <f t="shared" si="30"/>
        <v>2.6974761367951908E-2</v>
      </c>
      <c r="AC153" s="38">
        <v>-5.9937834999999997E-3</v>
      </c>
      <c r="AD153" s="36">
        <f t="shared" si="31"/>
        <v>-6.4661261320480947E-3</v>
      </c>
      <c r="AE153" s="38">
        <v>2.2085309999999997E-2</v>
      </c>
      <c r="AF153" s="36">
        <f t="shared" si="32"/>
        <v>2.1612967367951902E-2</v>
      </c>
    </row>
    <row r="154" spans="2:32" outlineLevel="1" x14ac:dyDescent="0.25">
      <c r="B154" s="38">
        <v>2.453E-2</v>
      </c>
      <c r="C154" s="37">
        <f t="shared" si="22"/>
        <v>4.6614651339904611E-4</v>
      </c>
      <c r="E154" s="40">
        <v>45128</v>
      </c>
      <c r="F154" s="38">
        <v>2.462864E-2</v>
      </c>
      <c r="G154" s="38">
        <v>9.9169015999999999E-3</v>
      </c>
      <c r="H154" s="36">
        <f t="shared" si="23"/>
        <v>2.4162493486600954E-2</v>
      </c>
      <c r="I154" s="36">
        <f t="shared" si="24"/>
        <v>9.4507550866009538E-3</v>
      </c>
      <c r="O154" s="38">
        <v>-1.1732279999999999E-2</v>
      </c>
      <c r="P154" s="36">
        <f t="shared" si="25"/>
        <v>-1.2198426513399046E-2</v>
      </c>
      <c r="Q154" s="38">
        <v>-1.3500214E-2</v>
      </c>
      <c r="R154" s="36">
        <f t="shared" si="25"/>
        <v>-1.3966360513399046E-2</v>
      </c>
      <c r="S154" s="38">
        <v>7.4347614999999992E-2</v>
      </c>
      <c r="T154" s="36">
        <f t="shared" si="26"/>
        <v>7.3881468486600946E-2</v>
      </c>
      <c r="U154" s="38">
        <v>7.6807740000000005E-3</v>
      </c>
      <c r="V154" s="36">
        <f t="shared" si="27"/>
        <v>7.2146274866009543E-3</v>
      </c>
      <c r="W154" s="38">
        <v>-1.6981959000000001E-2</v>
      </c>
      <c r="X154" s="36">
        <f t="shared" si="28"/>
        <v>-1.7448105513399047E-2</v>
      </c>
      <c r="Y154" s="38">
        <v>-5.929947E-2</v>
      </c>
      <c r="Z154" s="36">
        <f t="shared" si="29"/>
        <v>-5.9765616513399046E-2</v>
      </c>
      <c r="AA154" s="38">
        <v>1.9312263E-2</v>
      </c>
      <c r="AB154" s="36">
        <f t="shared" si="30"/>
        <v>1.8846116486600954E-2</v>
      </c>
      <c r="AC154" s="38">
        <v>-2.5063216999999999E-2</v>
      </c>
      <c r="AD154" s="36">
        <f t="shared" si="31"/>
        <v>-2.5529363513399045E-2</v>
      </c>
      <c r="AE154" s="38">
        <v>3.1191707000000003E-2</v>
      </c>
      <c r="AF154" s="36">
        <f t="shared" si="32"/>
        <v>3.0725560486600956E-2</v>
      </c>
    </row>
    <row r="155" spans="2:32" outlineLevel="1" x14ac:dyDescent="0.25">
      <c r="B155" s="38">
        <v>2.511E-2</v>
      </c>
      <c r="C155" s="37">
        <f t="shared" si="22"/>
        <v>4.7703535876131298E-4</v>
      </c>
      <c r="E155" s="40">
        <v>45121</v>
      </c>
      <c r="F155" s="38">
        <v>1.5751122999999999E-2</v>
      </c>
      <c r="G155" s="38">
        <v>2.9442667999999998E-2</v>
      </c>
      <c r="H155" s="36">
        <f t="shared" si="23"/>
        <v>1.5274087641238686E-2</v>
      </c>
      <c r="I155" s="36">
        <f t="shared" si="24"/>
        <v>2.8965632641238685E-2</v>
      </c>
      <c r="O155" s="38">
        <v>3.0725479999999999E-2</v>
      </c>
      <c r="P155" s="36">
        <f t="shared" si="25"/>
        <v>3.0248444641238686E-2</v>
      </c>
      <c r="Q155" s="38">
        <v>-7.1918369999999995E-3</v>
      </c>
      <c r="R155" s="36">
        <f t="shared" si="25"/>
        <v>-7.6688723587613125E-3</v>
      </c>
      <c r="S155" s="38">
        <v>-6.8536997000000002E-2</v>
      </c>
      <c r="T155" s="36">
        <f t="shared" si="26"/>
        <v>-6.9014032358761315E-2</v>
      </c>
      <c r="U155" s="38">
        <v>-3.5467147999999997E-3</v>
      </c>
      <c r="V155" s="36">
        <f t="shared" si="27"/>
        <v>-4.0237501587613127E-3</v>
      </c>
      <c r="W155" s="38">
        <v>6.6713095E-3</v>
      </c>
      <c r="X155" s="36">
        <f t="shared" si="28"/>
        <v>6.194274141238687E-3</v>
      </c>
      <c r="Y155" s="38">
        <v>-2.6061773E-2</v>
      </c>
      <c r="Z155" s="36">
        <f t="shared" si="29"/>
        <v>-2.6538808358761313E-2</v>
      </c>
      <c r="AA155" s="38">
        <v>-3.5483181000000003E-2</v>
      </c>
      <c r="AB155" s="36">
        <f t="shared" si="30"/>
        <v>-3.5960216358761316E-2</v>
      </c>
      <c r="AC155" s="38">
        <v>-1.6472398999999999E-2</v>
      </c>
      <c r="AD155" s="36">
        <f t="shared" si="31"/>
        <v>-1.6949434358761312E-2</v>
      </c>
      <c r="AE155" s="38">
        <v>-2.1714509E-2</v>
      </c>
      <c r="AF155" s="36">
        <f t="shared" si="32"/>
        <v>-2.2191544358761313E-2</v>
      </c>
    </row>
    <row r="156" spans="2:32" outlineLevel="1" x14ac:dyDescent="0.25">
      <c r="B156" s="38">
        <v>2.6249999999999999E-2</v>
      </c>
      <c r="C156" s="37">
        <f t="shared" si="22"/>
        <v>4.9841997352562117E-4</v>
      </c>
      <c r="E156" s="40">
        <v>45114</v>
      </c>
      <c r="F156" s="38">
        <v>-2.0865738000000002E-2</v>
      </c>
      <c r="G156" s="38">
        <v>-3.091377E-2</v>
      </c>
      <c r="H156" s="36">
        <f t="shared" si="23"/>
        <v>-2.1364157973525623E-2</v>
      </c>
      <c r="I156" s="36">
        <f t="shared" si="24"/>
        <v>-3.1412189973525621E-2</v>
      </c>
      <c r="O156" s="38">
        <v>7.3337554999999997E-3</v>
      </c>
      <c r="P156" s="36">
        <f t="shared" si="25"/>
        <v>6.8353355264743785E-3</v>
      </c>
      <c r="Q156" s="38">
        <v>3.2699107999999995E-4</v>
      </c>
      <c r="R156" s="36">
        <f t="shared" si="25"/>
        <v>-1.7142889352562122E-4</v>
      </c>
      <c r="S156" s="38">
        <v>2.8113842E-2</v>
      </c>
      <c r="T156" s="36">
        <f t="shared" si="26"/>
        <v>2.7615422026474379E-2</v>
      </c>
      <c r="U156" s="38">
        <v>-4.7813710000000002E-2</v>
      </c>
      <c r="V156" s="36">
        <f t="shared" si="27"/>
        <v>-4.8312129973525623E-2</v>
      </c>
      <c r="W156" s="38">
        <v>-2.3347378000000002E-2</v>
      </c>
      <c r="X156" s="36">
        <f t="shared" si="28"/>
        <v>-2.3845797973525623E-2</v>
      </c>
      <c r="Y156" s="38">
        <v>-1.3485789E-2</v>
      </c>
      <c r="Z156" s="36">
        <f t="shared" si="29"/>
        <v>-1.3984208973525621E-2</v>
      </c>
      <c r="AA156" s="38">
        <v>8.8410380000000007E-3</v>
      </c>
      <c r="AB156" s="36">
        <f t="shared" si="30"/>
        <v>8.3426180264743795E-3</v>
      </c>
      <c r="AC156" s="38">
        <v>2.3524522999999999E-2</v>
      </c>
      <c r="AD156" s="36">
        <f t="shared" si="31"/>
        <v>2.3026103026474377E-2</v>
      </c>
      <c r="AE156" s="38">
        <v>1.1240244000000001E-3</v>
      </c>
      <c r="AF156" s="36">
        <f t="shared" si="32"/>
        <v>6.2560442647437891E-4</v>
      </c>
    </row>
    <row r="157" spans="2:32" outlineLevel="1" x14ac:dyDescent="0.25">
      <c r="B157" s="38">
        <v>2.4070000000000001E-2</v>
      </c>
      <c r="C157" s="37">
        <f t="shared" si="22"/>
        <v>4.5750623283469238E-4</v>
      </c>
      <c r="E157" s="40">
        <v>45107</v>
      </c>
      <c r="F157" s="38">
        <v>8.1581230000000005E-2</v>
      </c>
      <c r="G157" s="38">
        <v>1.9397973999999998E-2</v>
      </c>
      <c r="H157" s="36">
        <f t="shared" si="23"/>
        <v>8.1123723767165312E-2</v>
      </c>
      <c r="I157" s="36">
        <f t="shared" si="24"/>
        <v>1.8940467767165306E-2</v>
      </c>
      <c r="O157" s="38">
        <v>6.4435005000000004E-2</v>
      </c>
      <c r="P157" s="36">
        <f t="shared" si="25"/>
        <v>6.3977498767165311E-2</v>
      </c>
      <c r="Q157" s="38">
        <v>1.4261961E-2</v>
      </c>
      <c r="R157" s="36">
        <f t="shared" si="25"/>
        <v>1.3804454767165308E-2</v>
      </c>
      <c r="S157" s="38">
        <v>8.1175570000000002E-2</v>
      </c>
      <c r="T157" s="36">
        <f t="shared" si="26"/>
        <v>8.071806376716531E-2</v>
      </c>
      <c r="U157" s="38">
        <v>3.5904883999999998E-2</v>
      </c>
      <c r="V157" s="36">
        <f t="shared" si="27"/>
        <v>3.5447377767165306E-2</v>
      </c>
      <c r="W157" s="38">
        <v>2.2768259999999998E-2</v>
      </c>
      <c r="X157" s="36">
        <f t="shared" si="28"/>
        <v>2.2310753767165306E-2</v>
      </c>
      <c r="Y157" s="38">
        <v>7.6452374000000003E-2</v>
      </c>
      <c r="Z157" s="36">
        <f t="shared" si="29"/>
        <v>7.5994867767165311E-2</v>
      </c>
      <c r="AA157" s="38">
        <v>4.1188954999999999E-2</v>
      </c>
      <c r="AB157" s="36">
        <f t="shared" si="30"/>
        <v>4.0731448767165307E-2</v>
      </c>
      <c r="AC157" s="38">
        <v>6.3095810000000002E-2</v>
      </c>
      <c r="AD157" s="36">
        <f t="shared" si="31"/>
        <v>6.263830376716531E-2</v>
      </c>
      <c r="AE157" s="38">
        <v>-8.2011219999999999E-3</v>
      </c>
      <c r="AF157" s="36">
        <f t="shared" si="32"/>
        <v>-8.6586282328346923E-3</v>
      </c>
    </row>
    <row r="158" spans="2:32" outlineLevel="1" x14ac:dyDescent="0.25">
      <c r="B158" s="38">
        <v>2.3349999999999999E-2</v>
      </c>
      <c r="C158" s="37">
        <f t="shared" si="22"/>
        <v>4.4397467073342689E-4</v>
      </c>
      <c r="E158" s="40">
        <v>45100</v>
      </c>
      <c r="F158" s="38">
        <v>-2.9519856000000001E-2</v>
      </c>
      <c r="G158" s="38">
        <v>-2.9263020000000001E-2</v>
      </c>
      <c r="H158" s="36">
        <f t="shared" si="23"/>
        <v>-2.9963830670733427E-2</v>
      </c>
      <c r="I158" s="36">
        <f t="shared" si="24"/>
        <v>-2.9706994670733428E-2</v>
      </c>
      <c r="O158" s="38">
        <v>-4.6790240000000004E-2</v>
      </c>
      <c r="P158" s="36">
        <f t="shared" si="25"/>
        <v>-4.7234214670733431E-2</v>
      </c>
      <c r="Q158" s="38">
        <v>-5.6928395999999999E-2</v>
      </c>
      <c r="R158" s="36">
        <f t="shared" si="25"/>
        <v>-5.7372370670733426E-2</v>
      </c>
      <c r="S158" s="38">
        <v>-1.8130779E-2</v>
      </c>
      <c r="T158" s="36">
        <f t="shared" si="26"/>
        <v>-1.8574753670733427E-2</v>
      </c>
      <c r="U158" s="38">
        <v>-2.7747929999999997E-2</v>
      </c>
      <c r="V158" s="36">
        <f t="shared" si="27"/>
        <v>-2.8191904670733424E-2</v>
      </c>
      <c r="W158" s="38">
        <v>-5.3482237000000002E-2</v>
      </c>
      <c r="X158" s="36">
        <f t="shared" si="28"/>
        <v>-5.3926211670733429E-2</v>
      </c>
      <c r="Y158" s="38">
        <v>-2.3897529000000001E-2</v>
      </c>
      <c r="Z158" s="36">
        <f t="shared" si="29"/>
        <v>-2.4341503670733428E-2</v>
      </c>
      <c r="AA158" s="38">
        <v>-6.1473845999999999E-2</v>
      </c>
      <c r="AB158" s="36">
        <f t="shared" si="30"/>
        <v>-6.1917820670733426E-2</v>
      </c>
      <c r="AC158" s="38">
        <v>-4.3125450000000003E-2</v>
      </c>
      <c r="AD158" s="36">
        <f t="shared" si="31"/>
        <v>-4.356942467073343E-2</v>
      </c>
      <c r="AE158" s="38">
        <v>-3.6613463999999998E-2</v>
      </c>
      <c r="AF158" s="36">
        <f t="shared" si="32"/>
        <v>-3.7057438670733425E-2</v>
      </c>
    </row>
    <row r="159" spans="2:32" outlineLevel="1" x14ac:dyDescent="0.25">
      <c r="B159" s="38">
        <v>2.4860000000000004E-2</v>
      </c>
      <c r="C159" s="37">
        <f t="shared" si="22"/>
        <v>4.7234263204809501E-4</v>
      </c>
      <c r="E159" s="40">
        <v>45093</v>
      </c>
      <c r="F159" s="38">
        <v>0.11092651000000001</v>
      </c>
      <c r="G159" s="38">
        <v>1.4760493999999999E-2</v>
      </c>
      <c r="H159" s="36">
        <f t="shared" si="23"/>
        <v>0.11045416736795191</v>
      </c>
      <c r="I159" s="36">
        <f t="shared" si="24"/>
        <v>1.4288151367951904E-2</v>
      </c>
      <c r="O159" s="38">
        <v>5.3547739999999996E-2</v>
      </c>
      <c r="P159" s="36">
        <f t="shared" si="25"/>
        <v>5.3075397367951901E-2</v>
      </c>
      <c r="Q159" s="38">
        <v>2.5336862000000002E-2</v>
      </c>
      <c r="R159" s="36">
        <f t="shared" si="25"/>
        <v>2.4864519367951907E-2</v>
      </c>
      <c r="S159" s="38">
        <v>3.2552480000000001E-3</v>
      </c>
      <c r="T159" s="36">
        <f t="shared" si="26"/>
        <v>2.7829053679519051E-3</v>
      </c>
      <c r="U159" s="38">
        <v>3.3678769999999997E-2</v>
      </c>
      <c r="V159" s="36">
        <f t="shared" si="27"/>
        <v>3.3206427367951902E-2</v>
      </c>
      <c r="W159" s="38">
        <v>4.8209309999999998E-2</v>
      </c>
      <c r="X159" s="36">
        <f t="shared" si="28"/>
        <v>4.7736967367951903E-2</v>
      </c>
      <c r="Y159" s="38">
        <v>3.3304691000000004E-2</v>
      </c>
      <c r="Z159" s="36">
        <f t="shared" si="29"/>
        <v>3.2832348367951909E-2</v>
      </c>
      <c r="AA159" s="38">
        <v>9.4865320000000003E-2</v>
      </c>
      <c r="AB159" s="36">
        <f t="shared" si="30"/>
        <v>9.4392977367951908E-2</v>
      </c>
      <c r="AC159" s="38">
        <v>3.1591414999999998E-2</v>
      </c>
      <c r="AD159" s="36">
        <f t="shared" si="31"/>
        <v>3.1119072367951903E-2</v>
      </c>
      <c r="AE159" s="38">
        <v>1.6616464000000001E-2</v>
      </c>
      <c r="AF159" s="36">
        <f t="shared" si="32"/>
        <v>1.6144121367951906E-2</v>
      </c>
    </row>
    <row r="160" spans="2:32" outlineLevel="1" x14ac:dyDescent="0.25">
      <c r="B160" s="38">
        <v>2.392E-2</v>
      </c>
      <c r="C160" s="37">
        <f t="shared" si="22"/>
        <v>4.5468792702818561E-4</v>
      </c>
      <c r="E160" s="40">
        <v>45086</v>
      </c>
      <c r="F160" s="38">
        <v>-3.0219554999999997E-4</v>
      </c>
      <c r="G160" s="38">
        <v>-4.6305059999999995E-3</v>
      </c>
      <c r="H160" s="36">
        <f t="shared" si="23"/>
        <v>-7.5688347702818559E-4</v>
      </c>
      <c r="I160" s="36">
        <f t="shared" si="24"/>
        <v>-5.0851939270281851E-3</v>
      </c>
      <c r="O160" s="38">
        <v>1.7989992999999999E-2</v>
      </c>
      <c r="P160" s="36">
        <f t="shared" si="25"/>
        <v>1.7535305072971814E-2</v>
      </c>
      <c r="Q160" s="38">
        <v>3.8295030000000001E-2</v>
      </c>
      <c r="R160" s="36">
        <f t="shared" si="25"/>
        <v>3.7840342072971815E-2</v>
      </c>
      <c r="S160" s="38">
        <v>-1.6500354000000001E-3</v>
      </c>
      <c r="T160" s="36">
        <f t="shared" si="26"/>
        <v>-2.104723327028186E-3</v>
      </c>
      <c r="U160" s="38">
        <v>1.8085837E-2</v>
      </c>
      <c r="V160" s="36">
        <f t="shared" si="27"/>
        <v>1.7631149072971815E-2</v>
      </c>
      <c r="W160" s="38">
        <v>4.9834250000000005E-3</v>
      </c>
      <c r="X160" s="36">
        <f t="shared" si="28"/>
        <v>4.5287370729718149E-3</v>
      </c>
      <c r="Y160" s="38">
        <v>0.10571146000000001</v>
      </c>
      <c r="Z160" s="36">
        <f t="shared" si="29"/>
        <v>0.10525677207297182</v>
      </c>
      <c r="AA160" s="38">
        <v>1.9992709000000001E-2</v>
      </c>
      <c r="AB160" s="36">
        <f t="shared" si="30"/>
        <v>1.9538021072971815E-2</v>
      </c>
      <c r="AC160" s="38">
        <v>5.3789616000000005E-2</v>
      </c>
      <c r="AD160" s="36">
        <f t="shared" si="31"/>
        <v>5.333492807297182E-2</v>
      </c>
      <c r="AE160" s="38">
        <v>4.6910166999999996E-2</v>
      </c>
      <c r="AF160" s="36">
        <f t="shared" si="32"/>
        <v>4.645547907297181E-2</v>
      </c>
    </row>
    <row r="161" spans="2:32" outlineLevel="1" x14ac:dyDescent="0.25">
      <c r="B161" s="38">
        <v>2.307E-2</v>
      </c>
      <c r="C161" s="37">
        <f t="shared" si="22"/>
        <v>4.38709874771126E-4</v>
      </c>
      <c r="E161" s="40">
        <v>45079</v>
      </c>
      <c r="F161" s="38">
        <v>-4.0625334000000003E-3</v>
      </c>
      <c r="G161" s="38">
        <v>1.6037225999999999E-3</v>
      </c>
      <c r="H161" s="36">
        <f t="shared" si="23"/>
        <v>-4.5012432747711262E-3</v>
      </c>
      <c r="I161" s="36">
        <f t="shared" si="24"/>
        <v>1.1650127252288739E-3</v>
      </c>
      <c r="O161" s="38">
        <v>9.4771384999999995E-4</v>
      </c>
      <c r="P161" s="36">
        <f t="shared" si="25"/>
        <v>5.0900397522887395E-4</v>
      </c>
      <c r="Q161" s="38">
        <v>2.0387409999999998E-2</v>
      </c>
      <c r="R161" s="36">
        <f t="shared" si="25"/>
        <v>1.9948700125228872E-2</v>
      </c>
      <c r="S161" s="38">
        <v>5.4422616999999993E-3</v>
      </c>
      <c r="T161" s="36">
        <f t="shared" si="26"/>
        <v>5.0035518252288733E-3</v>
      </c>
      <c r="U161" s="38">
        <v>1.6274213999999999E-2</v>
      </c>
      <c r="V161" s="36">
        <f t="shared" si="27"/>
        <v>1.5835504125228873E-2</v>
      </c>
      <c r="W161" s="38">
        <v>1.1198163000000001E-2</v>
      </c>
      <c r="X161" s="36">
        <f t="shared" si="28"/>
        <v>1.0759453125228875E-2</v>
      </c>
      <c r="Y161" s="38">
        <v>2.2902846000000001E-2</v>
      </c>
      <c r="Z161" s="36">
        <f t="shared" si="29"/>
        <v>2.2464136125228875E-2</v>
      </c>
      <c r="AA161" s="38">
        <v>4.1685460000000001E-2</v>
      </c>
      <c r="AB161" s="36">
        <f t="shared" si="30"/>
        <v>4.1246750125228875E-2</v>
      </c>
      <c r="AC161" s="38">
        <v>2.7818322000000003E-2</v>
      </c>
      <c r="AD161" s="36">
        <f t="shared" si="31"/>
        <v>2.7379612125228877E-2</v>
      </c>
      <c r="AE161" s="38">
        <v>2.4569154000000003E-2</v>
      </c>
      <c r="AF161" s="36">
        <f t="shared" si="32"/>
        <v>2.4130444125228877E-2</v>
      </c>
    </row>
    <row r="162" spans="2:32" outlineLevel="1" x14ac:dyDescent="0.25">
      <c r="B162" s="38">
        <v>2.5219999999999999E-2</v>
      </c>
      <c r="C162" s="37">
        <f t="shared" si="22"/>
        <v>4.7909980293803223E-4</v>
      </c>
      <c r="E162" s="40">
        <v>45072</v>
      </c>
      <c r="F162" s="38">
        <v>-9.9806189999999996E-3</v>
      </c>
      <c r="G162" s="38">
        <v>-1.5868603999999998E-2</v>
      </c>
      <c r="H162" s="36">
        <f t="shared" si="23"/>
        <v>-1.0459718802938032E-2</v>
      </c>
      <c r="I162" s="36">
        <f t="shared" si="24"/>
        <v>-1.634770380293803E-2</v>
      </c>
      <c r="O162" s="38">
        <v>-4.2768240000000006E-2</v>
      </c>
      <c r="P162" s="36">
        <f t="shared" si="25"/>
        <v>-4.3247339802938038E-2</v>
      </c>
      <c r="Q162" s="38">
        <v>-1.3078570000000001E-2</v>
      </c>
      <c r="R162" s="36">
        <f t="shared" si="25"/>
        <v>-1.3557669802938033E-2</v>
      </c>
      <c r="S162" s="38">
        <v>1.897049E-2</v>
      </c>
      <c r="T162" s="36">
        <f t="shared" si="26"/>
        <v>1.8491390197061967E-2</v>
      </c>
      <c r="U162" s="38">
        <v>1.0446906000000001E-2</v>
      </c>
      <c r="V162" s="36">
        <f t="shared" si="27"/>
        <v>9.9678061970619684E-3</v>
      </c>
      <c r="W162" s="38">
        <v>3.6526918000000003E-3</v>
      </c>
      <c r="X162" s="36">
        <f t="shared" si="28"/>
        <v>3.1735919970619681E-3</v>
      </c>
      <c r="Y162" s="38">
        <v>4.5668720000000003E-2</v>
      </c>
      <c r="Z162" s="36">
        <f t="shared" si="29"/>
        <v>4.5189620197061971E-2</v>
      </c>
      <c r="AA162" s="38">
        <v>-1.8065154999999999E-2</v>
      </c>
      <c r="AB162" s="36">
        <f t="shared" si="30"/>
        <v>-1.8544254802938032E-2</v>
      </c>
      <c r="AC162" s="38">
        <v>2.7049541E-2</v>
      </c>
      <c r="AD162" s="36">
        <f t="shared" si="31"/>
        <v>2.6570441197061968E-2</v>
      </c>
      <c r="AE162" s="38">
        <v>1.0634065E-2</v>
      </c>
      <c r="AF162" s="36">
        <f t="shared" si="32"/>
        <v>1.0154965197061968E-2</v>
      </c>
    </row>
    <row r="163" spans="2:32" outlineLevel="1" x14ac:dyDescent="0.25">
      <c r="B163" s="38">
        <v>2.4670000000000001E-2</v>
      </c>
      <c r="C163" s="37">
        <f t="shared" si="22"/>
        <v>4.687754088168461E-4</v>
      </c>
      <c r="E163" s="40">
        <v>45065</v>
      </c>
      <c r="F163" s="38">
        <v>2.9802322E-4</v>
      </c>
      <c r="G163" s="38">
        <v>7.2182417E-3</v>
      </c>
      <c r="H163" s="36">
        <f t="shared" si="23"/>
        <v>-1.7075218881684609E-4</v>
      </c>
      <c r="I163" s="36">
        <f t="shared" si="24"/>
        <v>6.749466291183154E-3</v>
      </c>
      <c r="O163" s="38">
        <v>3.2517075999999999E-2</v>
      </c>
      <c r="P163" s="36">
        <f t="shared" si="25"/>
        <v>3.2048300591183153E-2</v>
      </c>
      <c r="Q163" s="38">
        <v>9.1371535999999996E-3</v>
      </c>
      <c r="R163" s="36">
        <f t="shared" si="25"/>
        <v>8.6683781911831535E-3</v>
      </c>
      <c r="S163" s="38">
        <v>-5.4876804000000001E-2</v>
      </c>
      <c r="T163" s="36">
        <f t="shared" si="26"/>
        <v>-5.5345579408816847E-2</v>
      </c>
      <c r="U163" s="38">
        <v>3.993559E-2</v>
      </c>
      <c r="V163" s="36">
        <f t="shared" si="27"/>
        <v>3.9466814591183154E-2</v>
      </c>
      <c r="W163" s="38">
        <v>4.8924209999999996E-2</v>
      </c>
      <c r="X163" s="36">
        <f t="shared" si="28"/>
        <v>4.845543459118315E-2</v>
      </c>
      <c r="Y163" s="38">
        <v>5.2733419999999994E-3</v>
      </c>
      <c r="Z163" s="36">
        <f t="shared" si="29"/>
        <v>4.8045665911831533E-3</v>
      </c>
      <c r="AA163" s="38">
        <v>-7.4015855999999998E-3</v>
      </c>
      <c r="AB163" s="36">
        <f t="shared" si="30"/>
        <v>-7.8703610088168459E-3</v>
      </c>
      <c r="AC163" s="38">
        <v>1.5079975000000001E-2</v>
      </c>
      <c r="AD163" s="36">
        <f t="shared" si="31"/>
        <v>1.4611199591183155E-2</v>
      </c>
      <c r="AE163" s="38">
        <v>2.712202E-2</v>
      </c>
      <c r="AF163" s="36">
        <f t="shared" si="32"/>
        <v>2.6653244591183154E-2</v>
      </c>
    </row>
    <row r="164" spans="2:32" outlineLevel="1" x14ac:dyDescent="0.25">
      <c r="B164" s="38">
        <v>2.2620000000000001E-2</v>
      </c>
      <c r="C164" s="37">
        <f t="shared" ref="C164:C227" si="33">(1+B164)^(1/52)-1</f>
        <v>4.3024563415094974E-4</v>
      </c>
      <c r="E164" s="40">
        <v>45058</v>
      </c>
      <c r="F164" s="38">
        <v>2.3018360000000002E-2</v>
      </c>
      <c r="G164" s="38">
        <v>3.8683414E-4</v>
      </c>
      <c r="H164" s="36">
        <f t="shared" ref="H164:H227" si="34">F164-C164</f>
        <v>2.2588114365849052E-2</v>
      </c>
      <c r="I164" s="36">
        <f t="shared" ref="I164:I227" si="35">G164-C164</f>
        <v>-4.3411494150949741E-5</v>
      </c>
      <c r="O164" s="38">
        <v>1.4939546999999999E-2</v>
      </c>
      <c r="P164" s="36">
        <f t="shared" ref="P164:R227" si="36">O164-$C164</f>
        <v>1.4509301365849049E-2</v>
      </c>
      <c r="Q164" s="38">
        <v>-3.4313737999999996E-2</v>
      </c>
      <c r="R164" s="36">
        <f t="shared" si="36"/>
        <v>-3.4743983634150946E-2</v>
      </c>
      <c r="S164" s="38">
        <v>7.5203420000000007E-2</v>
      </c>
      <c r="T164" s="36">
        <f t="shared" ref="T164:T227" si="37">S164-$C164</f>
        <v>7.4773174365849057E-2</v>
      </c>
      <c r="U164" s="38">
        <v>-7.5599730000000004E-2</v>
      </c>
      <c r="V164" s="36">
        <f t="shared" ref="V164:V227" si="38">U164-$C164</f>
        <v>-7.6029975634150954E-2</v>
      </c>
      <c r="W164" s="38">
        <v>1.76965E-2</v>
      </c>
      <c r="X164" s="36">
        <f t="shared" ref="X164:X227" si="39">W164-$C164</f>
        <v>1.7266254365849051E-2</v>
      </c>
      <c r="Y164" s="38">
        <v>-1.3786018000000001E-2</v>
      </c>
      <c r="Z164" s="36">
        <f t="shared" ref="Z164:Z227" si="40">Y164-$C164</f>
        <v>-1.421626363415095E-2</v>
      </c>
      <c r="AA164" s="38">
        <v>5.2175880000000001E-2</v>
      </c>
      <c r="AB164" s="36">
        <f t="shared" ref="AB164:AB227" si="41">AA164-$C164</f>
        <v>5.1745634365849051E-2</v>
      </c>
      <c r="AC164" s="38">
        <v>-1.294291E-2</v>
      </c>
      <c r="AD164" s="36">
        <f t="shared" ref="AD164:AD227" si="42">AC164-$C164</f>
        <v>-1.337315563415095E-2</v>
      </c>
      <c r="AE164" s="38">
        <v>4.3663860000000006E-2</v>
      </c>
      <c r="AF164" s="36">
        <f t="shared" ref="AF164:AF227" si="43">AE164-$C164</f>
        <v>4.3233614365849056E-2</v>
      </c>
    </row>
    <row r="165" spans="2:32" outlineLevel="1" x14ac:dyDescent="0.25">
      <c r="B165" s="38">
        <v>2.282E-2</v>
      </c>
      <c r="C165" s="37">
        <f t="shared" si="33"/>
        <v>4.3400796977044465E-4</v>
      </c>
      <c r="E165" s="40">
        <v>45051</v>
      </c>
      <c r="F165" s="38">
        <v>-2.4680376E-2</v>
      </c>
      <c r="G165" s="38">
        <v>-2.8501749999999999E-3</v>
      </c>
      <c r="H165" s="36">
        <f t="shared" si="34"/>
        <v>-2.5114383969770445E-2</v>
      </c>
      <c r="I165" s="36">
        <f t="shared" si="35"/>
        <v>-3.2841829697704446E-3</v>
      </c>
      <c r="O165" s="38">
        <v>-1.8266678000000001E-2</v>
      </c>
      <c r="P165" s="36">
        <f t="shared" si="36"/>
        <v>-1.8700685969770446E-2</v>
      </c>
      <c r="Q165" s="38">
        <v>6.910205E-3</v>
      </c>
      <c r="R165" s="36">
        <f t="shared" si="36"/>
        <v>6.4761970302295553E-3</v>
      </c>
      <c r="S165" s="38">
        <v>2.9149174999999999E-2</v>
      </c>
      <c r="T165" s="36">
        <f t="shared" si="37"/>
        <v>2.8715167030229555E-2</v>
      </c>
      <c r="U165" s="38">
        <v>6.0134052999999993E-2</v>
      </c>
      <c r="V165" s="36">
        <f t="shared" si="38"/>
        <v>5.9700045030229548E-2</v>
      </c>
      <c r="W165" s="38">
        <v>-5.5256486E-2</v>
      </c>
      <c r="X165" s="36">
        <f t="shared" si="39"/>
        <v>-5.5690493969770445E-2</v>
      </c>
      <c r="Y165" s="38">
        <v>1.2331008999999999E-2</v>
      </c>
      <c r="Z165" s="36">
        <f t="shared" si="40"/>
        <v>1.1897001030229554E-2</v>
      </c>
      <c r="AA165" s="38">
        <v>1.6576171000000001E-2</v>
      </c>
      <c r="AB165" s="36">
        <f t="shared" si="41"/>
        <v>1.6142163030229556E-2</v>
      </c>
      <c r="AC165" s="38">
        <v>9.7224709999999999E-3</v>
      </c>
      <c r="AD165" s="36">
        <f t="shared" si="42"/>
        <v>9.2884630302295552E-3</v>
      </c>
      <c r="AE165" s="38">
        <v>2.1799088000000001E-2</v>
      </c>
      <c r="AF165" s="36">
        <f t="shared" si="43"/>
        <v>2.1365080030229557E-2</v>
      </c>
    </row>
    <row r="166" spans="2:32" outlineLevel="1" x14ac:dyDescent="0.25">
      <c r="B166" s="38">
        <v>2.3450000000000002E-2</v>
      </c>
      <c r="C166" s="37">
        <f t="shared" si="33"/>
        <v>4.4585461262292014E-4</v>
      </c>
      <c r="E166" s="40">
        <v>45044</v>
      </c>
      <c r="F166" s="38">
        <v>9.4553229999999999E-3</v>
      </c>
      <c r="G166" s="38">
        <v>-5.0319433000000002E-3</v>
      </c>
      <c r="H166" s="36">
        <f t="shared" si="34"/>
        <v>9.0094683873770797E-3</v>
      </c>
      <c r="I166" s="36">
        <f t="shared" si="35"/>
        <v>-5.4777979126229203E-3</v>
      </c>
      <c r="O166" s="38">
        <v>-5.9207260000000005E-2</v>
      </c>
      <c r="P166" s="36">
        <f t="shared" si="36"/>
        <v>-5.9653114612622925E-2</v>
      </c>
      <c r="Q166" s="38">
        <v>8.629322E-3</v>
      </c>
      <c r="R166" s="36">
        <f t="shared" si="36"/>
        <v>8.1834673873770799E-3</v>
      </c>
      <c r="S166" s="38">
        <v>-5.8060884000000004E-4</v>
      </c>
      <c r="T166" s="36">
        <f t="shared" si="37"/>
        <v>-1.0264634526229201E-3</v>
      </c>
      <c r="U166" s="38">
        <v>8.3498954999999993E-3</v>
      </c>
      <c r="V166" s="36">
        <f t="shared" si="38"/>
        <v>7.9040408873770791E-3</v>
      </c>
      <c r="W166" s="38">
        <v>1.9794822E-2</v>
      </c>
      <c r="X166" s="36">
        <f t="shared" si="39"/>
        <v>1.934896738737708E-2</v>
      </c>
      <c r="Y166" s="38">
        <v>-1.3202428999999999E-4</v>
      </c>
      <c r="Z166" s="36">
        <f t="shared" si="40"/>
        <v>-5.7787890262292019E-4</v>
      </c>
      <c r="AA166" s="38">
        <v>1.1300087E-2</v>
      </c>
      <c r="AB166" s="36">
        <f t="shared" si="41"/>
        <v>1.085423238737708E-2</v>
      </c>
      <c r="AC166" s="38">
        <v>-2.1133125000000003E-2</v>
      </c>
      <c r="AD166" s="36">
        <f t="shared" si="42"/>
        <v>-2.1578979612622923E-2</v>
      </c>
      <c r="AE166" s="38">
        <v>1.1512755999999999E-2</v>
      </c>
      <c r="AF166" s="36">
        <f t="shared" si="43"/>
        <v>1.1066901387377079E-2</v>
      </c>
    </row>
    <row r="167" spans="2:32" outlineLevel="1" x14ac:dyDescent="0.25">
      <c r="B167" s="38">
        <v>2.4830000000000001E-2</v>
      </c>
      <c r="C167" s="37">
        <f t="shared" si="33"/>
        <v>4.7177942939824469E-4</v>
      </c>
      <c r="E167" s="40">
        <v>45037</v>
      </c>
      <c r="F167" s="38">
        <v>-0.12421143000000001</v>
      </c>
      <c r="G167" s="38">
        <v>4.4761896000000004E-3</v>
      </c>
      <c r="H167" s="36">
        <f t="shared" si="34"/>
        <v>-0.12468320942939826</v>
      </c>
      <c r="I167" s="36">
        <f t="shared" si="35"/>
        <v>4.0044101706017557E-3</v>
      </c>
      <c r="O167" s="38">
        <v>-7.1078959999999997E-2</v>
      </c>
      <c r="P167" s="36">
        <f t="shared" si="36"/>
        <v>-7.1550739429398241E-2</v>
      </c>
      <c r="Q167" s="38">
        <v>-4.0140209999999996E-2</v>
      </c>
      <c r="R167" s="36">
        <f t="shared" si="36"/>
        <v>-4.061198942939824E-2</v>
      </c>
      <c r="S167" s="38">
        <v>-1.9393979999999998E-2</v>
      </c>
      <c r="T167" s="36">
        <f t="shared" si="37"/>
        <v>-1.9865759429398243E-2</v>
      </c>
      <c r="U167" s="38">
        <v>-2.9706836E-2</v>
      </c>
      <c r="V167" s="36">
        <f t="shared" si="38"/>
        <v>-3.0178615429398245E-2</v>
      </c>
      <c r="W167" s="38">
        <v>-1.7043113999999998E-2</v>
      </c>
      <c r="X167" s="36">
        <f t="shared" si="39"/>
        <v>-1.7514893429398243E-2</v>
      </c>
      <c r="Y167" s="38">
        <v>-5.3786634999999999E-2</v>
      </c>
      <c r="Z167" s="36">
        <f t="shared" si="40"/>
        <v>-5.4258414429398244E-2</v>
      </c>
      <c r="AA167" s="38">
        <v>-7.4813366000000001E-3</v>
      </c>
      <c r="AB167" s="36">
        <f t="shared" si="41"/>
        <v>-7.9531160293982439E-3</v>
      </c>
      <c r="AC167" s="38">
        <v>-2.4240433999999998E-2</v>
      </c>
      <c r="AD167" s="36">
        <f t="shared" si="42"/>
        <v>-2.4712213429398243E-2</v>
      </c>
      <c r="AE167" s="38">
        <v>-3.0309557999999999E-3</v>
      </c>
      <c r="AF167" s="36">
        <f t="shared" si="43"/>
        <v>-3.5027352293982446E-3</v>
      </c>
    </row>
    <row r="168" spans="2:32" outlineLevel="1" x14ac:dyDescent="0.25">
      <c r="B168" s="38">
        <v>2.418E-2</v>
      </c>
      <c r="C168" s="37">
        <f t="shared" si="33"/>
        <v>4.5957273312002833E-4</v>
      </c>
      <c r="E168" s="40">
        <v>45030</v>
      </c>
      <c r="F168" s="38">
        <v>3.7218810000000005E-2</v>
      </c>
      <c r="G168" s="38">
        <v>1.7366052E-2</v>
      </c>
      <c r="H168" s="36">
        <f t="shared" si="34"/>
        <v>3.6759237266879977E-2</v>
      </c>
      <c r="I168" s="36">
        <f t="shared" si="35"/>
        <v>1.6906479266879972E-2</v>
      </c>
      <c r="O168" s="38">
        <v>5.6376220000000005E-2</v>
      </c>
      <c r="P168" s="36">
        <f t="shared" si="36"/>
        <v>5.5916647266879976E-2</v>
      </c>
      <c r="Q168" s="38">
        <v>2.7495859999999997E-2</v>
      </c>
      <c r="R168" s="36">
        <f t="shared" si="36"/>
        <v>2.7036287266879969E-2</v>
      </c>
      <c r="S168" s="38">
        <v>-7.9436300000000001E-3</v>
      </c>
      <c r="T168" s="36">
        <f t="shared" si="37"/>
        <v>-8.4032027331200285E-3</v>
      </c>
      <c r="U168" s="38">
        <v>5.1308036000000001E-2</v>
      </c>
      <c r="V168" s="36">
        <f t="shared" si="38"/>
        <v>5.0848463266879973E-2</v>
      </c>
      <c r="W168" s="38">
        <v>3.818941E-2</v>
      </c>
      <c r="X168" s="36">
        <f t="shared" si="39"/>
        <v>3.7729837266879972E-2</v>
      </c>
      <c r="Y168" s="38">
        <v>7.6762439999999996E-3</v>
      </c>
      <c r="Z168" s="36">
        <f t="shared" si="40"/>
        <v>7.2166712668799713E-3</v>
      </c>
      <c r="AA168" s="38">
        <v>-2.6264965999999997E-2</v>
      </c>
      <c r="AB168" s="36">
        <f t="shared" si="41"/>
        <v>-2.6724538733120026E-2</v>
      </c>
      <c r="AC168" s="38">
        <v>-1.0484993E-2</v>
      </c>
      <c r="AD168" s="36">
        <f t="shared" si="42"/>
        <v>-1.0944565733120028E-2</v>
      </c>
      <c r="AE168" s="38">
        <v>-2.0353138E-2</v>
      </c>
      <c r="AF168" s="36">
        <f t="shared" si="43"/>
        <v>-2.0812710733120028E-2</v>
      </c>
    </row>
    <row r="169" spans="2:32" outlineLevel="1" x14ac:dyDescent="0.25">
      <c r="B169" s="38">
        <v>2.1819999999999999E-2</v>
      </c>
      <c r="C169" s="37">
        <f t="shared" si="33"/>
        <v>4.1518907146032014E-4</v>
      </c>
      <c r="E169" s="40">
        <v>45023</v>
      </c>
      <c r="F169" s="38">
        <v>-2.4601042E-2</v>
      </c>
      <c r="G169" s="38">
        <v>2.4025439999999999E-3</v>
      </c>
      <c r="H169" s="36">
        <f t="shared" si="34"/>
        <v>-2.501623107146032E-2</v>
      </c>
      <c r="I169" s="36">
        <f t="shared" si="35"/>
        <v>1.9873549285396798E-3</v>
      </c>
      <c r="O169" s="38">
        <v>-2.9158770000000001E-2</v>
      </c>
      <c r="P169" s="36">
        <f t="shared" si="36"/>
        <v>-2.9573959071460321E-2</v>
      </c>
      <c r="Q169" s="38">
        <v>-3.3227859999999998E-2</v>
      </c>
      <c r="R169" s="36">
        <f t="shared" si="36"/>
        <v>-3.3643049071460318E-2</v>
      </c>
      <c r="S169" s="38">
        <v>-2.8239846000000002E-2</v>
      </c>
      <c r="T169" s="36">
        <f t="shared" si="37"/>
        <v>-2.8655035071460323E-2</v>
      </c>
      <c r="U169" s="38">
        <v>-2.2983968E-2</v>
      </c>
      <c r="V169" s="36">
        <f t="shared" si="38"/>
        <v>-2.3399157071460321E-2</v>
      </c>
      <c r="W169" s="38">
        <v>-4.1819689999999993E-2</v>
      </c>
      <c r="X169" s="36">
        <f t="shared" si="39"/>
        <v>-4.2234879071460313E-2</v>
      </c>
      <c r="Y169" s="38">
        <v>-2.6728868000000003E-2</v>
      </c>
      <c r="Z169" s="36">
        <f t="shared" si="40"/>
        <v>-2.7144057071460323E-2</v>
      </c>
      <c r="AA169" s="38">
        <v>-2.7890682E-2</v>
      </c>
      <c r="AB169" s="36">
        <f t="shared" si="41"/>
        <v>-2.830587107146032E-2</v>
      </c>
      <c r="AC169" s="38">
        <v>-6.2087000000000003E-2</v>
      </c>
      <c r="AD169" s="36">
        <f t="shared" si="42"/>
        <v>-6.2502189071460323E-2</v>
      </c>
      <c r="AE169" s="38">
        <v>-4.7243834000000005E-3</v>
      </c>
      <c r="AF169" s="36">
        <f t="shared" si="43"/>
        <v>-5.1395724714603207E-3</v>
      </c>
    </row>
    <row r="170" spans="2:32" outlineLevel="1" x14ac:dyDescent="0.25">
      <c r="B170" s="38">
        <v>2.3250000000000003E-2</v>
      </c>
      <c r="C170" s="37">
        <f t="shared" si="33"/>
        <v>4.4209454866339648E-4</v>
      </c>
      <c r="E170" s="40">
        <v>45016</v>
      </c>
      <c r="F170" s="38">
        <v>6.0648679999999996E-2</v>
      </c>
      <c r="G170" s="38">
        <v>4.0285469999999997E-2</v>
      </c>
      <c r="H170" s="36">
        <f t="shared" si="34"/>
        <v>6.02065854513366E-2</v>
      </c>
      <c r="I170" s="36">
        <f t="shared" si="35"/>
        <v>3.98433754513366E-2</v>
      </c>
      <c r="O170" s="38">
        <v>5.2446246000000002E-2</v>
      </c>
      <c r="P170" s="36">
        <f t="shared" si="36"/>
        <v>5.2004151451336605E-2</v>
      </c>
      <c r="Q170" s="38">
        <v>5.6856154999999999E-2</v>
      </c>
      <c r="R170" s="36">
        <f t="shared" si="36"/>
        <v>5.6414060451336602E-2</v>
      </c>
      <c r="S170" s="38">
        <v>1.3602853E-2</v>
      </c>
      <c r="T170" s="36">
        <f t="shared" si="37"/>
        <v>1.3160758451336603E-2</v>
      </c>
      <c r="U170" s="38">
        <v>3.2528640000000004E-2</v>
      </c>
      <c r="V170" s="36">
        <f t="shared" si="38"/>
        <v>3.2086545451336608E-2</v>
      </c>
      <c r="W170" s="38">
        <v>1.6223906999999999E-2</v>
      </c>
      <c r="X170" s="36">
        <f t="shared" si="39"/>
        <v>1.5781812451336603E-2</v>
      </c>
      <c r="Y170" s="38">
        <v>8.4422830000000004E-2</v>
      </c>
      <c r="Z170" s="36">
        <f t="shared" si="40"/>
        <v>8.3980735451336608E-2</v>
      </c>
      <c r="AA170" s="38">
        <v>2.4661780000000001E-2</v>
      </c>
      <c r="AB170" s="36">
        <f t="shared" si="41"/>
        <v>2.4219685451336605E-2</v>
      </c>
      <c r="AC170" s="38">
        <v>7.7888966000000004E-2</v>
      </c>
      <c r="AD170" s="36">
        <f t="shared" si="42"/>
        <v>7.7446871451336607E-2</v>
      </c>
      <c r="AE170" s="38">
        <v>1.2732505999999999E-2</v>
      </c>
      <c r="AF170" s="36">
        <f t="shared" si="43"/>
        <v>1.2290411451336603E-2</v>
      </c>
    </row>
    <row r="171" spans="2:32" outlineLevel="1" x14ac:dyDescent="0.25">
      <c r="B171" s="38">
        <v>2.1010000000000001E-2</v>
      </c>
      <c r="C171" s="37">
        <f t="shared" si="33"/>
        <v>3.9993251811365482E-4</v>
      </c>
      <c r="E171" s="40">
        <v>45009</v>
      </c>
      <c r="F171" s="38">
        <v>2.4034976999999999E-3</v>
      </c>
      <c r="G171" s="38">
        <v>8.7094306999999996E-3</v>
      </c>
      <c r="H171" s="36">
        <f t="shared" si="34"/>
        <v>2.0035651818863451E-3</v>
      </c>
      <c r="I171" s="36">
        <f t="shared" si="35"/>
        <v>8.3094981818863448E-3</v>
      </c>
      <c r="O171" s="38">
        <v>1.1835097999999999E-2</v>
      </c>
      <c r="P171" s="36">
        <f t="shared" si="36"/>
        <v>1.1435165481886344E-2</v>
      </c>
      <c r="Q171" s="38">
        <v>-2.1916926E-2</v>
      </c>
      <c r="R171" s="36">
        <f t="shared" si="36"/>
        <v>-2.2316858518113655E-2</v>
      </c>
      <c r="S171" s="38">
        <v>2.0929932999999998E-2</v>
      </c>
      <c r="T171" s="36">
        <f t="shared" si="37"/>
        <v>2.0530000481886343E-2</v>
      </c>
      <c r="U171" s="38">
        <v>3.0680059999999999E-2</v>
      </c>
      <c r="V171" s="36">
        <f t="shared" si="38"/>
        <v>3.0280127481886344E-2</v>
      </c>
      <c r="W171" s="38">
        <v>5.6309699999999999E-3</v>
      </c>
      <c r="X171" s="36">
        <f t="shared" si="39"/>
        <v>5.2310374818863451E-3</v>
      </c>
      <c r="Y171" s="38">
        <v>7.5110200000000002E-3</v>
      </c>
      <c r="Z171" s="36">
        <f t="shared" si="40"/>
        <v>7.1110874818863454E-3</v>
      </c>
      <c r="AA171" s="38">
        <v>-1.4280081E-3</v>
      </c>
      <c r="AB171" s="36">
        <f t="shared" si="41"/>
        <v>-1.8279406181136548E-3</v>
      </c>
      <c r="AC171" s="38">
        <v>-1.0924338999999999E-3</v>
      </c>
      <c r="AD171" s="36">
        <f t="shared" si="42"/>
        <v>-1.4923664181136548E-3</v>
      </c>
      <c r="AE171" s="38">
        <v>2.6667118000000003E-3</v>
      </c>
      <c r="AF171" s="36">
        <f t="shared" si="43"/>
        <v>2.2667792818863454E-3</v>
      </c>
    </row>
    <row r="172" spans="2:32" outlineLevel="1" x14ac:dyDescent="0.25">
      <c r="B172" s="38">
        <v>2.0710000000000003E-2</v>
      </c>
      <c r="C172" s="37">
        <f t="shared" si="33"/>
        <v>3.9427893015320237E-4</v>
      </c>
      <c r="E172" s="40">
        <v>45002</v>
      </c>
      <c r="F172" s="38">
        <v>-0.12711334000000002</v>
      </c>
      <c r="G172" s="38">
        <v>-3.8456499999999998E-2</v>
      </c>
      <c r="H172" s="36">
        <f t="shared" si="34"/>
        <v>-0.12750761893015322</v>
      </c>
      <c r="I172" s="36">
        <f t="shared" si="35"/>
        <v>-3.88507789301532E-2</v>
      </c>
      <c r="O172" s="38">
        <v>-6.9398459999999995E-2</v>
      </c>
      <c r="P172" s="36">
        <f t="shared" si="36"/>
        <v>-6.9792738930153198E-2</v>
      </c>
      <c r="Q172" s="38">
        <v>-0.125321865</v>
      </c>
      <c r="R172" s="36">
        <f t="shared" si="36"/>
        <v>-0.12571614393015321</v>
      </c>
      <c r="S172" s="38">
        <v>-9.4354689999999991E-2</v>
      </c>
      <c r="T172" s="36">
        <f t="shared" si="37"/>
        <v>-9.4748968930153193E-2</v>
      </c>
      <c r="U172" s="38">
        <v>-3.5391091999999999E-2</v>
      </c>
      <c r="V172" s="36">
        <f t="shared" si="38"/>
        <v>-3.5785370930153201E-2</v>
      </c>
      <c r="W172" s="38">
        <v>-6.4433279999999996E-2</v>
      </c>
      <c r="X172" s="36">
        <f t="shared" si="39"/>
        <v>-6.4827558930153198E-2</v>
      </c>
      <c r="Y172" s="38">
        <v>-6.2431216000000005E-2</v>
      </c>
      <c r="Z172" s="36">
        <f t="shared" si="40"/>
        <v>-6.2825494930153214E-2</v>
      </c>
      <c r="AA172" s="38">
        <v>-3.779018E-2</v>
      </c>
      <c r="AB172" s="36">
        <f t="shared" si="41"/>
        <v>-3.8184458930153202E-2</v>
      </c>
      <c r="AC172" s="38">
        <v>-8.2374150000000007E-2</v>
      </c>
      <c r="AD172" s="36">
        <f t="shared" si="42"/>
        <v>-8.2768428930153209E-2</v>
      </c>
      <c r="AE172" s="38">
        <v>-5.0056039999999996E-2</v>
      </c>
      <c r="AF172" s="36">
        <f t="shared" si="43"/>
        <v>-5.0450318930153198E-2</v>
      </c>
    </row>
    <row r="173" spans="2:32" outlineLevel="1" x14ac:dyDescent="0.25">
      <c r="B173" s="38">
        <v>2.453E-2</v>
      </c>
      <c r="C173" s="37">
        <f t="shared" si="33"/>
        <v>4.6614651339904611E-4</v>
      </c>
      <c r="E173" s="40">
        <v>44995</v>
      </c>
      <c r="F173" s="38">
        <v>-6.0521783999999995E-2</v>
      </c>
      <c r="G173" s="38">
        <v>-2.2616624999999998E-2</v>
      </c>
      <c r="H173" s="36">
        <f t="shared" si="34"/>
        <v>-6.0987930513399041E-2</v>
      </c>
      <c r="I173" s="36">
        <f t="shared" si="35"/>
        <v>-2.3082771513399044E-2</v>
      </c>
      <c r="O173" s="38">
        <v>-4.4147550000000008E-2</v>
      </c>
      <c r="P173" s="36">
        <f t="shared" si="36"/>
        <v>-4.4613696513399054E-2</v>
      </c>
      <c r="Q173" s="38">
        <v>-3.7985086000000001E-2</v>
      </c>
      <c r="R173" s="36">
        <f t="shared" si="36"/>
        <v>-3.8451232513399047E-2</v>
      </c>
      <c r="S173" s="38">
        <v>-1.8577575999999998E-2</v>
      </c>
      <c r="T173" s="36">
        <f t="shared" si="37"/>
        <v>-1.9043722513399045E-2</v>
      </c>
      <c r="U173" s="38">
        <v>-3.1040610000000003E-2</v>
      </c>
      <c r="V173" s="36">
        <f t="shared" si="38"/>
        <v>-3.1506756513399049E-2</v>
      </c>
      <c r="W173" s="38">
        <v>-2.0637631E-2</v>
      </c>
      <c r="X173" s="36">
        <f t="shared" si="39"/>
        <v>-2.1103777513399046E-2</v>
      </c>
      <c r="Y173" s="38">
        <v>-8.2713660000000008E-2</v>
      </c>
      <c r="Z173" s="36">
        <f t="shared" si="40"/>
        <v>-8.3179806513399054E-2</v>
      </c>
      <c r="AA173" s="38">
        <v>1.2519956E-2</v>
      </c>
      <c r="AB173" s="36">
        <f t="shared" si="41"/>
        <v>1.2053809486600954E-2</v>
      </c>
      <c r="AC173" s="38">
        <v>-0.11698454999999999</v>
      </c>
      <c r="AD173" s="36">
        <f t="shared" si="42"/>
        <v>-0.11745069651339904</v>
      </c>
      <c r="AE173" s="38">
        <v>1.3955832E-2</v>
      </c>
      <c r="AF173" s="36">
        <f t="shared" si="43"/>
        <v>1.3489685486600953E-2</v>
      </c>
    </row>
    <row r="174" spans="2:32" outlineLevel="1" x14ac:dyDescent="0.25">
      <c r="B174" s="38">
        <v>2.717E-2</v>
      </c>
      <c r="C174" s="37">
        <f t="shared" si="33"/>
        <v>5.1566075192499561E-4</v>
      </c>
      <c r="E174" s="40">
        <v>44988</v>
      </c>
      <c r="F174" s="38">
        <v>6.2846539999999992E-2</v>
      </c>
      <c r="G174" s="38">
        <v>1.4332533000000001E-2</v>
      </c>
      <c r="H174" s="36">
        <f t="shared" si="34"/>
        <v>6.2330879248074997E-2</v>
      </c>
      <c r="I174" s="36">
        <f t="shared" si="35"/>
        <v>1.3816872248075006E-2</v>
      </c>
      <c r="O174" s="38">
        <v>7.4042440000000001E-2</v>
      </c>
      <c r="P174" s="36">
        <f t="shared" si="36"/>
        <v>7.3526779248075005E-2</v>
      </c>
      <c r="Q174" s="38">
        <v>0.11681520000000001</v>
      </c>
      <c r="R174" s="36">
        <f t="shared" si="36"/>
        <v>0.11629953924807501</v>
      </c>
      <c r="S174" s="38">
        <v>2.5174140000000001E-2</v>
      </c>
      <c r="T174" s="36">
        <f t="shared" si="37"/>
        <v>2.4658479248075005E-2</v>
      </c>
      <c r="U174" s="38">
        <v>4.414034E-2</v>
      </c>
      <c r="V174" s="36">
        <f t="shared" si="38"/>
        <v>4.3624679248075005E-2</v>
      </c>
      <c r="W174" s="38">
        <v>5.0736666E-2</v>
      </c>
      <c r="X174" s="36">
        <f t="shared" si="39"/>
        <v>5.0221005248075004E-2</v>
      </c>
      <c r="Y174" s="38">
        <v>9.5192070000000004E-2</v>
      </c>
      <c r="Z174" s="36">
        <f t="shared" si="40"/>
        <v>9.4676409248075008E-2</v>
      </c>
      <c r="AA174" s="38">
        <v>9.2360973000000009E-3</v>
      </c>
      <c r="AB174" s="36">
        <f t="shared" si="41"/>
        <v>8.7204365480750053E-3</v>
      </c>
      <c r="AC174" s="38">
        <v>4.1176440000000002E-2</v>
      </c>
      <c r="AD174" s="36">
        <f t="shared" si="42"/>
        <v>4.0660779248075006E-2</v>
      </c>
      <c r="AE174" s="38">
        <v>1.4277458E-2</v>
      </c>
      <c r="AF174" s="36">
        <f t="shared" si="43"/>
        <v>1.3761797248075004E-2</v>
      </c>
    </row>
    <row r="175" spans="2:32" outlineLevel="1" x14ac:dyDescent="0.25">
      <c r="B175" s="38">
        <v>2.5390000000000003E-2</v>
      </c>
      <c r="C175" s="37">
        <f t="shared" si="33"/>
        <v>4.8228988030918352E-4</v>
      </c>
      <c r="E175" s="40">
        <v>44981</v>
      </c>
      <c r="F175" s="38">
        <v>-3.8734853E-2</v>
      </c>
      <c r="G175" s="38">
        <v>-1.4214872999999999E-2</v>
      </c>
      <c r="H175" s="36">
        <f t="shared" si="34"/>
        <v>-3.9217142880309183E-2</v>
      </c>
      <c r="I175" s="36">
        <f t="shared" si="35"/>
        <v>-1.4697162880309183E-2</v>
      </c>
      <c r="O175" s="38">
        <v>3.1347989999999999E-2</v>
      </c>
      <c r="P175" s="36">
        <f t="shared" si="36"/>
        <v>3.0865700119690816E-2</v>
      </c>
      <c r="Q175" s="38">
        <v>-2.488017E-2</v>
      </c>
      <c r="R175" s="36">
        <f t="shared" si="36"/>
        <v>-2.5362459880309184E-2</v>
      </c>
      <c r="S175" s="38">
        <v>1.5001177999999999E-2</v>
      </c>
      <c r="T175" s="36">
        <f t="shared" si="37"/>
        <v>1.4518888119690815E-2</v>
      </c>
      <c r="U175" s="38">
        <v>-2.566415E-2</v>
      </c>
      <c r="V175" s="36">
        <f t="shared" si="38"/>
        <v>-2.6146439880309184E-2</v>
      </c>
      <c r="W175" s="38">
        <v>-3.6173582000000003E-2</v>
      </c>
      <c r="X175" s="36">
        <f t="shared" si="39"/>
        <v>-3.6655871880309186E-2</v>
      </c>
      <c r="Y175" s="38">
        <v>-6.7688822999999995E-2</v>
      </c>
      <c r="Z175" s="36">
        <f t="shared" si="40"/>
        <v>-6.8171112880309179E-2</v>
      </c>
      <c r="AA175" s="38">
        <v>-2.9487489999999998E-2</v>
      </c>
      <c r="AB175" s="36">
        <f t="shared" si="41"/>
        <v>-2.9969779880309182E-2</v>
      </c>
      <c r="AC175" s="38">
        <v>-8.1921579999999994E-2</v>
      </c>
      <c r="AD175" s="36">
        <f t="shared" si="42"/>
        <v>-8.2403869880309177E-2</v>
      </c>
      <c r="AE175" s="38">
        <v>1.9553304000000001E-2</v>
      </c>
      <c r="AF175" s="36">
        <f t="shared" si="43"/>
        <v>1.9071014119690817E-2</v>
      </c>
    </row>
    <row r="176" spans="2:32" outlineLevel="1" x14ac:dyDescent="0.25">
      <c r="B176" s="38">
        <v>2.4559999999999998E-2</v>
      </c>
      <c r="C176" s="37">
        <f t="shared" si="33"/>
        <v>4.6670987779018347E-4</v>
      </c>
      <c r="E176" s="40">
        <v>44974</v>
      </c>
      <c r="F176" s="38">
        <v>3.2155513999999996E-2</v>
      </c>
      <c r="G176" s="38">
        <v>1.3998984999999999E-2</v>
      </c>
      <c r="H176" s="36">
        <f t="shared" si="34"/>
        <v>3.1688804122209813E-2</v>
      </c>
      <c r="I176" s="36">
        <f t="shared" si="35"/>
        <v>1.3532275122209815E-2</v>
      </c>
      <c r="O176" s="38">
        <v>3.4907818E-2</v>
      </c>
      <c r="P176" s="36">
        <f t="shared" si="36"/>
        <v>3.4441108122209817E-2</v>
      </c>
      <c r="Q176" s="38">
        <v>1.7693758E-2</v>
      </c>
      <c r="R176" s="36">
        <f t="shared" si="36"/>
        <v>1.7227048122209817E-2</v>
      </c>
      <c r="S176" s="38">
        <v>5.6698202999999996E-2</v>
      </c>
      <c r="T176" s="36">
        <f t="shared" si="37"/>
        <v>5.6231493122209812E-2</v>
      </c>
      <c r="U176" s="38">
        <v>2.0251632000000002E-2</v>
      </c>
      <c r="V176" s="36">
        <f t="shared" si="38"/>
        <v>1.9784922122209819E-2</v>
      </c>
      <c r="W176" s="38">
        <v>3.7242890000000001E-2</v>
      </c>
      <c r="X176" s="36">
        <f t="shared" si="39"/>
        <v>3.6776180122209817E-2</v>
      </c>
      <c r="Y176" s="38">
        <v>1.3803243999999999E-2</v>
      </c>
      <c r="Z176" s="36">
        <f t="shared" si="40"/>
        <v>1.3336534122209816E-2</v>
      </c>
      <c r="AA176" s="38">
        <v>-6.4826609999999998E-3</v>
      </c>
      <c r="AB176" s="36">
        <f t="shared" si="41"/>
        <v>-6.9493708777901833E-3</v>
      </c>
      <c r="AC176" s="38">
        <v>4.5287129999999995E-2</v>
      </c>
      <c r="AD176" s="36">
        <f t="shared" si="42"/>
        <v>4.4820420122209811E-2</v>
      </c>
      <c r="AE176" s="38">
        <v>6.0075164E-2</v>
      </c>
      <c r="AF176" s="36">
        <f t="shared" si="43"/>
        <v>5.9608454122209817E-2</v>
      </c>
    </row>
    <row r="177" spans="2:32" outlineLevel="1" x14ac:dyDescent="0.25">
      <c r="B177" s="38">
        <v>2.359E-2</v>
      </c>
      <c r="C177" s="37">
        <f t="shared" si="33"/>
        <v>4.4848622863136178E-4</v>
      </c>
      <c r="E177" s="40">
        <v>44967</v>
      </c>
      <c r="F177" s="38">
        <v>4.8321009999999998E-2</v>
      </c>
      <c r="G177" s="38">
        <v>-6.250322E-3</v>
      </c>
      <c r="H177" s="36">
        <f t="shared" si="34"/>
        <v>4.7872523771368636E-2</v>
      </c>
      <c r="I177" s="36">
        <f t="shared" si="35"/>
        <v>-6.6988082286313618E-3</v>
      </c>
      <c r="O177" s="38">
        <v>1.3947368E-2</v>
      </c>
      <c r="P177" s="36">
        <f t="shared" si="36"/>
        <v>1.3498881771368638E-2</v>
      </c>
      <c r="Q177" s="38">
        <v>-2.5275051999999999E-2</v>
      </c>
      <c r="R177" s="36">
        <f t="shared" si="36"/>
        <v>-2.5723538228631361E-2</v>
      </c>
      <c r="S177" s="38">
        <v>5.3912044000000006E-2</v>
      </c>
      <c r="T177" s="36">
        <f t="shared" si="37"/>
        <v>5.3463557771368644E-2</v>
      </c>
      <c r="U177" s="38">
        <v>1.9470452999999998E-3</v>
      </c>
      <c r="V177" s="36">
        <f t="shared" si="38"/>
        <v>1.498559071368638E-3</v>
      </c>
      <c r="W177" s="38">
        <v>-5.5557489999999996E-4</v>
      </c>
      <c r="X177" s="36">
        <f t="shared" si="39"/>
        <v>-1.0040611286313617E-3</v>
      </c>
      <c r="Y177" s="38">
        <v>-2.14805E-2</v>
      </c>
      <c r="Z177" s="36">
        <f t="shared" si="40"/>
        <v>-2.1928986228631361E-2</v>
      </c>
      <c r="AA177" s="38">
        <v>8.1553460000000008E-3</v>
      </c>
      <c r="AB177" s="36">
        <f t="shared" si="41"/>
        <v>7.706859771368639E-3</v>
      </c>
      <c r="AC177" s="38">
        <v>2.2392629999999997E-2</v>
      </c>
      <c r="AD177" s="36">
        <f t="shared" si="42"/>
        <v>2.1944143771368635E-2</v>
      </c>
      <c r="AE177" s="38">
        <v>7.2457789999999999E-3</v>
      </c>
      <c r="AF177" s="36">
        <f t="shared" si="43"/>
        <v>6.7972927713686382E-3</v>
      </c>
    </row>
    <row r="178" spans="2:32" outlineLevel="1" x14ac:dyDescent="0.25">
      <c r="B178" s="38">
        <v>2.2109999999999998E-2</v>
      </c>
      <c r="C178" s="37">
        <f t="shared" si="33"/>
        <v>4.2064841088484961E-4</v>
      </c>
      <c r="E178" s="40">
        <v>44960</v>
      </c>
      <c r="F178" s="38">
        <v>2.1070479999999999E-2</v>
      </c>
      <c r="G178" s="38">
        <v>1.2302995000000001E-2</v>
      </c>
      <c r="H178" s="36">
        <f t="shared" si="34"/>
        <v>2.0649831589115149E-2</v>
      </c>
      <c r="I178" s="36">
        <f t="shared" si="35"/>
        <v>1.1882346589115151E-2</v>
      </c>
      <c r="O178" s="38">
        <v>7.0724129999999996E-2</v>
      </c>
      <c r="P178" s="36">
        <f t="shared" si="36"/>
        <v>7.0303481589115147E-2</v>
      </c>
      <c r="Q178" s="38">
        <v>5.0937414E-2</v>
      </c>
      <c r="R178" s="36">
        <f t="shared" si="36"/>
        <v>5.0516765589115151E-2</v>
      </c>
      <c r="S178" s="38">
        <v>2.4551153E-3</v>
      </c>
      <c r="T178" s="36">
        <f t="shared" si="37"/>
        <v>2.0344668891151504E-3</v>
      </c>
      <c r="U178" s="38">
        <v>4.992473E-2</v>
      </c>
      <c r="V178" s="36">
        <f t="shared" si="38"/>
        <v>4.9504081589115151E-2</v>
      </c>
      <c r="W178" s="38">
        <v>4.5447946000000003E-2</v>
      </c>
      <c r="X178" s="36">
        <f t="shared" si="39"/>
        <v>4.5027297589115153E-2</v>
      </c>
      <c r="Y178" s="38">
        <v>-4.5754313000000001E-3</v>
      </c>
      <c r="Z178" s="36">
        <f t="shared" si="40"/>
        <v>-4.9960797108848497E-3</v>
      </c>
      <c r="AA178" s="38">
        <v>-1.4369905000000001E-2</v>
      </c>
      <c r="AB178" s="36">
        <f t="shared" si="41"/>
        <v>-1.479055341088485E-2</v>
      </c>
      <c r="AC178" s="38">
        <v>8.2097529999999988E-2</v>
      </c>
      <c r="AD178" s="36">
        <f t="shared" si="42"/>
        <v>8.1676881589115138E-2</v>
      </c>
      <c r="AE178" s="38">
        <v>-1.8774271000000001E-3</v>
      </c>
      <c r="AF178" s="36">
        <f t="shared" si="43"/>
        <v>-2.2980755108848497E-3</v>
      </c>
    </row>
    <row r="179" spans="2:32" outlineLevel="1" x14ac:dyDescent="0.25">
      <c r="B179" s="38">
        <v>2.2550000000000001E-2</v>
      </c>
      <c r="C179" s="37">
        <f t="shared" si="33"/>
        <v>4.2892864618715443E-4</v>
      </c>
      <c r="E179" s="40">
        <v>44953</v>
      </c>
      <c r="F179" s="38">
        <v>4.7286270000000005E-2</v>
      </c>
      <c r="G179" s="38">
        <v>6.7460536999999999E-3</v>
      </c>
      <c r="H179" s="36">
        <f t="shared" si="34"/>
        <v>4.6857341353812851E-2</v>
      </c>
      <c r="I179" s="36">
        <f t="shared" si="35"/>
        <v>6.3171250538128455E-3</v>
      </c>
      <c r="O179" s="38">
        <v>1.2264729E-2</v>
      </c>
      <c r="P179" s="36">
        <f t="shared" si="36"/>
        <v>1.1835800353812846E-2</v>
      </c>
      <c r="Q179" s="38">
        <v>1.010108E-2</v>
      </c>
      <c r="R179" s="36">
        <f t="shared" si="36"/>
        <v>9.6721513538128457E-3</v>
      </c>
      <c r="S179" s="38">
        <v>6.0464380000000005E-2</v>
      </c>
      <c r="T179" s="36">
        <f t="shared" si="37"/>
        <v>6.0035451353812851E-2</v>
      </c>
      <c r="U179" s="38">
        <v>3.3010959999999999E-2</v>
      </c>
      <c r="V179" s="36">
        <f t="shared" si="38"/>
        <v>3.2582031353812844E-2</v>
      </c>
      <c r="W179" s="38">
        <v>4.6815634000000002E-2</v>
      </c>
      <c r="X179" s="36">
        <f t="shared" si="39"/>
        <v>4.6386705353812847E-2</v>
      </c>
      <c r="Y179" s="38">
        <v>6.9223522999999995E-2</v>
      </c>
      <c r="Z179" s="36">
        <f t="shared" si="40"/>
        <v>6.8794594353812841E-2</v>
      </c>
      <c r="AA179" s="38">
        <v>8.0212354999999996E-3</v>
      </c>
      <c r="AB179" s="36">
        <f t="shared" si="41"/>
        <v>7.5923068538128451E-3</v>
      </c>
      <c r="AC179" s="38">
        <v>7.2609424999999991E-2</v>
      </c>
      <c r="AD179" s="36">
        <f t="shared" si="42"/>
        <v>7.2180496353812837E-2</v>
      </c>
      <c r="AE179" s="38">
        <v>3.2583714E-2</v>
      </c>
      <c r="AF179" s="36">
        <f t="shared" si="43"/>
        <v>3.2154785353812845E-2</v>
      </c>
    </row>
    <row r="180" spans="2:32" outlineLevel="1" x14ac:dyDescent="0.25">
      <c r="B180" s="38">
        <v>2.146E-2</v>
      </c>
      <c r="C180" s="37">
        <f t="shared" si="33"/>
        <v>4.0840984598555785E-4</v>
      </c>
      <c r="E180" s="40">
        <v>44946</v>
      </c>
      <c r="F180" s="38">
        <v>-1.7638325999999999E-2</v>
      </c>
      <c r="G180" s="38">
        <v>-9.2810390000000009E-4</v>
      </c>
      <c r="H180" s="36">
        <f t="shared" si="34"/>
        <v>-1.8046735845985557E-2</v>
      </c>
      <c r="I180" s="36">
        <f t="shared" si="35"/>
        <v>-1.3365137459855579E-3</v>
      </c>
      <c r="O180" s="38">
        <v>-1.4476418E-2</v>
      </c>
      <c r="P180" s="36">
        <f t="shared" si="36"/>
        <v>-1.4884827845985557E-2</v>
      </c>
      <c r="Q180" s="38">
        <v>-1.492542E-2</v>
      </c>
      <c r="R180" s="36">
        <f t="shared" si="36"/>
        <v>-1.5333829845985558E-2</v>
      </c>
      <c r="S180" s="38">
        <v>7.0526599999999997E-3</v>
      </c>
      <c r="T180" s="36">
        <f t="shared" si="37"/>
        <v>6.6442501540144418E-3</v>
      </c>
      <c r="U180" s="38">
        <v>-1.9293606000000001E-2</v>
      </c>
      <c r="V180" s="36">
        <f t="shared" si="38"/>
        <v>-1.9702015845985559E-2</v>
      </c>
      <c r="W180" s="38">
        <v>-1.8645584999999999E-2</v>
      </c>
      <c r="X180" s="36">
        <f t="shared" si="39"/>
        <v>-1.9053994845985557E-2</v>
      </c>
      <c r="Y180" s="38">
        <v>-2.5292336999999998E-2</v>
      </c>
      <c r="Z180" s="36">
        <f t="shared" si="40"/>
        <v>-2.5700746845985556E-2</v>
      </c>
      <c r="AA180" s="38">
        <v>1.7799973E-2</v>
      </c>
      <c r="AB180" s="36">
        <f t="shared" si="41"/>
        <v>1.7391563154014442E-2</v>
      </c>
      <c r="AC180" s="38">
        <v>-3.1906246999999999E-2</v>
      </c>
      <c r="AD180" s="36">
        <f t="shared" si="42"/>
        <v>-3.2314656845985557E-2</v>
      </c>
      <c r="AE180" s="38">
        <v>-1.8045247E-2</v>
      </c>
      <c r="AF180" s="36">
        <f t="shared" si="43"/>
        <v>-1.8453656845985558E-2</v>
      </c>
    </row>
    <row r="181" spans="2:32" outlineLevel="1" x14ac:dyDescent="0.25">
      <c r="B181" s="38">
        <v>2.0920000000000001E-2</v>
      </c>
      <c r="C181" s="37">
        <f t="shared" si="33"/>
        <v>3.9823661281324085E-4</v>
      </c>
      <c r="E181" s="40">
        <v>44939</v>
      </c>
      <c r="F181" s="38">
        <v>2.7389646E-2</v>
      </c>
      <c r="G181" s="38">
        <v>1.8270968999999998E-2</v>
      </c>
      <c r="H181" s="36">
        <f t="shared" si="34"/>
        <v>2.6991409387186759E-2</v>
      </c>
      <c r="I181" s="36">
        <f t="shared" si="35"/>
        <v>1.7872732387186757E-2</v>
      </c>
      <c r="O181" s="38">
        <v>-1.4952301999999999E-2</v>
      </c>
      <c r="P181" s="36">
        <f t="shared" si="36"/>
        <v>-1.535053861281324E-2</v>
      </c>
      <c r="Q181" s="38">
        <v>4.372239E-3</v>
      </c>
      <c r="R181" s="36">
        <f t="shared" si="36"/>
        <v>3.9740023871867591E-3</v>
      </c>
      <c r="S181" s="38">
        <v>-6.9528820000000003E-4</v>
      </c>
      <c r="T181" s="36">
        <f t="shared" si="37"/>
        <v>-1.093524812813241E-3</v>
      </c>
      <c r="U181" s="38">
        <v>2.468443E-2</v>
      </c>
      <c r="V181" s="36">
        <f t="shared" si="38"/>
        <v>2.4286193387186759E-2</v>
      </c>
      <c r="W181" s="38">
        <v>8.7270736999999991E-3</v>
      </c>
      <c r="X181" s="36">
        <f t="shared" si="39"/>
        <v>8.3288370871867582E-3</v>
      </c>
      <c r="Y181" s="38">
        <v>-1.0065734E-2</v>
      </c>
      <c r="Z181" s="36">
        <f t="shared" si="40"/>
        <v>-1.0463970612813241E-2</v>
      </c>
      <c r="AA181" s="38">
        <v>1.1406064E-2</v>
      </c>
      <c r="AB181" s="36">
        <f t="shared" si="41"/>
        <v>1.100782738718676E-2</v>
      </c>
      <c r="AC181" s="38">
        <v>-4.603088E-3</v>
      </c>
      <c r="AD181" s="36">
        <f t="shared" si="42"/>
        <v>-5.0013246128132408E-3</v>
      </c>
      <c r="AE181" s="38">
        <v>-1.5324354000000001E-3</v>
      </c>
      <c r="AF181" s="36">
        <f t="shared" si="43"/>
        <v>-1.930672012813241E-3</v>
      </c>
    </row>
    <row r="182" spans="2:32" outlineLevel="1" x14ac:dyDescent="0.25">
      <c r="B182" s="38">
        <v>2.2109999999999998E-2</v>
      </c>
      <c r="C182" s="37">
        <f t="shared" si="33"/>
        <v>4.2064841088484961E-4</v>
      </c>
      <c r="E182" s="40">
        <v>44932</v>
      </c>
      <c r="F182" s="38">
        <v>0.15571546999999999</v>
      </c>
      <c r="G182" s="38">
        <v>4.5964837000000001E-2</v>
      </c>
      <c r="H182" s="36">
        <f t="shared" si="34"/>
        <v>0.15529482158911515</v>
      </c>
      <c r="I182" s="36">
        <f t="shared" si="35"/>
        <v>4.5544188589115152E-2</v>
      </c>
      <c r="O182" s="38">
        <v>8.9113349999999994E-2</v>
      </c>
      <c r="P182" s="36">
        <f t="shared" si="36"/>
        <v>8.8692701589115144E-2</v>
      </c>
      <c r="Q182" s="38">
        <v>8.4321140000000003E-2</v>
      </c>
      <c r="R182" s="36">
        <f t="shared" si="36"/>
        <v>8.3900491589115153E-2</v>
      </c>
      <c r="S182" s="38">
        <v>2.3622274000000002E-2</v>
      </c>
      <c r="T182" s="36">
        <f t="shared" si="37"/>
        <v>2.3201625589115153E-2</v>
      </c>
      <c r="U182" s="38">
        <v>7.375872E-2</v>
      </c>
      <c r="V182" s="36">
        <f t="shared" si="38"/>
        <v>7.333807158911515E-2</v>
      </c>
      <c r="W182" s="38">
        <v>8.2410340000000012E-2</v>
      </c>
      <c r="X182" s="36">
        <f t="shared" si="39"/>
        <v>8.1989691589115163E-2</v>
      </c>
      <c r="Y182" s="38">
        <v>8.8826769999999999E-2</v>
      </c>
      <c r="Z182" s="36">
        <f t="shared" si="40"/>
        <v>8.840612158911515E-2</v>
      </c>
      <c r="AA182" s="38">
        <v>9.9086759999999999E-3</v>
      </c>
      <c r="AB182" s="36">
        <f t="shared" si="41"/>
        <v>9.4880275891151503E-3</v>
      </c>
      <c r="AC182" s="38">
        <v>7.4526906000000004E-2</v>
      </c>
      <c r="AD182" s="36">
        <f t="shared" si="42"/>
        <v>7.4106257589115154E-2</v>
      </c>
      <c r="AE182" s="38">
        <v>3.3094525E-2</v>
      </c>
      <c r="AF182" s="36">
        <f t="shared" si="43"/>
        <v>3.267387658911515E-2</v>
      </c>
    </row>
    <row r="183" spans="2:32" outlineLevel="1" x14ac:dyDescent="0.25">
      <c r="B183" s="38">
        <v>2.5329999999999998E-2</v>
      </c>
      <c r="C183" s="37">
        <f t="shared" si="33"/>
        <v>4.8116402988296336E-4</v>
      </c>
      <c r="E183" s="40">
        <v>44925</v>
      </c>
      <c r="F183" s="38">
        <v>-3.8222669999999999E-3</v>
      </c>
      <c r="G183" s="38">
        <v>-5.9890149999999994E-3</v>
      </c>
      <c r="H183" s="36">
        <f t="shared" si="34"/>
        <v>-4.3034310298829632E-3</v>
      </c>
      <c r="I183" s="36">
        <f t="shared" si="35"/>
        <v>-6.4701790298829628E-3</v>
      </c>
      <c r="O183" s="38">
        <v>5.6103469999999999E-3</v>
      </c>
      <c r="P183" s="36">
        <f t="shared" si="36"/>
        <v>5.1291829701170365E-3</v>
      </c>
      <c r="Q183" s="38">
        <v>-6.3930750000000007E-3</v>
      </c>
      <c r="R183" s="36">
        <f t="shared" si="36"/>
        <v>-6.874239029882964E-3</v>
      </c>
      <c r="S183" s="38">
        <v>1.4148473999999999E-2</v>
      </c>
      <c r="T183" s="36">
        <f t="shared" si="37"/>
        <v>1.3667309970117036E-2</v>
      </c>
      <c r="U183" s="38">
        <v>-1.4371872E-3</v>
      </c>
      <c r="V183" s="36">
        <f t="shared" si="38"/>
        <v>-1.9183512298829634E-3</v>
      </c>
      <c r="W183" s="38">
        <v>8.1503389999999993E-4</v>
      </c>
      <c r="X183" s="36">
        <f t="shared" si="39"/>
        <v>3.3386987011703657E-4</v>
      </c>
      <c r="Y183" s="38">
        <v>1.8108010000000001E-2</v>
      </c>
      <c r="Z183" s="36">
        <f t="shared" si="40"/>
        <v>1.7626845970117037E-2</v>
      </c>
      <c r="AA183" s="38">
        <v>-1.7365217E-3</v>
      </c>
      <c r="AB183" s="36">
        <f t="shared" si="41"/>
        <v>-2.2176857298829636E-3</v>
      </c>
      <c r="AC183" s="38">
        <v>-1.1113524E-2</v>
      </c>
      <c r="AD183" s="36">
        <f t="shared" si="42"/>
        <v>-1.1594688029882963E-2</v>
      </c>
      <c r="AE183" s="38">
        <v>-2.9821992000000001E-3</v>
      </c>
      <c r="AF183" s="36">
        <f t="shared" si="43"/>
        <v>-3.4633632298829635E-3</v>
      </c>
    </row>
    <row r="184" spans="2:32" outlineLevel="1" x14ac:dyDescent="0.25">
      <c r="B184" s="38">
        <v>2.3809999999999998E-2</v>
      </c>
      <c r="C184" s="37">
        <f t="shared" si="33"/>
        <v>4.5262091206899058E-4</v>
      </c>
      <c r="E184" s="40">
        <v>44918</v>
      </c>
      <c r="F184" s="38">
        <v>-3.9761424000000004E-2</v>
      </c>
      <c r="G184" s="38">
        <v>6.3804389999999999E-3</v>
      </c>
      <c r="H184" s="36">
        <f t="shared" si="34"/>
        <v>-4.0214044912068994E-2</v>
      </c>
      <c r="I184" s="36">
        <f t="shared" si="35"/>
        <v>5.9278180879310093E-3</v>
      </c>
      <c r="O184" s="38">
        <v>-1.2281001E-2</v>
      </c>
      <c r="P184" s="36">
        <f t="shared" si="36"/>
        <v>-1.273362191206899E-2</v>
      </c>
      <c r="Q184" s="38">
        <v>-1.6154647000000001E-2</v>
      </c>
      <c r="R184" s="36">
        <f t="shared" si="36"/>
        <v>-1.6607267912068992E-2</v>
      </c>
      <c r="S184" s="38">
        <v>-7.7266636E-2</v>
      </c>
      <c r="T184" s="36">
        <f t="shared" si="37"/>
        <v>-7.771925691206899E-2</v>
      </c>
      <c r="U184" s="38">
        <v>1.0651112000000001E-2</v>
      </c>
      <c r="V184" s="36">
        <f t="shared" si="38"/>
        <v>1.019849108793101E-2</v>
      </c>
      <c r="W184" s="38">
        <v>-1.0962426999999999E-2</v>
      </c>
      <c r="X184" s="36">
        <f t="shared" si="39"/>
        <v>-1.1415047912068989E-2</v>
      </c>
      <c r="Y184" s="38">
        <v>-6.2529620000000008E-2</v>
      </c>
      <c r="Z184" s="36">
        <f t="shared" si="40"/>
        <v>-6.2982240912068999E-2</v>
      </c>
      <c r="AA184" s="38">
        <v>-3.6291121999999995E-2</v>
      </c>
      <c r="AB184" s="36">
        <f t="shared" si="41"/>
        <v>-3.6743742912068986E-2</v>
      </c>
      <c r="AC184" s="38">
        <v>-6.4000663999999999E-2</v>
      </c>
      <c r="AD184" s="36">
        <f t="shared" si="42"/>
        <v>-6.4453284912068989E-2</v>
      </c>
      <c r="AE184" s="38">
        <v>-4.1006510000000003E-2</v>
      </c>
      <c r="AF184" s="36">
        <f t="shared" si="43"/>
        <v>-4.1459130912068994E-2</v>
      </c>
    </row>
    <row r="185" spans="2:32" outlineLevel="1" x14ac:dyDescent="0.25">
      <c r="B185" s="38">
        <v>2.1940000000000001E-2</v>
      </c>
      <c r="C185" s="37">
        <f t="shared" si="33"/>
        <v>4.1744829274437123E-4</v>
      </c>
      <c r="E185" s="40">
        <v>44911</v>
      </c>
      <c r="F185" s="38">
        <v>-4.9702049999999998E-2</v>
      </c>
      <c r="G185" s="38">
        <v>-3.2769382E-2</v>
      </c>
      <c r="H185" s="36">
        <f t="shared" si="34"/>
        <v>-5.0119498292744369E-2</v>
      </c>
      <c r="I185" s="36">
        <f t="shared" si="35"/>
        <v>-3.3186830292744371E-2</v>
      </c>
      <c r="O185" s="38">
        <v>-2.6960075E-2</v>
      </c>
      <c r="P185" s="36">
        <f t="shared" si="36"/>
        <v>-2.7377523292744371E-2</v>
      </c>
      <c r="Q185" s="38">
        <v>-4.276866E-2</v>
      </c>
      <c r="R185" s="36">
        <f t="shared" si="36"/>
        <v>-4.3186108292744371E-2</v>
      </c>
      <c r="S185" s="38">
        <v>-4.7629476000000002E-3</v>
      </c>
      <c r="T185" s="36">
        <f t="shared" si="37"/>
        <v>-5.1803958927443714E-3</v>
      </c>
      <c r="U185" s="38">
        <v>-2.2711097999999999E-2</v>
      </c>
      <c r="V185" s="36">
        <f t="shared" si="38"/>
        <v>-2.312854629274437E-2</v>
      </c>
      <c r="W185" s="38">
        <v>-4.2599200000000004E-2</v>
      </c>
      <c r="X185" s="36">
        <f t="shared" si="39"/>
        <v>-4.3016648292744375E-2</v>
      </c>
      <c r="Y185" s="38">
        <v>-8.6921810000000002E-2</v>
      </c>
      <c r="Z185" s="36">
        <f t="shared" si="40"/>
        <v>-8.7339258292744373E-2</v>
      </c>
      <c r="AA185" s="38">
        <v>-1.4176309E-2</v>
      </c>
      <c r="AB185" s="36">
        <f t="shared" si="41"/>
        <v>-1.4593757292744371E-2</v>
      </c>
      <c r="AC185" s="38">
        <v>-6.2314568000000001E-2</v>
      </c>
      <c r="AD185" s="36">
        <f t="shared" si="42"/>
        <v>-6.2732016292744372E-2</v>
      </c>
      <c r="AE185" s="38">
        <v>-4.5265555000000004E-3</v>
      </c>
      <c r="AF185" s="36">
        <f t="shared" si="43"/>
        <v>-4.9440037927443716E-3</v>
      </c>
    </row>
    <row r="186" spans="2:32" outlineLevel="1" x14ac:dyDescent="0.25">
      <c r="B186" s="38">
        <v>1.9269999999999999E-2</v>
      </c>
      <c r="C186" s="37">
        <f t="shared" si="33"/>
        <v>3.6711900238461936E-4</v>
      </c>
      <c r="E186" s="40">
        <v>44904</v>
      </c>
      <c r="F186" s="38">
        <v>-5.6358576000000004E-3</v>
      </c>
      <c r="G186" s="38">
        <v>-9.3843937000000002E-3</v>
      </c>
      <c r="H186" s="36">
        <f t="shared" si="34"/>
        <v>-6.0029766023846198E-3</v>
      </c>
      <c r="I186" s="36">
        <f t="shared" si="35"/>
        <v>-9.7515127023846196E-3</v>
      </c>
      <c r="O186" s="38">
        <v>-6.0128745999999997E-2</v>
      </c>
      <c r="P186" s="36">
        <f t="shared" si="36"/>
        <v>-6.0495865002384616E-2</v>
      </c>
      <c r="Q186" s="38">
        <v>-3.3976673999999998E-2</v>
      </c>
      <c r="R186" s="36">
        <f t="shared" si="36"/>
        <v>-3.4343793002384618E-2</v>
      </c>
      <c r="S186" s="38">
        <v>-4.6896752999999999E-2</v>
      </c>
      <c r="T186" s="36">
        <f t="shared" si="37"/>
        <v>-4.7263872002384619E-2</v>
      </c>
      <c r="U186" s="38">
        <v>-8.4447859999999993E-3</v>
      </c>
      <c r="V186" s="36">
        <f t="shared" si="38"/>
        <v>-8.8119050023846186E-3</v>
      </c>
      <c r="W186" s="38">
        <v>1.0922194000000001E-2</v>
      </c>
      <c r="X186" s="36">
        <f t="shared" si="39"/>
        <v>1.0555074997615382E-2</v>
      </c>
      <c r="Y186" s="38">
        <v>-5.5106583000000001E-2</v>
      </c>
      <c r="Z186" s="36">
        <f t="shared" si="40"/>
        <v>-5.547370200238462E-2</v>
      </c>
      <c r="AA186" s="38">
        <v>-2.3003638E-2</v>
      </c>
      <c r="AB186" s="36">
        <f t="shared" si="41"/>
        <v>-2.3370757002384619E-2</v>
      </c>
      <c r="AC186" s="38">
        <v>-4.6699879999999999E-2</v>
      </c>
      <c r="AD186" s="36">
        <f t="shared" si="42"/>
        <v>-4.7066999002384619E-2</v>
      </c>
      <c r="AE186" s="38">
        <v>-1.9021511000000001E-2</v>
      </c>
      <c r="AF186" s="36">
        <f t="shared" si="43"/>
        <v>-1.9388630002384621E-2</v>
      </c>
    </row>
    <row r="187" spans="2:32" outlineLevel="1" x14ac:dyDescent="0.25">
      <c r="B187" s="38">
        <v>1.8579999999999999E-2</v>
      </c>
      <c r="C187" s="37">
        <f t="shared" si="33"/>
        <v>3.5409153104892788E-4</v>
      </c>
      <c r="E187" s="40">
        <v>44897</v>
      </c>
      <c r="F187" s="38">
        <v>2.4577974999999998E-2</v>
      </c>
      <c r="G187" s="38">
        <v>5.8085920000000004E-3</v>
      </c>
      <c r="H187" s="36">
        <f t="shared" si="34"/>
        <v>2.4223883468951071E-2</v>
      </c>
      <c r="I187" s="36">
        <f t="shared" si="35"/>
        <v>5.4545004689510726E-3</v>
      </c>
      <c r="O187" s="38">
        <v>-3.2764077000000001E-3</v>
      </c>
      <c r="P187" s="36">
        <f t="shared" si="36"/>
        <v>-3.630499231048928E-3</v>
      </c>
      <c r="Q187" s="38">
        <v>4.9166679999999999E-3</v>
      </c>
      <c r="R187" s="36">
        <f t="shared" si="36"/>
        <v>4.562576468951072E-3</v>
      </c>
      <c r="S187" s="38">
        <v>-3.9048373999999997E-2</v>
      </c>
      <c r="T187" s="36">
        <f t="shared" si="37"/>
        <v>-3.9402465531048925E-2</v>
      </c>
      <c r="U187" s="38">
        <v>1.5483617999999999E-2</v>
      </c>
      <c r="V187" s="36">
        <f t="shared" si="38"/>
        <v>1.5129526468951071E-2</v>
      </c>
      <c r="W187" s="38">
        <v>2.7577280000000003E-2</v>
      </c>
      <c r="X187" s="36">
        <f t="shared" si="39"/>
        <v>2.7223188468951075E-2</v>
      </c>
      <c r="Y187" s="38">
        <v>-2.1922112000000001E-2</v>
      </c>
      <c r="Z187" s="36">
        <f t="shared" si="40"/>
        <v>-2.2276203531048928E-2</v>
      </c>
      <c r="AA187" s="38">
        <v>-2.0218313000000002E-2</v>
      </c>
      <c r="AB187" s="36">
        <f t="shared" si="41"/>
        <v>-2.057240453104893E-2</v>
      </c>
      <c r="AC187" s="38">
        <v>-2.014935E-2</v>
      </c>
      <c r="AD187" s="36">
        <f t="shared" si="42"/>
        <v>-2.0503441531048928E-2</v>
      </c>
      <c r="AE187" s="38">
        <v>-8.4097384999999997E-3</v>
      </c>
      <c r="AF187" s="36">
        <f t="shared" si="43"/>
        <v>-8.7638300310489275E-3</v>
      </c>
    </row>
    <row r="188" spans="2:32" outlineLevel="1" x14ac:dyDescent="0.25">
      <c r="B188" s="38">
        <v>1.9740000000000001E-2</v>
      </c>
      <c r="C188" s="37">
        <f t="shared" si="33"/>
        <v>3.7598783575942818E-4</v>
      </c>
      <c r="E188" s="40">
        <v>44890</v>
      </c>
      <c r="F188" s="38">
        <v>2.1939874000000002E-2</v>
      </c>
      <c r="G188" s="38">
        <v>1.7077088000000001E-2</v>
      </c>
      <c r="H188" s="36">
        <f t="shared" si="34"/>
        <v>2.1563886164240573E-2</v>
      </c>
      <c r="I188" s="36">
        <f t="shared" si="35"/>
        <v>1.6701100164240573E-2</v>
      </c>
      <c r="O188" s="38">
        <v>1.6655086999999999E-2</v>
      </c>
      <c r="P188" s="36">
        <f t="shared" si="36"/>
        <v>1.6279099164240571E-2</v>
      </c>
      <c r="Q188" s="38">
        <v>-2.9427349999999998E-2</v>
      </c>
      <c r="R188" s="36">
        <f t="shared" si="36"/>
        <v>-2.9803337835759426E-2</v>
      </c>
      <c r="S188" s="38">
        <v>1.2257218E-2</v>
      </c>
      <c r="T188" s="36">
        <f t="shared" si="37"/>
        <v>1.1881230164240572E-2</v>
      </c>
      <c r="U188" s="38">
        <v>-2.2578835000000002E-3</v>
      </c>
      <c r="V188" s="36">
        <f t="shared" si="38"/>
        <v>-2.6338713357594284E-3</v>
      </c>
      <c r="W188" s="38">
        <v>2.4107695000000003E-3</v>
      </c>
      <c r="X188" s="36">
        <f t="shared" si="39"/>
        <v>2.0347816642405721E-3</v>
      </c>
      <c r="Y188" s="38">
        <v>2.0810365999999999E-3</v>
      </c>
      <c r="Z188" s="36">
        <f t="shared" si="40"/>
        <v>1.7050487642405717E-3</v>
      </c>
      <c r="AA188" s="38">
        <v>3.1080842000000001E-2</v>
      </c>
      <c r="AB188" s="36">
        <f t="shared" si="41"/>
        <v>3.0704854164240573E-2</v>
      </c>
      <c r="AC188" s="38">
        <v>1.2950420000000001E-2</v>
      </c>
      <c r="AD188" s="36">
        <f t="shared" si="42"/>
        <v>1.2574432164240573E-2</v>
      </c>
      <c r="AE188" s="38">
        <v>1.1319517999999999E-2</v>
      </c>
      <c r="AF188" s="36">
        <f t="shared" si="43"/>
        <v>1.0943530164240571E-2</v>
      </c>
    </row>
    <row r="189" spans="2:32" outlineLevel="1" x14ac:dyDescent="0.25">
      <c r="B189" s="38">
        <v>2.0080000000000001E-2</v>
      </c>
      <c r="C189" s="37">
        <f t="shared" si="33"/>
        <v>3.8240108883802471E-4</v>
      </c>
      <c r="E189" s="40">
        <v>44883</v>
      </c>
      <c r="F189" s="38">
        <v>1.583147E-2</v>
      </c>
      <c r="G189" s="38">
        <v>2.4752617000000001E-3</v>
      </c>
      <c r="H189" s="36">
        <f t="shared" si="34"/>
        <v>1.5449068911161976E-2</v>
      </c>
      <c r="I189" s="36">
        <f t="shared" si="35"/>
        <v>2.0928606111619754E-3</v>
      </c>
      <c r="O189" s="38">
        <v>1.2791634000000001E-2</v>
      </c>
      <c r="P189" s="36">
        <f t="shared" si="36"/>
        <v>1.2409232911161977E-2</v>
      </c>
      <c r="Q189" s="38">
        <v>-9.9736449999999997E-3</v>
      </c>
      <c r="R189" s="36">
        <f t="shared" si="36"/>
        <v>-1.0356046088838024E-2</v>
      </c>
      <c r="S189" s="38">
        <v>-1.1401771999999999E-2</v>
      </c>
      <c r="T189" s="36">
        <f t="shared" si="37"/>
        <v>-1.1784173088838024E-2</v>
      </c>
      <c r="U189" s="38">
        <v>-1.06835365E-3</v>
      </c>
      <c r="V189" s="36">
        <f t="shared" si="38"/>
        <v>-1.4507547388380247E-3</v>
      </c>
      <c r="W189" s="38">
        <v>-3.9666593E-2</v>
      </c>
      <c r="X189" s="36">
        <f t="shared" si="39"/>
        <v>-4.0048994088838025E-2</v>
      </c>
      <c r="Y189" s="38">
        <v>-3.8431465999999997E-2</v>
      </c>
      <c r="Z189" s="36">
        <f t="shared" si="40"/>
        <v>-3.8813867088838022E-2</v>
      </c>
      <c r="AA189" s="38">
        <v>-1.3181031000000001E-2</v>
      </c>
      <c r="AB189" s="36">
        <f t="shared" si="41"/>
        <v>-1.3563432088838026E-2</v>
      </c>
      <c r="AC189" s="38">
        <v>-3.6097646000000004E-2</v>
      </c>
      <c r="AD189" s="36">
        <f t="shared" si="42"/>
        <v>-3.6480047088838029E-2</v>
      </c>
      <c r="AE189" s="38">
        <v>-9.8140239999999993E-3</v>
      </c>
      <c r="AF189" s="36">
        <f t="shared" si="43"/>
        <v>-1.0196425088838024E-2</v>
      </c>
    </row>
    <row r="190" spans="2:32" outlineLevel="1" x14ac:dyDescent="0.25">
      <c r="B190" s="38">
        <v>2.1480000000000003E-2</v>
      </c>
      <c r="C190" s="37">
        <f t="shared" si="33"/>
        <v>4.0878653109399643E-4</v>
      </c>
      <c r="E190" s="40">
        <v>44876</v>
      </c>
      <c r="F190" s="38">
        <v>6.6033124999999998E-2</v>
      </c>
      <c r="G190" s="38">
        <v>3.6644458999999997E-2</v>
      </c>
      <c r="H190" s="36">
        <f t="shared" si="34"/>
        <v>6.5624338468906002E-2</v>
      </c>
      <c r="I190" s="36">
        <f t="shared" si="35"/>
        <v>3.6235672468906001E-2</v>
      </c>
      <c r="O190" s="38">
        <v>4.8953056000000002E-2</v>
      </c>
      <c r="P190" s="36">
        <f t="shared" si="36"/>
        <v>4.8544269468906005E-2</v>
      </c>
      <c r="Q190" s="38">
        <v>9.4827540000000002E-2</v>
      </c>
      <c r="R190" s="36">
        <f t="shared" si="36"/>
        <v>9.4418753468906005E-2</v>
      </c>
      <c r="S190" s="38">
        <v>4.2598605000000005E-2</v>
      </c>
      <c r="T190" s="36">
        <f t="shared" si="37"/>
        <v>4.2189818468906008E-2</v>
      </c>
      <c r="U190" s="38">
        <v>5.5639029999999999E-2</v>
      </c>
      <c r="V190" s="36">
        <f t="shared" si="38"/>
        <v>5.5230243468906003E-2</v>
      </c>
      <c r="W190" s="38">
        <v>8.4532980000000008E-2</v>
      </c>
      <c r="X190" s="36">
        <f t="shared" si="39"/>
        <v>8.4124193468906011E-2</v>
      </c>
      <c r="Y190" s="38">
        <v>2.8483272E-2</v>
      </c>
      <c r="Z190" s="36">
        <f t="shared" si="40"/>
        <v>2.8074485468906004E-2</v>
      </c>
      <c r="AA190" s="38">
        <v>2.2807360000000002E-2</v>
      </c>
      <c r="AB190" s="36">
        <f t="shared" si="41"/>
        <v>2.2398573468906006E-2</v>
      </c>
      <c r="AC190" s="38">
        <v>1.035285E-2</v>
      </c>
      <c r="AD190" s="36">
        <f t="shared" si="42"/>
        <v>9.9440634689060038E-3</v>
      </c>
      <c r="AE190" s="38">
        <v>-3.5810469999999995E-4</v>
      </c>
      <c r="AF190" s="36">
        <f t="shared" si="43"/>
        <v>-7.6689123109399638E-4</v>
      </c>
    </row>
    <row r="191" spans="2:32" outlineLevel="1" x14ac:dyDescent="0.25">
      <c r="B191" s="38">
        <v>2.291E-2</v>
      </c>
      <c r="C191" s="37">
        <f t="shared" si="33"/>
        <v>4.3570078540522417E-4</v>
      </c>
      <c r="E191" s="40">
        <v>44869</v>
      </c>
      <c r="F191" s="38">
        <v>-2.5079845999999999E-2</v>
      </c>
      <c r="G191" s="38">
        <v>1.5142679000000001E-2</v>
      </c>
      <c r="H191" s="36">
        <f t="shared" si="34"/>
        <v>-2.5515546785405224E-2</v>
      </c>
      <c r="I191" s="36">
        <f t="shared" si="35"/>
        <v>1.4706978214594777E-2</v>
      </c>
      <c r="O191" s="38">
        <v>0</v>
      </c>
      <c r="P191" s="36">
        <f t="shared" si="36"/>
        <v>-4.3570078540522417E-4</v>
      </c>
      <c r="Q191" s="38">
        <v>2.9281259E-2</v>
      </c>
      <c r="R191" s="36">
        <f t="shared" si="36"/>
        <v>2.8845558214594776E-2</v>
      </c>
      <c r="S191" s="38">
        <v>6.1188339999999994E-2</v>
      </c>
      <c r="T191" s="36">
        <f t="shared" si="37"/>
        <v>6.075263921459477E-2</v>
      </c>
      <c r="U191" s="38">
        <v>3.0167103000000002E-3</v>
      </c>
      <c r="V191" s="36">
        <f t="shared" si="38"/>
        <v>2.5810095145947761E-3</v>
      </c>
      <c r="W191" s="38">
        <v>2.6460528000000001E-2</v>
      </c>
      <c r="X191" s="36">
        <f t="shared" si="39"/>
        <v>2.6024827214594776E-2</v>
      </c>
      <c r="Y191" s="38">
        <v>2.4413705000000001E-2</v>
      </c>
      <c r="Z191" s="36">
        <f t="shared" si="40"/>
        <v>2.3978004214594777E-2</v>
      </c>
      <c r="AA191" s="38">
        <v>-1.5061975E-2</v>
      </c>
      <c r="AB191" s="36">
        <f t="shared" si="41"/>
        <v>-1.5497675785405224E-2</v>
      </c>
      <c r="AC191" s="38">
        <v>9.3393325999999999E-3</v>
      </c>
      <c r="AD191" s="36">
        <f t="shared" si="42"/>
        <v>8.9036318145947757E-3</v>
      </c>
      <c r="AE191" s="38">
        <v>2.7296661999999999E-2</v>
      </c>
      <c r="AF191" s="36">
        <f t="shared" si="43"/>
        <v>2.6860961214594775E-2</v>
      </c>
    </row>
    <row r="192" spans="2:32" outlineLevel="1" x14ac:dyDescent="0.25">
      <c r="B192" s="38">
        <v>2.0910000000000002E-2</v>
      </c>
      <c r="C192" s="37">
        <f t="shared" si="33"/>
        <v>3.9804816983979308E-4</v>
      </c>
      <c r="E192" s="40">
        <v>44862</v>
      </c>
      <c r="F192" s="38">
        <v>-4.4566509999999997E-2</v>
      </c>
      <c r="G192" s="38">
        <v>3.6513686000000004E-2</v>
      </c>
      <c r="H192" s="36">
        <f t="shared" si="34"/>
        <v>-4.496455816983979E-2</v>
      </c>
      <c r="I192" s="36">
        <f t="shared" si="35"/>
        <v>3.611563783016021E-2</v>
      </c>
      <c r="O192" s="38">
        <v>3.7478923999999997E-2</v>
      </c>
      <c r="P192" s="36">
        <f t="shared" si="36"/>
        <v>3.7080875830160204E-2</v>
      </c>
      <c r="Q192" s="38">
        <v>-4.4169426000000003E-3</v>
      </c>
      <c r="R192" s="36">
        <f t="shared" si="36"/>
        <v>-4.8149907698397934E-3</v>
      </c>
      <c r="S192" s="38">
        <v>1.2366176E-2</v>
      </c>
      <c r="T192" s="36">
        <f t="shared" si="37"/>
        <v>1.1968127830160206E-2</v>
      </c>
      <c r="U192" s="38">
        <v>2.7508735999999999E-2</v>
      </c>
      <c r="V192" s="36">
        <f t="shared" si="38"/>
        <v>2.7110687830160206E-2</v>
      </c>
      <c r="W192" s="38">
        <v>2.2308110000000003E-2</v>
      </c>
      <c r="X192" s="36">
        <f t="shared" si="39"/>
        <v>2.1910061830160209E-2</v>
      </c>
      <c r="Y192" s="38">
        <v>7.1049332999999992E-2</v>
      </c>
      <c r="Z192" s="36">
        <f t="shared" si="40"/>
        <v>7.0651284830160199E-2</v>
      </c>
      <c r="AA192" s="38">
        <v>2.2585034E-2</v>
      </c>
      <c r="AB192" s="36">
        <f t="shared" si="41"/>
        <v>2.2186985830160207E-2</v>
      </c>
      <c r="AC192" s="38">
        <v>9.2930789999999999E-2</v>
      </c>
      <c r="AD192" s="36">
        <f t="shared" si="42"/>
        <v>9.2532741830160206E-2</v>
      </c>
      <c r="AE192" s="38">
        <v>2.0234584999999999E-2</v>
      </c>
      <c r="AF192" s="36">
        <f t="shared" si="43"/>
        <v>1.9836536830160206E-2</v>
      </c>
    </row>
    <row r="193" spans="2:32" outlineLevel="1" x14ac:dyDescent="0.25">
      <c r="B193" s="38">
        <v>2.4420000000000001E-2</v>
      </c>
      <c r="C193" s="37">
        <f t="shared" si="33"/>
        <v>4.6408070553494163E-4</v>
      </c>
      <c r="E193" s="40">
        <v>44855</v>
      </c>
      <c r="F193" s="38">
        <v>6.5539001999999999E-2</v>
      </c>
      <c r="G193" s="38">
        <v>1.2726545000000001E-2</v>
      </c>
      <c r="H193" s="36">
        <f t="shared" si="34"/>
        <v>6.5074921294465057E-2</v>
      </c>
      <c r="I193" s="36">
        <f t="shared" si="35"/>
        <v>1.2262464294465059E-2</v>
      </c>
      <c r="O193" s="38">
        <v>4.6087384000000002E-2</v>
      </c>
      <c r="P193" s="36">
        <f t="shared" si="36"/>
        <v>4.562330329446506E-2</v>
      </c>
      <c r="Q193" s="38">
        <v>4.2677282999999996E-2</v>
      </c>
      <c r="R193" s="36">
        <f t="shared" si="36"/>
        <v>4.2213202294465055E-2</v>
      </c>
      <c r="S193" s="38">
        <v>-1.8831313000000002E-2</v>
      </c>
      <c r="T193" s="36">
        <f t="shared" si="37"/>
        <v>-1.9295393705534944E-2</v>
      </c>
      <c r="U193" s="38">
        <v>3.2124758000000003E-2</v>
      </c>
      <c r="V193" s="36">
        <f t="shared" si="38"/>
        <v>3.1660677294465062E-2</v>
      </c>
      <c r="W193" s="38">
        <v>5.6999563999999996E-2</v>
      </c>
      <c r="X193" s="36">
        <f t="shared" si="39"/>
        <v>5.6535483294465054E-2</v>
      </c>
      <c r="Y193" s="38">
        <v>3.9973736000000003E-2</v>
      </c>
      <c r="Z193" s="36">
        <f t="shared" si="40"/>
        <v>3.9509655294465061E-2</v>
      </c>
      <c r="AA193" s="38">
        <v>-2.523005E-2</v>
      </c>
      <c r="AB193" s="36">
        <f t="shared" si="41"/>
        <v>-2.5694130705534942E-2</v>
      </c>
      <c r="AC193" s="38">
        <v>5.9482335999999997E-2</v>
      </c>
      <c r="AD193" s="36">
        <f t="shared" si="42"/>
        <v>5.9018255294465055E-2</v>
      </c>
      <c r="AE193" s="38">
        <v>-2.1783412000000002E-2</v>
      </c>
      <c r="AF193" s="36">
        <f t="shared" si="43"/>
        <v>-2.2247492705534944E-2</v>
      </c>
    </row>
    <row r="194" spans="2:32" outlineLevel="1" x14ac:dyDescent="0.25">
      <c r="B194" s="38">
        <v>2.3039999999999998E-2</v>
      </c>
      <c r="C194" s="37">
        <f t="shared" si="33"/>
        <v>4.3814570567368705E-4</v>
      </c>
      <c r="E194" s="40">
        <v>44848</v>
      </c>
      <c r="F194" s="38">
        <v>2.1187067E-3</v>
      </c>
      <c r="G194" s="38">
        <v>-9.1916319999999993E-4</v>
      </c>
      <c r="H194" s="36">
        <f t="shared" si="34"/>
        <v>1.6805609943263129E-3</v>
      </c>
      <c r="I194" s="36">
        <f t="shared" si="35"/>
        <v>-1.3573089056736869E-3</v>
      </c>
      <c r="O194" s="38">
        <v>1.6097546000000001E-2</v>
      </c>
      <c r="P194" s="36">
        <f t="shared" si="36"/>
        <v>1.5659400294326314E-2</v>
      </c>
      <c r="Q194" s="38">
        <v>-4.2058706000000001E-2</v>
      </c>
      <c r="R194" s="36">
        <f t="shared" si="36"/>
        <v>-4.2496851705673688E-2</v>
      </c>
      <c r="S194" s="38">
        <v>-4.5616983999999999E-2</v>
      </c>
      <c r="T194" s="36">
        <f t="shared" si="37"/>
        <v>-4.6055129705673686E-2</v>
      </c>
      <c r="U194" s="38">
        <v>4.6303987999999997E-2</v>
      </c>
      <c r="V194" s="36">
        <f t="shared" si="38"/>
        <v>4.586584229432631E-2</v>
      </c>
      <c r="W194" s="38">
        <v>2.3759723E-2</v>
      </c>
      <c r="X194" s="36">
        <f t="shared" si="39"/>
        <v>2.3321577294326313E-2</v>
      </c>
      <c r="Y194" s="38">
        <v>-4.0304239999999998E-2</v>
      </c>
      <c r="Z194" s="36">
        <f t="shared" si="40"/>
        <v>-4.0742385705673685E-2</v>
      </c>
      <c r="AA194" s="38">
        <v>-7.4052810000000005E-3</v>
      </c>
      <c r="AB194" s="36">
        <f t="shared" si="41"/>
        <v>-7.8434267056736867E-3</v>
      </c>
      <c r="AC194" s="38">
        <v>-1.8503605999999999E-2</v>
      </c>
      <c r="AD194" s="36">
        <f t="shared" si="42"/>
        <v>-1.8941751705673686E-2</v>
      </c>
      <c r="AE194" s="38">
        <v>-2.2106290000000001E-2</v>
      </c>
      <c r="AF194" s="36">
        <f t="shared" si="43"/>
        <v>-2.2544435705673688E-2</v>
      </c>
    </row>
    <row r="195" spans="2:32" outlineLevel="1" x14ac:dyDescent="0.25">
      <c r="B195" s="38">
        <v>2.196E-2</v>
      </c>
      <c r="C195" s="37">
        <f t="shared" si="33"/>
        <v>4.1782480432916991E-4</v>
      </c>
      <c r="E195" s="40">
        <v>44841</v>
      </c>
      <c r="F195" s="38">
        <v>9.6889610000000015E-2</v>
      </c>
      <c r="G195" s="38">
        <v>9.8491910000000002E-3</v>
      </c>
      <c r="H195" s="36">
        <f t="shared" si="34"/>
        <v>9.6471785195670845E-2</v>
      </c>
      <c r="I195" s="36">
        <f t="shared" si="35"/>
        <v>9.4313661956708303E-3</v>
      </c>
      <c r="O195" s="38">
        <v>2.2816658000000003E-3</v>
      </c>
      <c r="P195" s="36">
        <f t="shared" si="36"/>
        <v>1.8638409956708304E-3</v>
      </c>
      <c r="Q195" s="38">
        <v>8.0047846000000002E-3</v>
      </c>
      <c r="R195" s="36">
        <f t="shared" si="36"/>
        <v>7.5869597956708303E-3</v>
      </c>
      <c r="S195" s="38">
        <v>2.1830082000000001E-2</v>
      </c>
      <c r="T195" s="36">
        <f t="shared" si="37"/>
        <v>2.1412257195670831E-2</v>
      </c>
      <c r="U195" s="38">
        <v>2.4432063E-2</v>
      </c>
      <c r="V195" s="36">
        <f t="shared" si="38"/>
        <v>2.401423819567083E-2</v>
      </c>
      <c r="W195" s="38">
        <v>4.9666166000000003E-3</v>
      </c>
      <c r="X195" s="36">
        <f t="shared" si="39"/>
        <v>4.5487917956708304E-3</v>
      </c>
      <c r="Y195" s="38">
        <v>9.0510249999999987E-2</v>
      </c>
      <c r="Z195" s="36">
        <f t="shared" si="40"/>
        <v>9.0092425195670817E-2</v>
      </c>
      <c r="AA195" s="38">
        <v>5.6675076000000005E-2</v>
      </c>
      <c r="AB195" s="36">
        <f t="shared" si="41"/>
        <v>5.6257251195670835E-2</v>
      </c>
      <c r="AC195" s="38">
        <v>4.8856140000000006E-2</v>
      </c>
      <c r="AD195" s="36">
        <f t="shared" si="42"/>
        <v>4.8438315195670836E-2</v>
      </c>
      <c r="AE195" s="38">
        <v>4.7412634000000002E-2</v>
      </c>
      <c r="AF195" s="36">
        <f t="shared" si="43"/>
        <v>4.6994809195670832E-2</v>
      </c>
    </row>
    <row r="196" spans="2:32" outlineLevel="1" x14ac:dyDescent="0.25">
      <c r="B196" s="38">
        <v>2.129E-2</v>
      </c>
      <c r="C196" s="37">
        <f t="shared" si="33"/>
        <v>4.0520773047592051E-4</v>
      </c>
      <c r="E196" s="40">
        <v>44834</v>
      </c>
      <c r="F196" s="38">
        <v>8.4730386999999994E-3</v>
      </c>
      <c r="G196" s="38">
        <v>-6.5317153999999997E-3</v>
      </c>
      <c r="H196" s="36">
        <f t="shared" si="34"/>
        <v>8.0678309695240789E-3</v>
      </c>
      <c r="I196" s="36">
        <f t="shared" si="35"/>
        <v>-6.9369231304759202E-3</v>
      </c>
      <c r="O196" s="38">
        <v>-1.6824245000000002E-2</v>
      </c>
      <c r="P196" s="36">
        <f t="shared" si="36"/>
        <v>-1.7229452730475922E-2</v>
      </c>
      <c r="Q196" s="38">
        <v>-0.11330181</v>
      </c>
      <c r="R196" s="36">
        <f t="shared" si="36"/>
        <v>-0.11370701773047592</v>
      </c>
      <c r="S196" s="38">
        <v>-0.13239831000000002</v>
      </c>
      <c r="T196" s="36">
        <f t="shared" si="37"/>
        <v>-0.13280351773047594</v>
      </c>
      <c r="U196" s="38">
        <v>-1.9473255000000002E-2</v>
      </c>
      <c r="V196" s="36">
        <f t="shared" si="38"/>
        <v>-1.9878462730475922E-2</v>
      </c>
      <c r="W196" s="38">
        <v>-2.893716E-2</v>
      </c>
      <c r="X196" s="36">
        <f t="shared" si="39"/>
        <v>-2.934236773047592E-2</v>
      </c>
      <c r="Y196" s="38">
        <v>-9.8622080000000001E-2</v>
      </c>
      <c r="Z196" s="36">
        <f t="shared" si="40"/>
        <v>-9.9027287730475921E-2</v>
      </c>
      <c r="AA196" s="38">
        <v>-9.2787559999999991E-2</v>
      </c>
      <c r="AB196" s="36">
        <f t="shared" si="41"/>
        <v>-9.3192767730475912E-2</v>
      </c>
      <c r="AC196" s="38">
        <v>-0.10394835000000001</v>
      </c>
      <c r="AD196" s="36">
        <f t="shared" si="42"/>
        <v>-0.10435355773047593</v>
      </c>
      <c r="AE196" s="38">
        <v>-0.11492741000000001</v>
      </c>
      <c r="AF196" s="36">
        <f t="shared" si="43"/>
        <v>-0.11533261773047593</v>
      </c>
    </row>
    <row r="197" spans="2:32" outlineLevel="1" x14ac:dyDescent="0.25">
      <c r="B197" s="38">
        <v>1.9959999999999999E-2</v>
      </c>
      <c r="C197" s="37">
        <f t="shared" si="33"/>
        <v>3.8013782717372102E-4</v>
      </c>
      <c r="E197" s="40">
        <v>44827</v>
      </c>
      <c r="F197" s="38">
        <v>-0.13287478</v>
      </c>
      <c r="G197" s="38">
        <v>-4.3699799999999997E-2</v>
      </c>
      <c r="H197" s="36">
        <f t="shared" si="34"/>
        <v>-0.13325491782717372</v>
      </c>
      <c r="I197" s="36">
        <f t="shared" si="35"/>
        <v>-4.4079937827173718E-2</v>
      </c>
      <c r="O197" s="38">
        <v>-6.8507433000000006E-2</v>
      </c>
      <c r="P197" s="36">
        <f t="shared" si="36"/>
        <v>-6.8887570827173727E-2</v>
      </c>
      <c r="Q197" s="38">
        <v>-3.1321703999999999E-2</v>
      </c>
      <c r="R197" s="36">
        <f t="shared" si="36"/>
        <v>-3.170184182717372E-2</v>
      </c>
      <c r="S197" s="38">
        <v>-5.3318739999999995E-3</v>
      </c>
      <c r="T197" s="36">
        <f t="shared" si="37"/>
        <v>-5.7120118271737205E-3</v>
      </c>
      <c r="U197" s="38">
        <v>-4.0462436999999997E-2</v>
      </c>
      <c r="V197" s="36">
        <f t="shared" si="38"/>
        <v>-4.0842574827173718E-2</v>
      </c>
      <c r="W197" s="38">
        <v>-5.4542303E-2</v>
      </c>
      <c r="X197" s="36">
        <f t="shared" si="39"/>
        <v>-5.4922440827173721E-2</v>
      </c>
      <c r="Y197" s="38">
        <v>-0.13571900000000001</v>
      </c>
      <c r="Z197" s="36">
        <f t="shared" si="40"/>
        <v>-0.13609913782717373</v>
      </c>
      <c r="AA197" s="38">
        <v>2.9728292999999999E-2</v>
      </c>
      <c r="AB197" s="36">
        <f t="shared" si="41"/>
        <v>2.9348155172826278E-2</v>
      </c>
      <c r="AC197" s="38">
        <v>-8.2609710000000003E-2</v>
      </c>
      <c r="AD197" s="36">
        <f t="shared" si="42"/>
        <v>-8.2989847827173724E-2</v>
      </c>
      <c r="AE197" s="38">
        <v>1.6666054999999999E-2</v>
      </c>
      <c r="AF197" s="36">
        <f t="shared" si="43"/>
        <v>1.6285917172826278E-2</v>
      </c>
    </row>
    <row r="198" spans="2:32" outlineLevel="1" x14ac:dyDescent="0.25">
      <c r="B198" s="38">
        <v>1.7440000000000001E-2</v>
      </c>
      <c r="C198" s="37">
        <f t="shared" si="33"/>
        <v>3.3254890784317759E-4</v>
      </c>
      <c r="E198" s="40">
        <v>44820</v>
      </c>
      <c r="F198" s="38">
        <v>8.8851089999999994E-2</v>
      </c>
      <c r="G198" s="38">
        <v>-2.8855561999999998E-2</v>
      </c>
      <c r="H198" s="36">
        <f t="shared" si="34"/>
        <v>8.8518541092156816E-2</v>
      </c>
      <c r="I198" s="36">
        <f t="shared" si="35"/>
        <v>-2.9188110907843175E-2</v>
      </c>
      <c r="O198" s="38">
        <v>8.1251859999999995E-3</v>
      </c>
      <c r="P198" s="36">
        <f t="shared" si="36"/>
        <v>7.7926370921568219E-3</v>
      </c>
      <c r="Q198" s="38">
        <v>6.192541E-2</v>
      </c>
      <c r="R198" s="36">
        <f t="shared" si="36"/>
        <v>6.1592861092156823E-2</v>
      </c>
      <c r="S198" s="38">
        <v>-3.1601786999999998E-3</v>
      </c>
      <c r="T198" s="36">
        <f t="shared" si="37"/>
        <v>-3.4927276078431774E-3</v>
      </c>
      <c r="U198" s="38">
        <v>1.1971115999999999E-2</v>
      </c>
      <c r="V198" s="36">
        <f t="shared" si="38"/>
        <v>1.1638567092156821E-2</v>
      </c>
      <c r="W198" s="38">
        <v>1.1530994999999999E-2</v>
      </c>
      <c r="X198" s="36">
        <f t="shared" si="39"/>
        <v>1.1198446092156821E-2</v>
      </c>
      <c r="Y198" s="38">
        <v>-4.4253590000000002E-2</v>
      </c>
      <c r="Z198" s="36">
        <f t="shared" si="40"/>
        <v>-4.458613890784318E-2</v>
      </c>
      <c r="AA198" s="38">
        <v>-2.5277793000000003E-2</v>
      </c>
      <c r="AB198" s="36">
        <f t="shared" si="41"/>
        <v>-2.5610341907843181E-2</v>
      </c>
      <c r="AC198" s="38">
        <v>-3.0811011999999999E-2</v>
      </c>
      <c r="AD198" s="36">
        <f t="shared" si="42"/>
        <v>-3.1143560907843176E-2</v>
      </c>
      <c r="AE198" s="38">
        <v>-4.4261217000000005E-2</v>
      </c>
      <c r="AF198" s="36">
        <f t="shared" si="43"/>
        <v>-4.4593765907843183E-2</v>
      </c>
    </row>
    <row r="199" spans="2:32" outlineLevel="1" x14ac:dyDescent="0.25">
      <c r="B199" s="38">
        <v>1.6810000000000002E-2</v>
      </c>
      <c r="C199" s="37">
        <f t="shared" si="33"/>
        <v>3.2063361544398816E-4</v>
      </c>
      <c r="E199" s="40">
        <v>44813</v>
      </c>
      <c r="F199" s="38">
        <v>1.7023086999999999E-4</v>
      </c>
      <c r="G199" s="38">
        <v>1.0577679E-2</v>
      </c>
      <c r="H199" s="36">
        <f t="shared" si="34"/>
        <v>-1.5040274544398817E-4</v>
      </c>
      <c r="I199" s="36">
        <f t="shared" si="35"/>
        <v>1.0257045384556011E-2</v>
      </c>
      <c r="O199" s="38">
        <v>-1.3507485E-2</v>
      </c>
      <c r="P199" s="36">
        <f t="shared" si="36"/>
        <v>-1.3828118615443988E-2</v>
      </c>
      <c r="Q199" s="38">
        <v>-3.0414283E-2</v>
      </c>
      <c r="R199" s="36">
        <f t="shared" si="36"/>
        <v>-3.0734916615443988E-2</v>
      </c>
      <c r="S199" s="38">
        <v>-1.8239557999999999E-2</v>
      </c>
      <c r="T199" s="36">
        <f t="shared" si="37"/>
        <v>-1.8560191615443988E-2</v>
      </c>
      <c r="U199" s="38">
        <v>-2.1302044000000003E-2</v>
      </c>
      <c r="V199" s="36">
        <f t="shared" si="38"/>
        <v>-2.1622677615443991E-2</v>
      </c>
      <c r="W199" s="38">
        <v>-2.1014273E-2</v>
      </c>
      <c r="X199" s="36">
        <f t="shared" si="39"/>
        <v>-2.1334906615443988E-2</v>
      </c>
      <c r="Y199" s="38">
        <v>1.5631198999999998E-2</v>
      </c>
      <c r="Z199" s="36">
        <f t="shared" si="40"/>
        <v>1.531056538455601E-2</v>
      </c>
      <c r="AA199" s="38">
        <v>-4.289508E-3</v>
      </c>
      <c r="AB199" s="36">
        <f t="shared" si="41"/>
        <v>-4.6101416154439882E-3</v>
      </c>
      <c r="AC199" s="38">
        <v>7.1700689999999997E-2</v>
      </c>
      <c r="AD199" s="36">
        <f t="shared" si="42"/>
        <v>7.1380056384556009E-2</v>
      </c>
      <c r="AE199" s="38">
        <v>-1.6550838999999998E-2</v>
      </c>
      <c r="AF199" s="36">
        <f t="shared" si="43"/>
        <v>-1.6871472615443986E-2</v>
      </c>
    </row>
    <row r="200" spans="2:32" outlineLevel="1" x14ac:dyDescent="0.25">
      <c r="B200" s="38">
        <v>1.4970000000000001E-2</v>
      </c>
      <c r="C200" s="37">
        <f t="shared" si="33"/>
        <v>2.8579189623822998E-4</v>
      </c>
      <c r="E200" s="40">
        <v>44806</v>
      </c>
      <c r="F200" s="38">
        <v>7.170224E-2</v>
      </c>
      <c r="G200" s="38">
        <v>-2.3750841999999998E-2</v>
      </c>
      <c r="H200" s="36">
        <f t="shared" si="34"/>
        <v>7.141644810376177E-2</v>
      </c>
      <c r="I200" s="36">
        <f t="shared" si="35"/>
        <v>-2.4036633896238228E-2</v>
      </c>
      <c r="O200" s="38">
        <v>-1.9359529E-2</v>
      </c>
      <c r="P200" s="36">
        <f t="shared" si="36"/>
        <v>-1.964532089623823E-2</v>
      </c>
      <c r="Q200" s="38">
        <v>3.1926274000000004E-2</v>
      </c>
      <c r="R200" s="36">
        <f t="shared" si="36"/>
        <v>3.1640482103761775E-2</v>
      </c>
      <c r="S200" s="38">
        <v>-1.3139129000000001E-2</v>
      </c>
      <c r="T200" s="36">
        <f t="shared" si="37"/>
        <v>-1.3424920896238231E-2</v>
      </c>
      <c r="U200" s="38">
        <v>2.721548E-2</v>
      </c>
      <c r="V200" s="36">
        <f t="shared" si="38"/>
        <v>2.692968810376177E-2</v>
      </c>
      <c r="W200" s="38">
        <v>4.6909093999999998E-2</v>
      </c>
      <c r="X200" s="36">
        <f t="shared" si="39"/>
        <v>4.6623302103761768E-2</v>
      </c>
      <c r="Y200" s="38">
        <v>-1.7302394000000002E-2</v>
      </c>
      <c r="Z200" s="36">
        <f t="shared" si="40"/>
        <v>-1.7588185896238232E-2</v>
      </c>
      <c r="AA200" s="38">
        <v>-4.8226237000000005E-2</v>
      </c>
      <c r="AB200" s="36">
        <f t="shared" si="41"/>
        <v>-4.8512028896238235E-2</v>
      </c>
      <c r="AC200" s="38">
        <v>-2.0448564999999998E-2</v>
      </c>
      <c r="AD200" s="36">
        <f t="shared" si="42"/>
        <v>-2.0734356896238228E-2</v>
      </c>
      <c r="AE200" s="38">
        <v>-1.5728949999999998E-2</v>
      </c>
      <c r="AF200" s="36">
        <f t="shared" si="43"/>
        <v>-1.6014741896238228E-2</v>
      </c>
    </row>
    <row r="201" spans="2:32" outlineLevel="1" x14ac:dyDescent="0.25">
      <c r="B201" s="38">
        <v>1.4239999999999999E-2</v>
      </c>
      <c r="C201" s="37">
        <f t="shared" si="33"/>
        <v>2.7195165587401426E-4</v>
      </c>
      <c r="E201" s="40">
        <v>44799</v>
      </c>
      <c r="F201" s="38">
        <v>-6.4994869999999996E-2</v>
      </c>
      <c r="G201" s="38">
        <v>-2.5768219999999998E-2</v>
      </c>
      <c r="H201" s="36">
        <f t="shared" si="34"/>
        <v>-6.5266821655874011E-2</v>
      </c>
      <c r="I201" s="36">
        <f t="shared" si="35"/>
        <v>-2.6040171655874012E-2</v>
      </c>
      <c r="O201" s="38">
        <v>-4.8739967000000002E-2</v>
      </c>
      <c r="P201" s="36">
        <f t="shared" si="36"/>
        <v>-4.9011918655874016E-2</v>
      </c>
      <c r="Q201" s="38">
        <v>-4.4220265999999994E-2</v>
      </c>
      <c r="R201" s="36">
        <f t="shared" si="36"/>
        <v>-4.4492217655874008E-2</v>
      </c>
      <c r="S201" s="38">
        <v>-1.3011694000000001E-4</v>
      </c>
      <c r="T201" s="36">
        <f t="shared" si="37"/>
        <v>-4.020685958740143E-4</v>
      </c>
      <c r="U201" s="38">
        <v>-3.5483359999999999E-2</v>
      </c>
      <c r="V201" s="36">
        <f t="shared" si="38"/>
        <v>-3.5755311655874013E-2</v>
      </c>
      <c r="W201" s="38">
        <v>-5.3193330000000004E-2</v>
      </c>
      <c r="X201" s="36">
        <f t="shared" si="39"/>
        <v>-5.3465281655874018E-2</v>
      </c>
      <c r="Y201" s="38">
        <v>-2.717495E-2</v>
      </c>
      <c r="Z201" s="36">
        <f t="shared" si="40"/>
        <v>-2.7446901655874014E-2</v>
      </c>
      <c r="AA201" s="38">
        <v>-1.8197656E-2</v>
      </c>
      <c r="AB201" s="36">
        <f t="shared" si="41"/>
        <v>-1.8469607655874014E-2</v>
      </c>
      <c r="AC201" s="38">
        <v>-9.3724729999999992E-3</v>
      </c>
      <c r="AD201" s="36">
        <f t="shared" si="42"/>
        <v>-9.6444246558740135E-3</v>
      </c>
      <c r="AE201" s="38">
        <v>-1.4547944E-2</v>
      </c>
      <c r="AF201" s="36">
        <f t="shared" si="43"/>
        <v>-1.4819895655874014E-2</v>
      </c>
    </row>
    <row r="202" spans="2:32" outlineLevel="1" x14ac:dyDescent="0.25">
      <c r="B202" s="38">
        <v>1.2239999999999999E-2</v>
      </c>
      <c r="C202" s="37">
        <f t="shared" si="33"/>
        <v>2.3398307936517426E-4</v>
      </c>
      <c r="E202" s="40">
        <v>44792</v>
      </c>
      <c r="F202" s="38">
        <v>-4.543233E-2</v>
      </c>
      <c r="G202" s="38">
        <v>-7.9615709999999989E-3</v>
      </c>
      <c r="H202" s="36">
        <f t="shared" si="34"/>
        <v>-4.5666313079365174E-2</v>
      </c>
      <c r="I202" s="36">
        <f t="shared" si="35"/>
        <v>-8.1955540793651731E-3</v>
      </c>
      <c r="O202" s="38">
        <v>-2.6159644000000003E-2</v>
      </c>
      <c r="P202" s="36">
        <f t="shared" si="36"/>
        <v>-2.6393627079365177E-2</v>
      </c>
      <c r="Q202" s="38">
        <v>-2.1012664E-2</v>
      </c>
      <c r="R202" s="36">
        <f t="shared" si="36"/>
        <v>-2.1246647079365175E-2</v>
      </c>
      <c r="S202" s="38">
        <v>-8.3005430000000005E-3</v>
      </c>
      <c r="T202" s="36">
        <f t="shared" si="37"/>
        <v>-8.5345260793651748E-3</v>
      </c>
      <c r="U202" s="38">
        <v>-3.4882307000000001E-2</v>
      </c>
      <c r="V202" s="36">
        <f t="shared" si="38"/>
        <v>-3.5116290079365176E-2</v>
      </c>
      <c r="W202" s="38">
        <v>-4.6610889999999995E-2</v>
      </c>
      <c r="X202" s="36">
        <f t="shared" si="39"/>
        <v>-4.6844873079365169E-2</v>
      </c>
      <c r="Y202" s="38">
        <v>1.2998581000000001E-3</v>
      </c>
      <c r="Z202" s="36">
        <f t="shared" si="40"/>
        <v>1.0658750206348259E-3</v>
      </c>
      <c r="AA202" s="38">
        <v>1.8332005000000001E-3</v>
      </c>
      <c r="AB202" s="36">
        <f t="shared" si="41"/>
        <v>1.5992174206348258E-3</v>
      </c>
      <c r="AC202" s="38">
        <v>2.5901198E-2</v>
      </c>
      <c r="AD202" s="36">
        <f t="shared" si="42"/>
        <v>2.5667214920634826E-2</v>
      </c>
      <c r="AE202" s="38">
        <v>3.8474680000000004E-2</v>
      </c>
      <c r="AF202" s="36">
        <f t="shared" si="43"/>
        <v>3.824069692063483E-2</v>
      </c>
    </row>
    <row r="203" spans="2:32" outlineLevel="1" x14ac:dyDescent="0.25">
      <c r="B203" s="38">
        <v>9.7800000000000005E-3</v>
      </c>
      <c r="C203" s="37">
        <f t="shared" si="33"/>
        <v>1.8718069582024377E-4</v>
      </c>
      <c r="E203" s="40">
        <v>44785</v>
      </c>
      <c r="F203" s="38">
        <v>3.1580686999999996E-2</v>
      </c>
      <c r="G203" s="38">
        <v>1.1819481999999999E-2</v>
      </c>
      <c r="H203" s="36">
        <f t="shared" si="34"/>
        <v>3.1393506304179752E-2</v>
      </c>
      <c r="I203" s="36">
        <f t="shared" si="35"/>
        <v>1.1632301304179755E-2</v>
      </c>
      <c r="O203" s="38">
        <v>3.4886955999999997E-2</v>
      </c>
      <c r="P203" s="36">
        <f t="shared" si="36"/>
        <v>3.4699775304179753E-2</v>
      </c>
      <c r="Q203" s="38">
        <v>2.1199583999999997E-2</v>
      </c>
      <c r="R203" s="36">
        <f t="shared" si="36"/>
        <v>2.1012403304179753E-2</v>
      </c>
      <c r="S203" s="38">
        <v>4.8309803000000005E-2</v>
      </c>
      <c r="T203" s="36">
        <f t="shared" si="37"/>
        <v>4.8122622304179762E-2</v>
      </c>
      <c r="U203" s="38">
        <v>2.5323153000000001E-2</v>
      </c>
      <c r="V203" s="36">
        <f t="shared" si="38"/>
        <v>2.5135972304179757E-2</v>
      </c>
      <c r="W203" s="38">
        <v>3.4289597999999998E-2</v>
      </c>
      <c r="X203" s="36">
        <f t="shared" si="39"/>
        <v>3.4102417304179754E-2</v>
      </c>
      <c r="Y203" s="38">
        <v>4.9361349999999998E-2</v>
      </c>
      <c r="Z203" s="36">
        <f t="shared" si="40"/>
        <v>4.9174169304179755E-2</v>
      </c>
      <c r="AA203" s="38">
        <v>1.013732E-2</v>
      </c>
      <c r="AB203" s="36">
        <f t="shared" si="41"/>
        <v>9.9501393041797562E-3</v>
      </c>
      <c r="AC203" s="38">
        <v>8.6398959999999997E-2</v>
      </c>
      <c r="AD203" s="36">
        <f t="shared" si="42"/>
        <v>8.6211779304179753E-2</v>
      </c>
      <c r="AE203" s="38">
        <v>5.9882283000000001E-2</v>
      </c>
      <c r="AF203" s="36">
        <f t="shared" si="43"/>
        <v>5.9695102304179758E-2</v>
      </c>
    </row>
    <row r="204" spans="2:32" outlineLevel="1" x14ac:dyDescent="0.25">
      <c r="B204" s="38">
        <v>9.3400000000000011E-3</v>
      </c>
      <c r="C204" s="37">
        <f t="shared" si="33"/>
        <v>1.7879774981821583E-4</v>
      </c>
      <c r="E204" s="40">
        <v>44778</v>
      </c>
      <c r="F204" s="38">
        <v>3.5484433000000003E-2</v>
      </c>
      <c r="G204" s="38">
        <v>-5.8637260000000005E-3</v>
      </c>
      <c r="H204" s="36">
        <f t="shared" si="34"/>
        <v>3.5305635250181787E-2</v>
      </c>
      <c r="I204" s="36">
        <f t="shared" si="35"/>
        <v>-6.0425237498182164E-3</v>
      </c>
      <c r="O204" s="38">
        <v>2.9449820000000002E-2</v>
      </c>
      <c r="P204" s="36">
        <f t="shared" si="36"/>
        <v>2.9271022250181786E-2</v>
      </c>
      <c r="Q204" s="38">
        <v>6.2434672999999996E-3</v>
      </c>
      <c r="R204" s="36">
        <f t="shared" si="36"/>
        <v>6.0646695501817838E-3</v>
      </c>
      <c r="S204" s="38">
        <v>1.6117454E-2</v>
      </c>
      <c r="T204" s="36">
        <f t="shared" si="37"/>
        <v>1.5938656250181784E-2</v>
      </c>
      <c r="U204" s="38">
        <v>-3.6109745999999998E-2</v>
      </c>
      <c r="V204" s="36">
        <f t="shared" si="38"/>
        <v>-3.6288543749818214E-2</v>
      </c>
      <c r="W204" s="38">
        <v>2.9535054999999998E-2</v>
      </c>
      <c r="X204" s="36">
        <f t="shared" si="39"/>
        <v>2.9356257250181782E-2</v>
      </c>
      <c r="Y204" s="38">
        <v>4.4700980000000001E-2</v>
      </c>
      <c r="Z204" s="36">
        <f t="shared" si="40"/>
        <v>4.4522182250181785E-2</v>
      </c>
      <c r="AA204" s="38">
        <v>-1.6001164999999998E-2</v>
      </c>
      <c r="AB204" s="36">
        <f t="shared" si="41"/>
        <v>-1.6179962749818214E-2</v>
      </c>
      <c r="AC204" s="38">
        <v>-2.4829507000000001E-3</v>
      </c>
      <c r="AD204" s="36">
        <f t="shared" si="42"/>
        <v>-2.6617484498182159E-3</v>
      </c>
      <c r="AE204" s="38">
        <v>-1.4482200000000001E-2</v>
      </c>
      <c r="AF204" s="36">
        <f t="shared" si="43"/>
        <v>-1.4660997749818216E-2</v>
      </c>
    </row>
    <row r="205" spans="2:32" outlineLevel="1" x14ac:dyDescent="0.25">
      <c r="B205" s="38">
        <v>8.4899999999999993E-3</v>
      </c>
      <c r="C205" s="37">
        <f t="shared" si="33"/>
        <v>1.6259326774803462E-4</v>
      </c>
      <c r="E205" s="40">
        <v>44771</v>
      </c>
      <c r="F205" s="38">
        <v>0.11285329000000001</v>
      </c>
      <c r="G205" s="38">
        <v>2.9550671999999997E-2</v>
      </c>
      <c r="H205" s="36">
        <f t="shared" si="34"/>
        <v>0.11269069673225197</v>
      </c>
      <c r="I205" s="36">
        <f t="shared" si="35"/>
        <v>2.9388078732251962E-2</v>
      </c>
      <c r="O205" s="38">
        <v>0.10072744</v>
      </c>
      <c r="P205" s="36">
        <f t="shared" si="36"/>
        <v>0.10056484673225197</v>
      </c>
      <c r="Q205" s="38">
        <v>8.9238879999999996E-3</v>
      </c>
      <c r="R205" s="36">
        <f t="shared" si="36"/>
        <v>8.761294732251965E-3</v>
      </c>
      <c r="S205" s="38">
        <v>-4.6396254999999994E-3</v>
      </c>
      <c r="T205" s="36">
        <f t="shared" si="37"/>
        <v>-4.802218767748034E-3</v>
      </c>
      <c r="U205" s="38">
        <v>3.0869007E-2</v>
      </c>
      <c r="V205" s="36">
        <f t="shared" si="38"/>
        <v>3.0706413732251966E-2</v>
      </c>
      <c r="W205" s="38">
        <v>4.6260834000000001E-2</v>
      </c>
      <c r="X205" s="36">
        <f t="shared" si="39"/>
        <v>4.6098240732251966E-2</v>
      </c>
      <c r="Y205" s="38">
        <v>0.14968670000000001</v>
      </c>
      <c r="Z205" s="36">
        <f t="shared" si="40"/>
        <v>0.14952410673225197</v>
      </c>
      <c r="AA205" s="38">
        <v>-9.0585349999999995E-3</v>
      </c>
      <c r="AB205" s="36">
        <f t="shared" si="41"/>
        <v>-9.2211282677480341E-3</v>
      </c>
      <c r="AC205" s="38">
        <v>4.9348473999999996E-2</v>
      </c>
      <c r="AD205" s="36">
        <f t="shared" si="42"/>
        <v>4.9185880732251962E-2</v>
      </c>
      <c r="AE205" s="38">
        <v>-2.2454262000000001E-3</v>
      </c>
      <c r="AF205" s="36">
        <f t="shared" si="43"/>
        <v>-2.4080194677480347E-3</v>
      </c>
    </row>
    <row r="206" spans="2:32" outlineLevel="1" x14ac:dyDescent="0.25">
      <c r="B206" s="38">
        <v>1.044E-2</v>
      </c>
      <c r="C206" s="37">
        <f t="shared" si="33"/>
        <v>1.9974839998648797E-4</v>
      </c>
      <c r="E206" s="40">
        <v>44764</v>
      </c>
      <c r="F206" s="38">
        <v>6.4715623999999999E-2</v>
      </c>
      <c r="G206" s="38">
        <v>2.8831720000000002E-2</v>
      </c>
      <c r="H206" s="36">
        <f t="shared" si="34"/>
        <v>6.4515875600013511E-2</v>
      </c>
      <c r="I206" s="36">
        <f t="shared" si="35"/>
        <v>2.8631971600013514E-2</v>
      </c>
      <c r="O206" s="38">
        <v>5.7878850000000003E-2</v>
      </c>
      <c r="P206" s="36">
        <f t="shared" si="36"/>
        <v>5.7679101600013515E-2</v>
      </c>
      <c r="Q206" s="38">
        <v>3.308034E-2</v>
      </c>
      <c r="R206" s="36">
        <f t="shared" si="36"/>
        <v>3.2880591600013512E-2</v>
      </c>
      <c r="S206" s="38">
        <v>1.8252015E-2</v>
      </c>
      <c r="T206" s="36">
        <f t="shared" si="37"/>
        <v>1.8052266600013512E-2</v>
      </c>
      <c r="U206" s="38">
        <v>2.6357769999999999E-2</v>
      </c>
      <c r="V206" s="36">
        <f t="shared" si="38"/>
        <v>2.6158021600013511E-2</v>
      </c>
      <c r="W206" s="38">
        <v>3.4424066999999996E-2</v>
      </c>
      <c r="X206" s="36">
        <f t="shared" si="39"/>
        <v>3.4224318600013508E-2</v>
      </c>
      <c r="Y206" s="38">
        <v>6.3196898000000001E-2</v>
      </c>
      <c r="Z206" s="36">
        <f t="shared" si="40"/>
        <v>6.2997149600013513E-2</v>
      </c>
      <c r="AA206" s="38">
        <v>2.1963119999999999E-2</v>
      </c>
      <c r="AB206" s="36">
        <f t="shared" si="41"/>
        <v>2.1763371600013511E-2</v>
      </c>
      <c r="AC206" s="38">
        <v>3.9193153000000001E-2</v>
      </c>
      <c r="AD206" s="36">
        <f t="shared" si="42"/>
        <v>3.8993404600013513E-2</v>
      </c>
      <c r="AE206" s="38">
        <v>3.1902313000000002E-2</v>
      </c>
      <c r="AF206" s="36">
        <f t="shared" si="43"/>
        <v>3.1702564600013514E-2</v>
      </c>
    </row>
    <row r="207" spans="2:32" outlineLevel="1" x14ac:dyDescent="0.25">
      <c r="B207" s="38">
        <v>1.1220000000000001E-2</v>
      </c>
      <c r="C207" s="37">
        <f t="shared" si="33"/>
        <v>2.1459076545649047E-4</v>
      </c>
      <c r="E207" s="40">
        <v>44757</v>
      </c>
      <c r="F207" s="38">
        <v>-1.4622270999999999E-2</v>
      </c>
      <c r="G207" s="38">
        <v>-8.0072879999999996E-3</v>
      </c>
      <c r="H207" s="36">
        <f t="shared" si="34"/>
        <v>-1.483686176545649E-2</v>
      </c>
      <c r="I207" s="36">
        <f t="shared" si="35"/>
        <v>-8.22187876545649E-3</v>
      </c>
      <c r="O207" s="38">
        <v>-4.0295362000000001E-2</v>
      </c>
      <c r="P207" s="36">
        <f t="shared" si="36"/>
        <v>-4.0509952765456492E-2</v>
      </c>
      <c r="Q207" s="38">
        <v>-2.2787511E-2</v>
      </c>
      <c r="R207" s="36">
        <f t="shared" si="36"/>
        <v>-2.300210176545649E-2</v>
      </c>
      <c r="S207" s="38">
        <v>-1.3623834000000001E-3</v>
      </c>
      <c r="T207" s="36">
        <f t="shared" si="37"/>
        <v>-1.5769741654564906E-3</v>
      </c>
      <c r="U207" s="38">
        <v>-1.2098849E-2</v>
      </c>
      <c r="V207" s="36">
        <f t="shared" si="38"/>
        <v>-1.2313439765456491E-2</v>
      </c>
      <c r="W207" s="38">
        <v>-5.3696099999999997E-2</v>
      </c>
      <c r="X207" s="36">
        <f t="shared" si="39"/>
        <v>-5.3910690765456487E-2</v>
      </c>
      <c r="Y207" s="38">
        <v>3.1909703999999997E-2</v>
      </c>
      <c r="Z207" s="36">
        <f t="shared" si="40"/>
        <v>3.1695113234543507E-2</v>
      </c>
      <c r="AA207" s="38">
        <v>1.5383005E-2</v>
      </c>
      <c r="AB207" s="36">
        <f t="shared" si="41"/>
        <v>1.5168414234543509E-2</v>
      </c>
      <c r="AC207" s="38">
        <v>2.6819586999999999E-2</v>
      </c>
      <c r="AD207" s="36">
        <f t="shared" si="42"/>
        <v>2.6604996234543508E-2</v>
      </c>
      <c r="AE207" s="38">
        <v>2.8476954000000002E-2</v>
      </c>
      <c r="AF207" s="36">
        <f t="shared" si="43"/>
        <v>2.8262363234543512E-2</v>
      </c>
    </row>
    <row r="208" spans="2:32" outlineLevel="1" x14ac:dyDescent="0.25">
      <c r="B208" s="38">
        <v>1.29E-2</v>
      </c>
      <c r="C208" s="37">
        <f t="shared" si="33"/>
        <v>2.4652083724197027E-4</v>
      </c>
      <c r="E208" s="40">
        <v>44750</v>
      </c>
      <c r="F208" s="38">
        <v>1.0880828E-2</v>
      </c>
      <c r="G208" s="38">
        <v>2.4537562999999998E-2</v>
      </c>
      <c r="H208" s="36">
        <f t="shared" si="34"/>
        <v>1.063430716275803E-2</v>
      </c>
      <c r="I208" s="36">
        <f t="shared" si="35"/>
        <v>2.4291042162758028E-2</v>
      </c>
      <c r="O208" s="38">
        <v>6.2969327000000005E-2</v>
      </c>
      <c r="P208" s="36">
        <f t="shared" si="36"/>
        <v>6.2722806162758035E-2</v>
      </c>
      <c r="Q208" s="38">
        <v>9.106671999999999E-2</v>
      </c>
      <c r="R208" s="36">
        <f t="shared" si="36"/>
        <v>9.082019916275802E-2</v>
      </c>
      <c r="S208" s="38">
        <v>6.1153173000000009E-3</v>
      </c>
      <c r="T208" s="36">
        <f t="shared" si="37"/>
        <v>5.8687964627580306E-3</v>
      </c>
      <c r="U208" s="38">
        <v>3.0911088000000003E-2</v>
      </c>
      <c r="V208" s="36">
        <f t="shared" si="38"/>
        <v>3.0664567162758033E-2</v>
      </c>
      <c r="W208" s="38">
        <v>1.5818118999999999E-2</v>
      </c>
      <c r="X208" s="36">
        <f t="shared" si="39"/>
        <v>1.5571598162758028E-2</v>
      </c>
      <c r="Y208" s="38">
        <v>4.8497915000000003E-2</v>
      </c>
      <c r="Z208" s="36">
        <f t="shared" si="40"/>
        <v>4.8251394162758032E-2</v>
      </c>
      <c r="AA208" s="38">
        <v>3.5887836999999999E-2</v>
      </c>
      <c r="AB208" s="36">
        <f t="shared" si="41"/>
        <v>3.5641316162758029E-2</v>
      </c>
      <c r="AC208" s="38">
        <v>2.5236010000000003E-2</v>
      </c>
      <c r="AD208" s="36">
        <f t="shared" si="42"/>
        <v>2.4989489162758033E-2</v>
      </c>
      <c r="AE208" s="38">
        <v>3.2403349999999997E-2</v>
      </c>
      <c r="AF208" s="36">
        <f t="shared" si="43"/>
        <v>3.2156829162758027E-2</v>
      </c>
    </row>
    <row r="209" spans="2:32" outlineLevel="1" x14ac:dyDescent="0.25">
      <c r="B209" s="38">
        <v>1.1639999999999999E-2</v>
      </c>
      <c r="C209" s="37">
        <f t="shared" si="33"/>
        <v>2.2257815823967242E-4</v>
      </c>
      <c r="E209" s="40">
        <v>44743</v>
      </c>
      <c r="F209" s="38">
        <v>-1.4366627E-2</v>
      </c>
      <c r="G209" s="38">
        <v>-1.4045954000000001E-2</v>
      </c>
      <c r="H209" s="36">
        <f t="shared" si="34"/>
        <v>-1.4589205158239672E-2</v>
      </c>
      <c r="I209" s="36">
        <f t="shared" si="35"/>
        <v>-1.4268532158239674E-2</v>
      </c>
      <c r="O209" s="38">
        <v>-5.6968154999999993E-2</v>
      </c>
      <c r="P209" s="36">
        <f t="shared" si="36"/>
        <v>-5.7190733158239665E-2</v>
      </c>
      <c r="Q209" s="38">
        <v>-4.4211150000000005E-2</v>
      </c>
      <c r="R209" s="36">
        <f t="shared" si="36"/>
        <v>-4.4433728158239677E-2</v>
      </c>
      <c r="S209" s="38">
        <v>-5.2002189999999997E-2</v>
      </c>
      <c r="T209" s="36">
        <f t="shared" si="37"/>
        <v>-5.2224768158239669E-2</v>
      </c>
      <c r="U209" s="38">
        <v>-1.5745938000000001E-2</v>
      </c>
      <c r="V209" s="36">
        <f t="shared" si="38"/>
        <v>-1.5968516158239673E-2</v>
      </c>
      <c r="W209" s="38">
        <v>-6.0792390000000002E-2</v>
      </c>
      <c r="X209" s="36">
        <f t="shared" si="39"/>
        <v>-6.1014968158239674E-2</v>
      </c>
      <c r="Y209" s="38">
        <v>-4.3574514000000002E-2</v>
      </c>
      <c r="Z209" s="36">
        <f t="shared" si="40"/>
        <v>-4.3797092158239674E-2</v>
      </c>
      <c r="AA209" s="38">
        <v>-5.8898925999999992E-3</v>
      </c>
      <c r="AB209" s="36">
        <f t="shared" si="41"/>
        <v>-6.1124707582396716E-3</v>
      </c>
      <c r="AC209" s="38">
        <v>-6.1919928000000006E-2</v>
      </c>
      <c r="AD209" s="36">
        <f t="shared" si="42"/>
        <v>-6.2142506158239678E-2</v>
      </c>
      <c r="AE209" s="38">
        <v>-2.3334205E-2</v>
      </c>
      <c r="AF209" s="36">
        <f t="shared" si="43"/>
        <v>-2.3556783158239673E-2</v>
      </c>
    </row>
    <row r="210" spans="2:32" outlineLevel="1" x14ac:dyDescent="0.25">
      <c r="B210" s="38">
        <v>1.44E-2</v>
      </c>
      <c r="C210" s="37">
        <f t="shared" si="33"/>
        <v>2.7498596903541284E-4</v>
      </c>
      <c r="E210" s="40">
        <v>44736</v>
      </c>
      <c r="F210" s="38">
        <v>2.8084039999999998E-2</v>
      </c>
      <c r="G210" s="38">
        <v>2.4004935999999998E-2</v>
      </c>
      <c r="H210" s="36">
        <f t="shared" si="34"/>
        <v>2.7809054030964585E-2</v>
      </c>
      <c r="I210" s="36">
        <f t="shared" si="35"/>
        <v>2.3729950030964585E-2</v>
      </c>
      <c r="O210" s="38">
        <v>1.5691400000000001E-2</v>
      </c>
      <c r="P210" s="36">
        <f t="shared" si="36"/>
        <v>1.5416414030964588E-2</v>
      </c>
      <c r="Q210" s="38">
        <v>-3.5793779999999998E-3</v>
      </c>
      <c r="R210" s="36">
        <f t="shared" si="36"/>
        <v>-3.8543639690354126E-3</v>
      </c>
      <c r="S210" s="38">
        <v>3.0726670999999997E-2</v>
      </c>
      <c r="T210" s="36">
        <f t="shared" si="37"/>
        <v>3.0451685030964584E-2</v>
      </c>
      <c r="U210" s="38">
        <v>-3.4278273999999997E-2</v>
      </c>
      <c r="V210" s="36">
        <f t="shared" si="38"/>
        <v>-3.455325996903541E-2</v>
      </c>
      <c r="W210" s="38">
        <v>-5.4416236999999999E-2</v>
      </c>
      <c r="X210" s="36">
        <f t="shared" si="39"/>
        <v>-5.4691222969035412E-2</v>
      </c>
      <c r="Y210" s="38">
        <v>6.0633063000000001E-2</v>
      </c>
      <c r="Z210" s="36">
        <f t="shared" si="40"/>
        <v>6.0358077030964588E-2</v>
      </c>
      <c r="AA210" s="38">
        <v>1.5627742E-2</v>
      </c>
      <c r="AB210" s="36">
        <f t="shared" si="41"/>
        <v>1.5352756030964587E-2</v>
      </c>
      <c r="AC210" s="38">
        <v>8.3209279999999997E-2</v>
      </c>
      <c r="AD210" s="36">
        <f t="shared" si="42"/>
        <v>8.2934294030964584E-2</v>
      </c>
      <c r="AE210" s="38">
        <v>1.0252595E-2</v>
      </c>
      <c r="AF210" s="36">
        <f t="shared" si="43"/>
        <v>9.9776090309645869E-3</v>
      </c>
    </row>
    <row r="211" spans="2:32" outlineLevel="1" x14ac:dyDescent="0.25">
      <c r="B211" s="38">
        <v>1.7299999999999999E-2</v>
      </c>
      <c r="C211" s="37">
        <f t="shared" si="33"/>
        <v>3.2990169055047147E-4</v>
      </c>
      <c r="E211" s="40">
        <v>44729</v>
      </c>
      <c r="F211" s="38">
        <v>-8.7336240000000009E-2</v>
      </c>
      <c r="G211" s="38">
        <v>-4.6036242999999998E-2</v>
      </c>
      <c r="H211" s="36">
        <f t="shared" si="34"/>
        <v>-8.7666141690550481E-2</v>
      </c>
      <c r="I211" s="36">
        <f t="shared" si="35"/>
        <v>-4.6366144690550469E-2</v>
      </c>
      <c r="O211" s="38">
        <v>-5.8189629999999999E-2</v>
      </c>
      <c r="P211" s="36">
        <f t="shared" si="36"/>
        <v>-5.8519531690550471E-2</v>
      </c>
      <c r="Q211" s="38">
        <v>-0.10980385999999999</v>
      </c>
      <c r="R211" s="36">
        <f t="shared" si="36"/>
        <v>-0.11013376169055046</v>
      </c>
      <c r="S211" s="38">
        <v>-7.1412030000000001E-2</v>
      </c>
      <c r="T211" s="36">
        <f t="shared" si="37"/>
        <v>-7.1741931690550473E-2</v>
      </c>
      <c r="U211" s="38">
        <v>-3.6503613000000004E-2</v>
      </c>
      <c r="V211" s="36">
        <f t="shared" si="38"/>
        <v>-3.6833514690550476E-2</v>
      </c>
      <c r="W211" s="38">
        <v>-4.5909760000000001E-2</v>
      </c>
      <c r="X211" s="36">
        <f t="shared" si="39"/>
        <v>-4.6239661690550472E-2</v>
      </c>
      <c r="Y211" s="38">
        <v>-0.11306725999999999</v>
      </c>
      <c r="Z211" s="36">
        <f t="shared" si="40"/>
        <v>-0.11339716169055046</v>
      </c>
      <c r="AA211" s="38">
        <v>-6.4613047000000007E-2</v>
      </c>
      <c r="AB211" s="36">
        <f t="shared" si="41"/>
        <v>-6.4942948690550478E-2</v>
      </c>
      <c r="AC211" s="38">
        <v>-8.3046490000000001E-2</v>
      </c>
      <c r="AD211" s="36">
        <f t="shared" si="42"/>
        <v>-8.3376391690550472E-2</v>
      </c>
      <c r="AE211" s="38">
        <v>-4.1189966000000001E-2</v>
      </c>
      <c r="AF211" s="36">
        <f t="shared" si="43"/>
        <v>-4.1519867690550473E-2</v>
      </c>
    </row>
    <row r="212" spans="2:32" outlineLevel="1" x14ac:dyDescent="0.25">
      <c r="B212" s="38">
        <v>1.4590000000000001E-2</v>
      </c>
      <c r="C212" s="37">
        <f t="shared" si="33"/>
        <v>2.785886063108034E-4</v>
      </c>
      <c r="E212" s="40">
        <v>44722</v>
      </c>
      <c r="F212" s="38">
        <v>2.1924614999999998E-2</v>
      </c>
      <c r="G212" s="38">
        <v>-3.9491950999999997E-2</v>
      </c>
      <c r="H212" s="36">
        <f t="shared" si="34"/>
        <v>2.1646026393689195E-2</v>
      </c>
      <c r="I212" s="36">
        <f t="shared" si="35"/>
        <v>-3.9770539606310801E-2</v>
      </c>
      <c r="O212" s="38">
        <v>-5.8004674999999999E-2</v>
      </c>
      <c r="P212" s="36">
        <f t="shared" si="36"/>
        <v>-5.8283263606310802E-2</v>
      </c>
      <c r="Q212" s="38">
        <v>-2.9033839999999998E-2</v>
      </c>
      <c r="R212" s="36">
        <f t="shared" si="36"/>
        <v>-2.9312428606310802E-2</v>
      </c>
      <c r="S212" s="38">
        <v>3.9287806000000002E-2</v>
      </c>
      <c r="T212" s="36">
        <f t="shared" si="37"/>
        <v>3.9009217393689198E-2</v>
      </c>
      <c r="U212" s="38">
        <v>-2.8819501000000001E-2</v>
      </c>
      <c r="V212" s="36">
        <f t="shared" si="38"/>
        <v>-2.9098089606310804E-2</v>
      </c>
      <c r="W212" s="38">
        <v>-3.6228597000000001E-2</v>
      </c>
      <c r="X212" s="36">
        <f t="shared" si="39"/>
        <v>-3.6507185606310805E-2</v>
      </c>
      <c r="Y212" s="38">
        <v>-3.8380622999999996E-2</v>
      </c>
      <c r="Z212" s="36">
        <f t="shared" si="40"/>
        <v>-3.8659211606310799E-2</v>
      </c>
      <c r="AA212" s="38">
        <v>9.1944929999999998E-3</v>
      </c>
      <c r="AB212" s="36">
        <f t="shared" si="41"/>
        <v>8.9159043936891964E-3</v>
      </c>
      <c r="AC212" s="38">
        <v>-5.2202520000000002E-2</v>
      </c>
      <c r="AD212" s="36">
        <f t="shared" si="42"/>
        <v>-5.2481108606310806E-2</v>
      </c>
      <c r="AE212" s="38">
        <v>2.1317482000000002E-2</v>
      </c>
      <c r="AF212" s="36">
        <f t="shared" si="43"/>
        <v>2.1038893393689199E-2</v>
      </c>
    </row>
    <row r="213" spans="2:32" outlineLevel="1" x14ac:dyDescent="0.25">
      <c r="B213" s="38">
        <v>1.26E-2</v>
      </c>
      <c r="C213" s="37">
        <f t="shared" si="33"/>
        <v>2.4082284996929104E-4</v>
      </c>
      <c r="E213" s="40">
        <v>44715</v>
      </c>
      <c r="F213" s="38">
        <v>2.3228168E-2</v>
      </c>
      <c r="G213" s="38">
        <v>-8.6500049999999988E-3</v>
      </c>
      <c r="H213" s="36">
        <f t="shared" si="34"/>
        <v>2.2987345150030709E-2</v>
      </c>
      <c r="I213" s="36">
        <f t="shared" si="35"/>
        <v>-8.8908278499692898E-3</v>
      </c>
      <c r="O213" s="38">
        <v>3.2004117999999996E-3</v>
      </c>
      <c r="P213" s="36">
        <f t="shared" si="36"/>
        <v>2.9595889500307086E-3</v>
      </c>
      <c r="Q213" s="38">
        <v>6.5956353999999995E-2</v>
      </c>
      <c r="R213" s="36">
        <f t="shared" si="36"/>
        <v>6.5715531150030704E-2</v>
      </c>
      <c r="S213" s="38">
        <v>6.6290616999999996E-2</v>
      </c>
      <c r="T213" s="36">
        <f t="shared" si="37"/>
        <v>6.6049794150030705E-2</v>
      </c>
      <c r="U213" s="38">
        <v>2.6742696999999999E-2</v>
      </c>
      <c r="V213" s="36">
        <f t="shared" si="38"/>
        <v>2.6501874150030708E-2</v>
      </c>
      <c r="W213" s="38">
        <v>2.0145415999999999E-2</v>
      </c>
      <c r="X213" s="36">
        <f t="shared" si="39"/>
        <v>1.9904593150030708E-2</v>
      </c>
      <c r="Y213" s="38">
        <v>-1.0646343000000001E-2</v>
      </c>
      <c r="Z213" s="36">
        <f t="shared" si="40"/>
        <v>-1.0887165849969292E-2</v>
      </c>
      <c r="AA213" s="38">
        <v>9.1277359999999991E-3</v>
      </c>
      <c r="AB213" s="36">
        <f t="shared" si="41"/>
        <v>8.8869131500307081E-3</v>
      </c>
      <c r="AC213" s="38">
        <v>-2.5981127999999999E-2</v>
      </c>
      <c r="AD213" s="36">
        <f t="shared" si="42"/>
        <v>-2.622195084996929E-2</v>
      </c>
      <c r="AE213" s="38">
        <v>1.9261837E-2</v>
      </c>
      <c r="AF213" s="36">
        <f t="shared" si="43"/>
        <v>1.9021014150030709E-2</v>
      </c>
    </row>
    <row r="214" spans="2:32" outlineLevel="1" x14ac:dyDescent="0.25">
      <c r="B214" s="38">
        <v>9.4799999999999988E-3</v>
      </c>
      <c r="C214" s="37">
        <f t="shared" si="33"/>
        <v>1.8146543952446414E-4</v>
      </c>
      <c r="E214" s="40">
        <v>44708</v>
      </c>
      <c r="F214" s="38">
        <v>4.1778684000000003E-2</v>
      </c>
      <c r="G214" s="38">
        <v>2.9761076000000001E-2</v>
      </c>
      <c r="H214" s="36">
        <f t="shared" si="34"/>
        <v>4.1597218560475539E-2</v>
      </c>
      <c r="I214" s="36">
        <f t="shared" si="35"/>
        <v>2.9579610560475537E-2</v>
      </c>
      <c r="O214" s="38">
        <v>1.5361905E-2</v>
      </c>
      <c r="P214" s="36">
        <f t="shared" si="36"/>
        <v>1.5180439560475536E-2</v>
      </c>
      <c r="Q214" s="38">
        <v>6.6847205000000007E-2</v>
      </c>
      <c r="R214" s="36">
        <f t="shared" si="36"/>
        <v>6.6665739560475543E-2</v>
      </c>
      <c r="S214" s="38">
        <v>-2.0676017000000001E-2</v>
      </c>
      <c r="T214" s="36">
        <f t="shared" si="37"/>
        <v>-2.0857482439524466E-2</v>
      </c>
      <c r="U214" s="38">
        <v>4.2866350000000004E-2</v>
      </c>
      <c r="V214" s="36">
        <f t="shared" si="38"/>
        <v>4.268488456047554E-2</v>
      </c>
      <c r="W214" s="38">
        <v>4.2969939999999998E-2</v>
      </c>
      <c r="X214" s="36">
        <f t="shared" si="39"/>
        <v>4.2788474560475534E-2</v>
      </c>
      <c r="Y214" s="38">
        <v>7.4924707000000007E-2</v>
      </c>
      <c r="Z214" s="36">
        <f t="shared" si="40"/>
        <v>7.4743241560475543E-2</v>
      </c>
      <c r="AA214" s="38">
        <v>1.0159254E-2</v>
      </c>
      <c r="AB214" s="36">
        <f t="shared" si="41"/>
        <v>9.9777885604755354E-3</v>
      </c>
      <c r="AC214" s="38">
        <v>7.408476E-2</v>
      </c>
      <c r="AD214" s="36">
        <f t="shared" si="42"/>
        <v>7.3903294560475535E-2</v>
      </c>
      <c r="AE214" s="38">
        <v>-3.0118704E-2</v>
      </c>
      <c r="AF214" s="36">
        <f t="shared" si="43"/>
        <v>-3.0300169439524464E-2</v>
      </c>
    </row>
    <row r="215" spans="2:32" outlineLevel="1" x14ac:dyDescent="0.25">
      <c r="B215" s="38">
        <v>9.5300000000000003E-3</v>
      </c>
      <c r="C215" s="37">
        <f t="shared" si="33"/>
        <v>1.8241809791219588E-4</v>
      </c>
      <c r="E215" s="40">
        <v>44701</v>
      </c>
      <c r="F215" s="38">
        <v>2.4364351999999999E-2</v>
      </c>
      <c r="G215" s="38">
        <v>-5.4904819999999997E-3</v>
      </c>
      <c r="H215" s="36">
        <f t="shared" si="34"/>
        <v>2.4181933902087803E-2</v>
      </c>
      <c r="I215" s="36">
        <f t="shared" si="35"/>
        <v>-5.6729000979121955E-3</v>
      </c>
      <c r="O215" s="38">
        <v>-1.6703010000000001E-2</v>
      </c>
      <c r="P215" s="36">
        <f t="shared" si="36"/>
        <v>-1.6885428097912197E-2</v>
      </c>
      <c r="Q215" s="38">
        <v>-3.6254525000000003E-2</v>
      </c>
      <c r="R215" s="36">
        <f t="shared" si="36"/>
        <v>-3.6436943097912199E-2</v>
      </c>
      <c r="S215" s="38">
        <v>8.5724589999999993E-3</v>
      </c>
      <c r="T215" s="36">
        <f t="shared" si="37"/>
        <v>8.3900409020878034E-3</v>
      </c>
      <c r="U215" s="38">
        <v>-2.7042030000000001E-3</v>
      </c>
      <c r="V215" s="36">
        <f t="shared" si="38"/>
        <v>-2.886621097912196E-3</v>
      </c>
      <c r="W215" s="38">
        <v>-1.2480497E-2</v>
      </c>
      <c r="X215" s="36">
        <f t="shared" si="39"/>
        <v>-1.2662915097912196E-2</v>
      </c>
      <c r="Y215" s="38">
        <v>-8.8412820000000003E-2</v>
      </c>
      <c r="Z215" s="36">
        <f t="shared" si="40"/>
        <v>-8.8595238097912199E-2</v>
      </c>
      <c r="AA215" s="38">
        <v>-8.4158779999999999E-3</v>
      </c>
      <c r="AB215" s="36">
        <f t="shared" si="41"/>
        <v>-8.5982960979121958E-3</v>
      </c>
      <c r="AC215" s="38">
        <v>-8.7887819999999992E-2</v>
      </c>
      <c r="AD215" s="36">
        <f t="shared" si="42"/>
        <v>-8.8070238097912187E-2</v>
      </c>
      <c r="AE215" s="38">
        <v>-3.5595120000000001E-2</v>
      </c>
      <c r="AF215" s="36">
        <f t="shared" si="43"/>
        <v>-3.5777538097912197E-2</v>
      </c>
    </row>
    <row r="216" spans="2:32" outlineLevel="1" x14ac:dyDescent="0.25">
      <c r="B216" s="38">
        <v>9.5700000000000004E-3</v>
      </c>
      <c r="C216" s="37">
        <f t="shared" si="33"/>
        <v>1.8318019130436625E-4</v>
      </c>
      <c r="E216" s="40">
        <v>44694</v>
      </c>
      <c r="F216" s="38">
        <v>1.8558501999999998E-2</v>
      </c>
      <c r="G216" s="38">
        <v>8.3041190000000004E-3</v>
      </c>
      <c r="H216" s="36">
        <f t="shared" si="34"/>
        <v>1.8375321808695631E-2</v>
      </c>
      <c r="I216" s="36">
        <f t="shared" si="35"/>
        <v>8.1209388086956342E-3</v>
      </c>
      <c r="O216" s="38">
        <v>4.7626375999999998E-2</v>
      </c>
      <c r="P216" s="36">
        <f t="shared" si="36"/>
        <v>4.7443195808695632E-2</v>
      </c>
      <c r="Q216" s="38">
        <v>-4.5318785E-2</v>
      </c>
      <c r="R216" s="36">
        <f t="shared" si="36"/>
        <v>-4.5501965191304367E-2</v>
      </c>
      <c r="S216" s="38">
        <v>-3.8488210000000002E-2</v>
      </c>
      <c r="T216" s="36">
        <f t="shared" si="37"/>
        <v>-3.8671390191304368E-2</v>
      </c>
      <c r="U216" s="38">
        <v>-1.7708003999999999E-2</v>
      </c>
      <c r="V216" s="36">
        <f t="shared" si="38"/>
        <v>-1.7891184191304366E-2</v>
      </c>
      <c r="W216" s="38">
        <v>3.2538652000000001E-2</v>
      </c>
      <c r="X216" s="36">
        <f t="shared" si="39"/>
        <v>3.2355471808695635E-2</v>
      </c>
      <c r="Y216" s="38">
        <v>-3.2736359999999999E-2</v>
      </c>
      <c r="Z216" s="36">
        <f t="shared" si="40"/>
        <v>-3.2919540191304365E-2</v>
      </c>
      <c r="AA216" s="38">
        <v>-7.3407890000000003E-2</v>
      </c>
      <c r="AB216" s="36">
        <f t="shared" si="41"/>
        <v>-7.359107019130437E-2</v>
      </c>
      <c r="AC216" s="38">
        <v>-1.7106593E-2</v>
      </c>
      <c r="AD216" s="36">
        <f t="shared" si="42"/>
        <v>-1.7289773191304366E-2</v>
      </c>
      <c r="AE216" s="38">
        <v>-1.8121659999999998E-2</v>
      </c>
      <c r="AF216" s="36">
        <f t="shared" si="43"/>
        <v>-1.8304840191304364E-2</v>
      </c>
    </row>
    <row r="217" spans="2:32" outlineLevel="1" x14ac:dyDescent="0.25">
      <c r="B217" s="38">
        <v>1.111E-2</v>
      </c>
      <c r="C217" s="37">
        <f t="shared" si="33"/>
        <v>2.1249829158098699E-4</v>
      </c>
      <c r="E217" s="40">
        <v>44687</v>
      </c>
      <c r="F217" s="38">
        <v>-1.7179251E-2</v>
      </c>
      <c r="G217" s="38">
        <v>-4.5471725000000005E-2</v>
      </c>
      <c r="H217" s="36">
        <f t="shared" si="34"/>
        <v>-1.7391749291580987E-2</v>
      </c>
      <c r="I217" s="36">
        <f t="shared" si="35"/>
        <v>-4.5684223291580991E-2</v>
      </c>
      <c r="O217" s="38">
        <v>1.2478827999999999E-2</v>
      </c>
      <c r="P217" s="36">
        <f t="shared" si="36"/>
        <v>1.2266329708419012E-2</v>
      </c>
      <c r="Q217" s="38">
        <v>-4.0152907000000002E-2</v>
      </c>
      <c r="R217" s="36">
        <f t="shared" si="36"/>
        <v>-4.0365405291580989E-2</v>
      </c>
      <c r="S217" s="38">
        <v>2.2522211E-3</v>
      </c>
      <c r="T217" s="36">
        <f t="shared" si="37"/>
        <v>2.039722808419013E-3</v>
      </c>
      <c r="U217" s="38">
        <v>7.005453E-3</v>
      </c>
      <c r="V217" s="36">
        <f t="shared" si="38"/>
        <v>6.792954708419013E-3</v>
      </c>
      <c r="W217" s="38">
        <v>-7.4813660000000004E-2</v>
      </c>
      <c r="X217" s="36">
        <f t="shared" si="39"/>
        <v>-7.5026158291580991E-2</v>
      </c>
      <c r="Y217" s="38">
        <v>3.5452842999999997E-4</v>
      </c>
      <c r="Z217" s="36">
        <f t="shared" si="40"/>
        <v>1.4203013841901298E-4</v>
      </c>
      <c r="AA217" s="38">
        <v>8.3175899999999997E-3</v>
      </c>
      <c r="AB217" s="36">
        <f t="shared" si="41"/>
        <v>8.1050917084190127E-3</v>
      </c>
      <c r="AC217" s="38">
        <v>4.0746927000000002E-2</v>
      </c>
      <c r="AD217" s="36">
        <f t="shared" si="42"/>
        <v>4.0534428708419015E-2</v>
      </c>
      <c r="AE217" s="38">
        <v>5.1482916000000004E-3</v>
      </c>
      <c r="AF217" s="36">
        <f t="shared" si="43"/>
        <v>4.9357933084190134E-3</v>
      </c>
    </row>
    <row r="218" spans="2:32" outlineLevel="1" x14ac:dyDescent="0.25">
      <c r="B218" s="38">
        <v>9.0200000000000002E-3</v>
      </c>
      <c r="C218" s="37">
        <f t="shared" si="33"/>
        <v>1.7269881034942536E-4</v>
      </c>
      <c r="E218" s="40">
        <v>44680</v>
      </c>
      <c r="F218" s="38">
        <v>1.5726089999999998E-2</v>
      </c>
      <c r="G218" s="38">
        <v>-6.441474E-3</v>
      </c>
      <c r="H218" s="36">
        <f t="shared" si="34"/>
        <v>1.5553391189650573E-2</v>
      </c>
      <c r="I218" s="36">
        <f t="shared" si="35"/>
        <v>-6.6141728103494253E-3</v>
      </c>
      <c r="O218" s="38">
        <v>-9.9145770000000008E-3</v>
      </c>
      <c r="P218" s="36">
        <f t="shared" si="36"/>
        <v>-1.0087275810349426E-2</v>
      </c>
      <c r="Q218" s="38">
        <v>-2.5617122999999999E-2</v>
      </c>
      <c r="R218" s="36">
        <f t="shared" si="36"/>
        <v>-2.5789821810349424E-2</v>
      </c>
      <c r="S218" s="38">
        <v>-2.4748743000000004E-2</v>
      </c>
      <c r="T218" s="36">
        <f t="shared" si="37"/>
        <v>-2.4921441810349429E-2</v>
      </c>
      <c r="U218" s="38">
        <v>-1.2731552000000001E-4</v>
      </c>
      <c r="V218" s="36">
        <f t="shared" si="38"/>
        <v>-3.0001433034942536E-4</v>
      </c>
      <c r="W218" s="38">
        <v>3.6613584000000005E-2</v>
      </c>
      <c r="X218" s="36">
        <f t="shared" si="39"/>
        <v>3.6440885189650579E-2</v>
      </c>
      <c r="Y218" s="38">
        <v>-4.4061719999999999E-2</v>
      </c>
      <c r="Z218" s="36">
        <f t="shared" si="40"/>
        <v>-4.4234418810349424E-2</v>
      </c>
      <c r="AA218" s="38">
        <v>2.4476051000000002E-2</v>
      </c>
      <c r="AB218" s="36">
        <f t="shared" si="41"/>
        <v>2.4303352189650577E-2</v>
      </c>
      <c r="AC218" s="38">
        <v>-2.8058827000000001E-2</v>
      </c>
      <c r="AD218" s="36">
        <f t="shared" si="42"/>
        <v>-2.8231525810349427E-2</v>
      </c>
      <c r="AE218" s="38">
        <v>2.4779200000000001E-2</v>
      </c>
      <c r="AF218" s="36">
        <f t="shared" si="43"/>
        <v>2.4606501189650576E-2</v>
      </c>
    </row>
    <row r="219" spans="2:32" outlineLevel="1" x14ac:dyDescent="0.25">
      <c r="B219" s="38">
        <v>9.3500000000000007E-3</v>
      </c>
      <c r="C219" s="37">
        <f t="shared" si="33"/>
        <v>1.7898831111784475E-4</v>
      </c>
      <c r="E219" s="40">
        <v>44673</v>
      </c>
      <c r="F219" s="38">
        <v>4.408455E-2</v>
      </c>
      <c r="G219" s="38">
        <v>-1.4157711999999999E-2</v>
      </c>
      <c r="H219" s="36">
        <f t="shared" si="34"/>
        <v>4.3905561688882155E-2</v>
      </c>
      <c r="I219" s="36">
        <f t="shared" si="35"/>
        <v>-1.4336700311117844E-2</v>
      </c>
      <c r="O219" s="38">
        <v>-6.8352995E-2</v>
      </c>
      <c r="P219" s="36">
        <f t="shared" si="36"/>
        <v>-6.8531983311117844E-2</v>
      </c>
      <c r="Q219" s="38">
        <v>2.4820924000000001E-2</v>
      </c>
      <c r="R219" s="36">
        <f t="shared" si="36"/>
        <v>2.4641935688882156E-2</v>
      </c>
      <c r="S219" s="38">
        <v>3.0607700000000002E-2</v>
      </c>
      <c r="T219" s="36">
        <f t="shared" si="37"/>
        <v>3.0428711688882157E-2</v>
      </c>
      <c r="U219" s="38">
        <v>2.9905558000000002E-2</v>
      </c>
      <c r="V219" s="36">
        <f t="shared" si="38"/>
        <v>2.9726569688882157E-2</v>
      </c>
      <c r="W219" s="38">
        <v>2.2267937999999998E-2</v>
      </c>
      <c r="X219" s="36">
        <f t="shared" si="39"/>
        <v>2.2088949688882153E-2</v>
      </c>
      <c r="Y219" s="38">
        <v>-2.2558867999999999E-2</v>
      </c>
      <c r="Z219" s="36">
        <f t="shared" si="40"/>
        <v>-2.2737856311117844E-2</v>
      </c>
      <c r="AA219" s="38">
        <v>2.811432E-3</v>
      </c>
      <c r="AB219" s="36">
        <f t="shared" si="41"/>
        <v>2.6324436888821552E-3</v>
      </c>
      <c r="AC219" s="38">
        <v>-7.1747899999999995E-3</v>
      </c>
      <c r="AD219" s="36">
        <f t="shared" si="42"/>
        <v>-7.3537783111178442E-3</v>
      </c>
      <c r="AE219" s="38">
        <v>5.7202580000000006E-3</v>
      </c>
      <c r="AF219" s="36">
        <f t="shared" si="43"/>
        <v>5.5412696888821559E-3</v>
      </c>
    </row>
    <row r="220" spans="2:32" outlineLevel="1" x14ac:dyDescent="0.25">
      <c r="B220" s="38">
        <v>8.3599999999999994E-3</v>
      </c>
      <c r="C220" s="37">
        <f t="shared" si="33"/>
        <v>1.6011375426194796E-4</v>
      </c>
      <c r="E220" s="40">
        <v>44666</v>
      </c>
      <c r="F220" s="38">
        <v>1.7158507999999999E-2</v>
      </c>
      <c r="G220" s="38">
        <v>-2.4947524E-3</v>
      </c>
      <c r="H220" s="36">
        <f t="shared" si="34"/>
        <v>1.6998394245738051E-2</v>
      </c>
      <c r="I220" s="36">
        <f t="shared" si="35"/>
        <v>-2.6548661542619479E-3</v>
      </c>
      <c r="O220" s="38">
        <v>2.2374033999999998E-2</v>
      </c>
      <c r="P220" s="36">
        <f t="shared" si="36"/>
        <v>2.221392024573805E-2</v>
      </c>
      <c r="Q220" s="38">
        <v>-3.500694E-2</v>
      </c>
      <c r="R220" s="36">
        <f t="shared" si="36"/>
        <v>-3.5167053754261948E-2</v>
      </c>
      <c r="S220" s="38">
        <v>9.4139576000000003E-4</v>
      </c>
      <c r="T220" s="36">
        <f t="shared" si="37"/>
        <v>7.8128200573805207E-4</v>
      </c>
      <c r="U220" s="38">
        <v>-9.8701715000000002E-3</v>
      </c>
      <c r="V220" s="36">
        <f t="shared" si="38"/>
        <v>-1.0030285254261948E-2</v>
      </c>
      <c r="W220" s="38">
        <v>1.581788E-3</v>
      </c>
      <c r="X220" s="36">
        <f t="shared" si="39"/>
        <v>1.421674245738052E-3</v>
      </c>
      <c r="Y220" s="38">
        <v>3.7871838000000005E-2</v>
      </c>
      <c r="Z220" s="36">
        <f t="shared" si="40"/>
        <v>3.7711724245738057E-2</v>
      </c>
      <c r="AA220" s="38">
        <v>2.7709246E-2</v>
      </c>
      <c r="AB220" s="36">
        <f t="shared" si="41"/>
        <v>2.7549132245738052E-2</v>
      </c>
      <c r="AC220" s="38">
        <v>2.9043554999999999E-2</v>
      </c>
      <c r="AD220" s="36">
        <f t="shared" si="42"/>
        <v>2.8883441245738051E-2</v>
      </c>
      <c r="AE220" s="38">
        <v>2.216363E-2</v>
      </c>
      <c r="AF220" s="36">
        <f t="shared" si="43"/>
        <v>2.2003516245738052E-2</v>
      </c>
    </row>
    <row r="221" spans="2:32" outlineLevel="1" x14ac:dyDescent="0.25">
      <c r="B221" s="38">
        <v>6.9699999999999996E-3</v>
      </c>
      <c r="C221" s="37">
        <f t="shared" si="33"/>
        <v>1.335824181227796E-4</v>
      </c>
      <c r="E221" s="40">
        <v>44659</v>
      </c>
      <c r="F221" s="38">
        <v>-9.2211899999999999E-2</v>
      </c>
      <c r="G221" s="38">
        <v>5.7381389999999997E-3</v>
      </c>
      <c r="H221" s="36">
        <f t="shared" si="34"/>
        <v>-9.2345482418122779E-2</v>
      </c>
      <c r="I221" s="36">
        <f t="shared" si="35"/>
        <v>5.6045565818772201E-3</v>
      </c>
      <c r="O221" s="38">
        <v>-6.9235983000000001E-2</v>
      </c>
      <c r="P221" s="36">
        <f t="shared" si="36"/>
        <v>-6.9369565418122781E-2</v>
      </c>
      <c r="Q221" s="38">
        <v>-4.8641500000000004E-2</v>
      </c>
      <c r="R221" s="36">
        <f t="shared" si="36"/>
        <v>-4.8775082418122784E-2</v>
      </c>
      <c r="S221" s="38">
        <v>-5.5939969999999999E-2</v>
      </c>
      <c r="T221" s="36">
        <f t="shared" si="37"/>
        <v>-5.6073552418122778E-2</v>
      </c>
      <c r="U221" s="38">
        <v>-2.5316477E-2</v>
      </c>
      <c r="V221" s="36">
        <f t="shared" si="38"/>
        <v>-2.545005941812278E-2</v>
      </c>
      <c r="W221" s="38">
        <v>-4.2526721999999999E-3</v>
      </c>
      <c r="X221" s="36">
        <f t="shared" si="39"/>
        <v>-4.3862546181227795E-3</v>
      </c>
      <c r="Y221" s="38">
        <v>-8.2545999999999994E-2</v>
      </c>
      <c r="Z221" s="36">
        <f t="shared" si="40"/>
        <v>-8.2679582418122774E-2</v>
      </c>
      <c r="AA221" s="38">
        <v>-4.7431764999999994E-2</v>
      </c>
      <c r="AB221" s="36">
        <f t="shared" si="41"/>
        <v>-4.7565347418122773E-2</v>
      </c>
      <c r="AC221" s="38">
        <v>-7.0300817000000002E-2</v>
      </c>
      <c r="AD221" s="36">
        <f t="shared" si="42"/>
        <v>-7.0434399418122781E-2</v>
      </c>
      <c r="AE221" s="38">
        <v>-7.0574284000000001E-2</v>
      </c>
      <c r="AF221" s="36">
        <f t="shared" si="43"/>
        <v>-7.0707866418122781E-2</v>
      </c>
    </row>
    <row r="222" spans="2:32" outlineLevel="1" x14ac:dyDescent="0.25">
      <c r="B222" s="38">
        <v>5.94E-3</v>
      </c>
      <c r="C222" s="37">
        <f t="shared" si="33"/>
        <v>1.1389932741612263E-4</v>
      </c>
      <c r="E222" s="40">
        <v>44652</v>
      </c>
      <c r="F222" s="38">
        <v>4.6966669999999995E-2</v>
      </c>
      <c r="G222" s="38">
        <v>1.0561108999999999E-2</v>
      </c>
      <c r="H222" s="36">
        <f t="shared" si="34"/>
        <v>4.6852770672583872E-2</v>
      </c>
      <c r="I222" s="36">
        <f t="shared" si="35"/>
        <v>1.0447209672583876E-2</v>
      </c>
      <c r="O222" s="38">
        <v>2.4663925E-2</v>
      </c>
      <c r="P222" s="36">
        <f t="shared" si="36"/>
        <v>2.4550025672583877E-2</v>
      </c>
      <c r="Q222" s="38">
        <v>4.6788930000000006E-2</v>
      </c>
      <c r="R222" s="36">
        <f t="shared" si="36"/>
        <v>4.6675030672583884E-2</v>
      </c>
      <c r="S222" s="38">
        <v>5.9372187E-3</v>
      </c>
      <c r="T222" s="36">
        <f t="shared" si="37"/>
        <v>5.8233193725838774E-3</v>
      </c>
      <c r="U222" s="38">
        <v>1.4250875000000001E-2</v>
      </c>
      <c r="V222" s="36">
        <f t="shared" si="38"/>
        <v>1.4136975672583879E-2</v>
      </c>
      <c r="W222" s="38">
        <v>4.4296980000000001E-3</v>
      </c>
      <c r="X222" s="36">
        <f t="shared" si="39"/>
        <v>4.3157986725838775E-3</v>
      </c>
      <c r="Y222" s="38">
        <v>6.1658619999999994E-3</v>
      </c>
      <c r="Z222" s="36">
        <f t="shared" si="40"/>
        <v>6.0519626725838768E-3</v>
      </c>
      <c r="AA222" s="38">
        <v>-4.5363903000000001E-3</v>
      </c>
      <c r="AB222" s="36">
        <f t="shared" si="41"/>
        <v>-4.6502896274161227E-3</v>
      </c>
      <c r="AC222" s="38">
        <v>-2.0444749999999998E-2</v>
      </c>
      <c r="AD222" s="36">
        <f t="shared" si="42"/>
        <v>-2.055864932741612E-2</v>
      </c>
      <c r="AE222" s="38">
        <v>-9.4721913000000001E-3</v>
      </c>
      <c r="AF222" s="36">
        <f t="shared" si="43"/>
        <v>-9.5860906274161228E-3</v>
      </c>
    </row>
    <row r="223" spans="2:32" outlineLevel="1" x14ac:dyDescent="0.25">
      <c r="B223" s="38">
        <v>5.6399999999999992E-3</v>
      </c>
      <c r="C223" s="37">
        <f t="shared" si="33"/>
        <v>1.081626712795547E-4</v>
      </c>
      <c r="E223" s="40">
        <v>44645</v>
      </c>
      <c r="F223" s="38">
        <v>-1.3301848999999999E-2</v>
      </c>
      <c r="G223" s="38">
        <v>-2.3097396000000001E-3</v>
      </c>
      <c r="H223" s="36">
        <f t="shared" si="34"/>
        <v>-1.3410011671279554E-2</v>
      </c>
      <c r="I223" s="36">
        <f t="shared" si="35"/>
        <v>-2.4179022712795548E-3</v>
      </c>
      <c r="O223" s="38">
        <v>-1.5684664000000001E-2</v>
      </c>
      <c r="P223" s="36">
        <f t="shared" si="36"/>
        <v>-1.5792826671279556E-2</v>
      </c>
      <c r="Q223" s="38">
        <v>-9.9909305999999996E-3</v>
      </c>
      <c r="R223" s="36">
        <f t="shared" si="36"/>
        <v>-1.0099093271279554E-2</v>
      </c>
      <c r="S223" s="38">
        <v>3.1458974000000001E-2</v>
      </c>
      <c r="T223" s="36">
        <f t="shared" si="37"/>
        <v>3.1350811328720446E-2</v>
      </c>
      <c r="U223" s="38">
        <v>2.6218653000000001E-2</v>
      </c>
      <c r="V223" s="36">
        <f t="shared" si="38"/>
        <v>2.6110490328720447E-2</v>
      </c>
      <c r="W223" s="38">
        <v>9.2606544000000002E-3</v>
      </c>
      <c r="X223" s="36">
        <f t="shared" si="39"/>
        <v>9.1524917287204455E-3</v>
      </c>
      <c r="Y223" s="38">
        <v>-1.744014E-2</v>
      </c>
      <c r="Z223" s="36">
        <f t="shared" si="40"/>
        <v>-1.7548302671279555E-2</v>
      </c>
      <c r="AA223" s="38">
        <v>6.4868927000000007E-2</v>
      </c>
      <c r="AB223" s="36">
        <f t="shared" si="41"/>
        <v>6.4760764328720452E-2</v>
      </c>
      <c r="AC223" s="38">
        <v>-2.0430147999999999E-2</v>
      </c>
      <c r="AD223" s="36">
        <f t="shared" si="42"/>
        <v>-2.0538310671279553E-2</v>
      </c>
      <c r="AE223" s="38">
        <v>1.6176342999999999E-2</v>
      </c>
      <c r="AF223" s="36">
        <f t="shared" si="43"/>
        <v>1.6068180328720445E-2</v>
      </c>
    </row>
    <row r="224" spans="2:32" outlineLevel="1" x14ac:dyDescent="0.25">
      <c r="B224" s="38">
        <v>3.5499999999999998E-3</v>
      </c>
      <c r="C224" s="37">
        <f t="shared" si="33"/>
        <v>6.8150661061583406E-5</v>
      </c>
      <c r="E224" s="40">
        <v>44638</v>
      </c>
      <c r="F224" s="38">
        <v>4.4832945000000006E-2</v>
      </c>
      <c r="G224" s="38">
        <v>5.4340479999999997E-2</v>
      </c>
      <c r="H224" s="36">
        <f t="shared" si="34"/>
        <v>4.4764794338938423E-2</v>
      </c>
      <c r="I224" s="36">
        <f t="shared" si="35"/>
        <v>5.4272329338938413E-2</v>
      </c>
      <c r="O224" s="38">
        <v>8.654415E-2</v>
      </c>
      <c r="P224" s="36">
        <f t="shared" si="36"/>
        <v>8.6475999338938417E-2</v>
      </c>
      <c r="Q224" s="38">
        <v>9.1179489999999988E-2</v>
      </c>
      <c r="R224" s="36">
        <f t="shared" si="36"/>
        <v>9.1111339338938405E-2</v>
      </c>
      <c r="S224" s="38">
        <v>8.116923999999999E-2</v>
      </c>
      <c r="T224" s="36">
        <f t="shared" si="37"/>
        <v>8.1101089338938406E-2</v>
      </c>
      <c r="U224" s="38">
        <v>4.8053025999999999E-2</v>
      </c>
      <c r="V224" s="36">
        <f t="shared" si="38"/>
        <v>4.7984875338938415E-2</v>
      </c>
      <c r="W224" s="38">
        <v>6.8953753000000007E-2</v>
      </c>
      <c r="X224" s="36">
        <f t="shared" si="39"/>
        <v>6.8885602338938423E-2</v>
      </c>
      <c r="Y224" s="38">
        <v>4.3320893999999999E-2</v>
      </c>
      <c r="Z224" s="36">
        <f t="shared" si="40"/>
        <v>4.3252743338938415E-2</v>
      </c>
      <c r="AA224" s="38">
        <v>5.7958244999999999E-2</v>
      </c>
      <c r="AB224" s="36">
        <f t="shared" si="41"/>
        <v>5.7890094338938415E-2</v>
      </c>
      <c r="AC224" s="38">
        <v>7.1726083999999996E-2</v>
      </c>
      <c r="AD224" s="36">
        <f t="shared" si="42"/>
        <v>7.1657933338938412E-2</v>
      </c>
      <c r="AE224" s="38">
        <v>4.5430659999999998E-2</v>
      </c>
      <c r="AF224" s="36">
        <f t="shared" si="43"/>
        <v>4.5362509338938414E-2</v>
      </c>
    </row>
    <row r="225" spans="2:32" outlineLevel="1" x14ac:dyDescent="0.25">
      <c r="B225" s="38">
        <v>2.7000000000000001E-3</v>
      </c>
      <c r="C225" s="37">
        <f t="shared" si="33"/>
        <v>5.1854451083022113E-5</v>
      </c>
      <c r="E225" s="40">
        <v>44631</v>
      </c>
      <c r="F225" s="38">
        <v>-3.5459459999999998E-2</v>
      </c>
      <c r="G225" s="38">
        <v>2.2262812E-2</v>
      </c>
      <c r="H225" s="36">
        <f t="shared" si="34"/>
        <v>-3.551131445108302E-2</v>
      </c>
      <c r="I225" s="36">
        <f t="shared" si="35"/>
        <v>2.2210957548916978E-2</v>
      </c>
      <c r="O225" s="38">
        <v>-2.3585617999999999E-2</v>
      </c>
      <c r="P225" s="36">
        <f t="shared" si="36"/>
        <v>-2.3637472451083021E-2</v>
      </c>
      <c r="Q225" s="38">
        <v>2.4365425E-2</v>
      </c>
      <c r="R225" s="36">
        <f t="shared" si="36"/>
        <v>2.4313570548916977E-2</v>
      </c>
      <c r="S225" s="38">
        <v>-0.10262752000000001</v>
      </c>
      <c r="T225" s="36">
        <f t="shared" si="37"/>
        <v>-0.10267937445108304</v>
      </c>
      <c r="U225" s="38">
        <v>-9.3023180000000004E-3</v>
      </c>
      <c r="V225" s="36">
        <f t="shared" si="38"/>
        <v>-9.3541724510830225E-3</v>
      </c>
      <c r="W225" s="38">
        <v>1.0172367E-2</v>
      </c>
      <c r="X225" s="36">
        <f t="shared" si="39"/>
        <v>1.0120512548916978E-2</v>
      </c>
      <c r="Y225" s="38">
        <v>-5.2150964999999994E-2</v>
      </c>
      <c r="Z225" s="36">
        <f t="shared" si="40"/>
        <v>-5.2202819451083016E-2</v>
      </c>
      <c r="AA225" s="38">
        <v>-7.9023419999999997E-2</v>
      </c>
      <c r="AB225" s="36">
        <f t="shared" si="41"/>
        <v>-7.9075274451083019E-2</v>
      </c>
      <c r="AC225" s="38">
        <v>-2.5186480000000001E-2</v>
      </c>
      <c r="AD225" s="36">
        <f t="shared" si="42"/>
        <v>-2.5238334451083023E-2</v>
      </c>
      <c r="AE225" s="38">
        <v>-5.3232964999999993E-2</v>
      </c>
      <c r="AF225" s="36">
        <f t="shared" si="43"/>
        <v>-5.3284819451083015E-2</v>
      </c>
    </row>
    <row r="226" spans="2:32" outlineLevel="1" x14ac:dyDescent="0.25">
      <c r="B226" s="38">
        <v>-1E-3</v>
      </c>
      <c r="C226" s="37">
        <f t="shared" si="33"/>
        <v>-1.9240205935355803E-5</v>
      </c>
      <c r="E226" s="40">
        <v>44624</v>
      </c>
      <c r="F226" s="38">
        <v>-0.24292027999999999</v>
      </c>
      <c r="G226" s="38">
        <v>-7.0006369999999998E-2</v>
      </c>
      <c r="H226" s="36">
        <f t="shared" si="34"/>
        <v>-0.24290103979406463</v>
      </c>
      <c r="I226" s="36">
        <f t="shared" si="35"/>
        <v>-6.9987129794064643E-2</v>
      </c>
      <c r="O226" s="38">
        <v>-0.18135511000000001</v>
      </c>
      <c r="P226" s="36">
        <f t="shared" si="36"/>
        <v>-0.18133586979406466</v>
      </c>
      <c r="Q226" s="38">
        <v>-0.18325043000000002</v>
      </c>
      <c r="R226" s="36">
        <f t="shared" si="36"/>
        <v>-0.18323118979406466</v>
      </c>
      <c r="S226" s="38">
        <v>-8.9730209999999991E-2</v>
      </c>
      <c r="T226" s="36">
        <f t="shared" si="37"/>
        <v>-8.9710969794064635E-2</v>
      </c>
      <c r="U226" s="38">
        <v>-0.16950690999999998</v>
      </c>
      <c r="V226" s="36">
        <f t="shared" si="38"/>
        <v>-0.16948766979406463</v>
      </c>
      <c r="W226" s="38">
        <v>-0.19511514999999999</v>
      </c>
      <c r="X226" s="36">
        <f t="shared" si="39"/>
        <v>-0.19509590979406463</v>
      </c>
      <c r="Y226" s="38">
        <v>-2.674967E-2</v>
      </c>
      <c r="Z226" s="36">
        <f t="shared" si="40"/>
        <v>-2.6730429794064644E-2</v>
      </c>
      <c r="AA226" s="38">
        <v>-2.7339099999999998E-2</v>
      </c>
      <c r="AB226" s="36">
        <f t="shared" si="41"/>
        <v>-2.7319859794064642E-2</v>
      </c>
      <c r="AC226" s="38">
        <v>-7.9362335000000006E-2</v>
      </c>
      <c r="AD226" s="36">
        <f t="shared" si="42"/>
        <v>-7.934309479406465E-2</v>
      </c>
      <c r="AE226" s="38">
        <v>-5.6329669999999998E-2</v>
      </c>
      <c r="AF226" s="36">
        <f t="shared" si="43"/>
        <v>-5.6310429794064643E-2</v>
      </c>
    </row>
    <row r="227" spans="2:32" outlineLevel="1" x14ac:dyDescent="0.25">
      <c r="B227" s="38">
        <v>2.2300000000000002E-3</v>
      </c>
      <c r="C227" s="37">
        <f t="shared" si="33"/>
        <v>4.2837787518568149E-5</v>
      </c>
      <c r="E227" s="40">
        <v>44617</v>
      </c>
      <c r="F227" s="38">
        <v>-0.15911907</v>
      </c>
      <c r="G227" s="38">
        <v>-1.5798270999999999E-2</v>
      </c>
      <c r="H227" s="36">
        <f t="shared" si="34"/>
        <v>-0.15916190778751857</v>
      </c>
      <c r="I227" s="36">
        <f t="shared" si="35"/>
        <v>-1.5841108787518567E-2</v>
      </c>
      <c r="O227" s="38">
        <v>1.1502623999999999E-2</v>
      </c>
      <c r="P227" s="36">
        <f t="shared" si="36"/>
        <v>1.1459786212481431E-2</v>
      </c>
      <c r="Q227" s="38">
        <v>-4.1287540000000001E-3</v>
      </c>
      <c r="R227" s="36">
        <f t="shared" si="36"/>
        <v>-4.1715917875185683E-3</v>
      </c>
      <c r="S227" s="38">
        <v>-7.7108679999999999E-2</v>
      </c>
      <c r="T227" s="36">
        <f t="shared" si="37"/>
        <v>-7.7151517787518567E-2</v>
      </c>
      <c r="U227" s="38">
        <v>-7.7165008000000007E-2</v>
      </c>
      <c r="V227" s="36">
        <f t="shared" si="38"/>
        <v>-7.7207845787518575E-2</v>
      </c>
      <c r="W227" s="38">
        <v>-4.6699286000000007E-2</v>
      </c>
      <c r="X227" s="36">
        <f t="shared" si="39"/>
        <v>-4.6742123787518575E-2</v>
      </c>
      <c r="Y227" s="38">
        <v>-3.2033919999999998E-3</v>
      </c>
      <c r="Z227" s="36">
        <f t="shared" si="40"/>
        <v>-3.2462297875185679E-3</v>
      </c>
      <c r="AA227" s="38">
        <v>-3.2062769999999997E-2</v>
      </c>
      <c r="AB227" s="36">
        <f t="shared" si="41"/>
        <v>-3.2105607787518566E-2</v>
      </c>
      <c r="AC227" s="38">
        <v>-1.5742719000000002E-2</v>
      </c>
      <c r="AD227" s="36">
        <f t="shared" si="42"/>
        <v>-1.578555678751857E-2</v>
      </c>
      <c r="AE227" s="38">
        <v>-3.7497877999999998E-2</v>
      </c>
      <c r="AF227" s="36">
        <f t="shared" si="43"/>
        <v>-3.7540715787518567E-2</v>
      </c>
    </row>
    <row r="228" spans="2:32" outlineLevel="1" x14ac:dyDescent="0.25">
      <c r="B228" s="38">
        <v>2E-3</v>
      </c>
      <c r="C228" s="37">
        <f t="shared" ref="C228:C291" si="44">(1+B228)^(1/52)-1</f>
        <v>3.8423866306258603E-5</v>
      </c>
      <c r="E228" s="40">
        <v>44610</v>
      </c>
      <c r="F228" s="38">
        <v>1.0712385E-2</v>
      </c>
      <c r="G228" s="38">
        <v>-1.8655359999999999E-2</v>
      </c>
      <c r="H228" s="36">
        <f t="shared" ref="H228:H291" si="45">F228-C228</f>
        <v>1.0673961133693741E-2</v>
      </c>
      <c r="I228" s="36">
        <f t="shared" ref="I228:I291" si="46">G228-C228</f>
        <v>-1.8693783866306258E-2</v>
      </c>
      <c r="O228" s="38">
        <v>-4.6512484999999999E-3</v>
      </c>
      <c r="P228" s="36">
        <f t="shared" ref="P228:R291" si="47">O228-$C228</f>
        <v>-4.6896723663062585E-3</v>
      </c>
      <c r="Q228" s="38">
        <v>-5.0196050000000006E-2</v>
      </c>
      <c r="R228" s="36">
        <f t="shared" si="47"/>
        <v>-5.0234473866306265E-2</v>
      </c>
      <c r="S228" s="38">
        <v>-2.0910620000000001E-2</v>
      </c>
      <c r="T228" s="36">
        <f t="shared" ref="T228:T291" si="48">S228-$C228</f>
        <v>-2.094904386630626E-2</v>
      </c>
      <c r="U228" s="38">
        <v>8.3935260000000001E-4</v>
      </c>
      <c r="V228" s="36">
        <f t="shared" ref="V228:V291" si="49">U228-$C228</f>
        <v>8.0092873369374141E-4</v>
      </c>
      <c r="W228" s="38">
        <v>1.544857E-2</v>
      </c>
      <c r="X228" s="36">
        <f t="shared" ref="X228:X291" si="50">W228-$C228</f>
        <v>1.5410146133693741E-2</v>
      </c>
      <c r="Y228" s="38">
        <v>3.3539534000000003E-2</v>
      </c>
      <c r="Z228" s="36">
        <f t="shared" ref="Z228:Z291" si="51">Y228-$C228</f>
        <v>3.3501110133693744E-2</v>
      </c>
      <c r="AA228" s="38">
        <v>-1.9540190999999998E-2</v>
      </c>
      <c r="AB228" s="36">
        <f t="shared" ref="AB228:AB291" si="52">AA228-$C228</f>
        <v>-1.9578614866306257E-2</v>
      </c>
      <c r="AC228" s="38">
        <v>7.3051449999999999E-4</v>
      </c>
      <c r="AD228" s="36">
        <f t="shared" ref="AD228:AD291" si="53">AC228-$C228</f>
        <v>6.9209063369374138E-4</v>
      </c>
      <c r="AE228" s="38">
        <v>3.2609819999999998E-2</v>
      </c>
      <c r="AF228" s="36">
        <f t="shared" ref="AF228:AF291" si="54">AE228-$C228</f>
        <v>3.2571396133693739E-2</v>
      </c>
    </row>
    <row r="229" spans="2:32" outlineLevel="1" x14ac:dyDescent="0.25">
      <c r="B229" s="38">
        <v>2.6900000000000001E-3</v>
      </c>
      <c r="C229" s="37">
        <f t="shared" si="44"/>
        <v>5.1662650339956429E-5</v>
      </c>
      <c r="E229" s="40">
        <v>44603</v>
      </c>
      <c r="F229" s="38">
        <v>4.7966240000000007E-2</v>
      </c>
      <c r="G229" s="38">
        <v>1.6055465000000001E-2</v>
      </c>
      <c r="H229" s="36">
        <f t="shared" si="45"/>
        <v>4.7914577349660051E-2</v>
      </c>
      <c r="I229" s="36">
        <f t="shared" si="46"/>
        <v>1.6003802349660045E-2</v>
      </c>
      <c r="O229" s="38">
        <v>1.8709778999999999E-2</v>
      </c>
      <c r="P229" s="36">
        <f t="shared" si="47"/>
        <v>1.8658116349660043E-2</v>
      </c>
      <c r="Q229" s="38">
        <v>3.5743236999999997E-2</v>
      </c>
      <c r="R229" s="36">
        <f t="shared" si="47"/>
        <v>3.5691574349660041E-2</v>
      </c>
      <c r="S229" s="38">
        <v>5.87728E-2</v>
      </c>
      <c r="T229" s="36">
        <f t="shared" si="48"/>
        <v>5.8721137349660044E-2</v>
      </c>
      <c r="U229" s="38">
        <v>6.290424E-2</v>
      </c>
      <c r="V229" s="36">
        <f t="shared" si="49"/>
        <v>6.2852577349660044E-2</v>
      </c>
      <c r="W229" s="38">
        <v>9.7449540000000001E-2</v>
      </c>
      <c r="X229" s="36">
        <f t="shared" si="50"/>
        <v>9.7397877349660045E-2</v>
      </c>
      <c r="Y229" s="38">
        <v>-1.9443749999999999E-2</v>
      </c>
      <c r="Z229" s="36">
        <f t="shared" si="51"/>
        <v>-1.9495412650339956E-2</v>
      </c>
      <c r="AA229" s="38">
        <v>-1.2160896999999999E-2</v>
      </c>
      <c r="AB229" s="36">
        <f t="shared" si="52"/>
        <v>-1.2212559650339955E-2</v>
      </c>
      <c r="AC229" s="38">
        <v>-4.4664802999999996E-2</v>
      </c>
      <c r="AD229" s="36">
        <f t="shared" si="53"/>
        <v>-4.4716465650339952E-2</v>
      </c>
      <c r="AE229" s="38">
        <v>4.6509980000000006E-2</v>
      </c>
      <c r="AF229" s="36">
        <f t="shared" si="54"/>
        <v>4.645831734966005E-2</v>
      </c>
    </row>
    <row r="230" spans="2:32" outlineLevel="1" x14ac:dyDescent="0.25">
      <c r="B230" s="38">
        <v>2.2200000000000002E-3</v>
      </c>
      <c r="C230" s="37">
        <f t="shared" si="44"/>
        <v>4.2645898559623419E-5</v>
      </c>
      <c r="E230" s="40">
        <v>44596</v>
      </c>
      <c r="F230" s="38">
        <v>-7.9548954999999998E-3</v>
      </c>
      <c r="G230" s="38">
        <v>-7.3031782999999992E-3</v>
      </c>
      <c r="H230" s="36">
        <f t="shared" si="45"/>
        <v>-7.9975413985596232E-3</v>
      </c>
      <c r="I230" s="36">
        <f t="shared" si="46"/>
        <v>-7.3458241985596227E-3</v>
      </c>
      <c r="O230" s="38">
        <v>-3.5505116000000003E-2</v>
      </c>
      <c r="P230" s="36">
        <f t="shared" si="47"/>
        <v>-3.5547761898559627E-2</v>
      </c>
      <c r="Q230" s="38">
        <v>-2.1462620000000002E-2</v>
      </c>
      <c r="R230" s="36">
        <f t="shared" si="47"/>
        <v>-2.1505265898559625E-2</v>
      </c>
      <c r="S230" s="38">
        <v>-3.495562E-2</v>
      </c>
      <c r="T230" s="36">
        <f t="shared" si="48"/>
        <v>-3.4998265898559623E-2</v>
      </c>
      <c r="U230" s="38">
        <v>-2.9653668000000001E-2</v>
      </c>
      <c r="V230" s="36">
        <f t="shared" si="49"/>
        <v>-2.9696313898559625E-2</v>
      </c>
      <c r="W230" s="38">
        <v>-2.9197096999999998E-2</v>
      </c>
      <c r="X230" s="36">
        <f t="shared" si="50"/>
        <v>-2.9239742898559622E-2</v>
      </c>
      <c r="Y230" s="38">
        <v>-0.10314952999999999</v>
      </c>
      <c r="Z230" s="36">
        <f t="shared" si="51"/>
        <v>-0.10319217589855961</v>
      </c>
      <c r="AA230" s="38">
        <v>-7.317662E-3</v>
      </c>
      <c r="AB230" s="36">
        <f t="shared" si="52"/>
        <v>-7.3603078985596234E-3</v>
      </c>
      <c r="AC230" s="38">
        <v>-3.8577317999999999E-3</v>
      </c>
      <c r="AD230" s="36">
        <f t="shared" si="53"/>
        <v>-3.9003776985596234E-3</v>
      </c>
      <c r="AE230" s="38">
        <v>1.177907E-3</v>
      </c>
      <c r="AF230" s="36">
        <f t="shared" si="54"/>
        <v>1.1352611014403765E-3</v>
      </c>
    </row>
    <row r="231" spans="2:32" outlineLevel="1" x14ac:dyDescent="0.25">
      <c r="B231" s="38">
        <v>-3.7999999999999997E-4</v>
      </c>
      <c r="C231" s="37">
        <f t="shared" si="44"/>
        <v>-7.3090544098208809E-6</v>
      </c>
      <c r="E231" s="40">
        <v>44589</v>
      </c>
      <c r="F231" s="38">
        <v>3.7670731999999998E-2</v>
      </c>
      <c r="G231" s="38">
        <v>-1.8737912000000002E-2</v>
      </c>
      <c r="H231" s="36">
        <f t="shared" si="45"/>
        <v>3.7678041054409819E-2</v>
      </c>
      <c r="I231" s="36">
        <f t="shared" si="46"/>
        <v>-1.8730602945590182E-2</v>
      </c>
      <c r="O231" s="38">
        <v>-5.8473053000000004E-2</v>
      </c>
      <c r="P231" s="36">
        <f t="shared" si="47"/>
        <v>-5.8465743945590183E-2</v>
      </c>
      <c r="Q231" s="38">
        <v>-3.0069292000000001E-2</v>
      </c>
      <c r="R231" s="36">
        <f t="shared" si="47"/>
        <v>-3.006198294559018E-2</v>
      </c>
      <c r="S231" s="38">
        <v>-8.2511900000000003E-3</v>
      </c>
      <c r="T231" s="36">
        <f t="shared" si="48"/>
        <v>-8.2438809455901794E-3</v>
      </c>
      <c r="U231" s="38">
        <v>-3.3068179999999996E-2</v>
      </c>
      <c r="V231" s="36">
        <f t="shared" si="49"/>
        <v>-3.3060870945590175E-2</v>
      </c>
      <c r="W231" s="38">
        <v>-2.8638900000000002E-2</v>
      </c>
      <c r="X231" s="36">
        <f t="shared" si="50"/>
        <v>-2.8631590945590181E-2</v>
      </c>
      <c r="Y231" s="38">
        <v>-3.8371384000000001E-2</v>
      </c>
      <c r="Z231" s="36">
        <f t="shared" si="51"/>
        <v>-3.8364074945590181E-2</v>
      </c>
      <c r="AA231" s="38">
        <v>-1.7964065000000001E-2</v>
      </c>
      <c r="AB231" s="36">
        <f t="shared" si="52"/>
        <v>-1.795675594559018E-2</v>
      </c>
      <c r="AC231" s="38">
        <v>-4.1729155000000004E-2</v>
      </c>
      <c r="AD231" s="36">
        <f t="shared" si="53"/>
        <v>-4.1721845945590183E-2</v>
      </c>
      <c r="AE231" s="38">
        <v>-2.0746826999999999E-2</v>
      </c>
      <c r="AF231" s="36">
        <f t="shared" si="54"/>
        <v>-2.0739517945590178E-2</v>
      </c>
    </row>
    <row r="232" spans="2:32" outlineLevel="1" x14ac:dyDescent="0.25">
      <c r="B232" s="38">
        <v>-8.699999999999999E-4</v>
      </c>
      <c r="C232" s="37">
        <f t="shared" si="44"/>
        <v>-1.673791125889057E-5</v>
      </c>
      <c r="E232" s="40">
        <v>44582</v>
      </c>
      <c r="F232" s="38">
        <v>-6.8564415000000002E-3</v>
      </c>
      <c r="G232" s="38">
        <v>-1.3966262E-2</v>
      </c>
      <c r="H232" s="36">
        <f t="shared" si="45"/>
        <v>-6.8397035887411096E-3</v>
      </c>
      <c r="I232" s="36">
        <f t="shared" si="46"/>
        <v>-1.394952408874111E-2</v>
      </c>
      <c r="O232" s="38">
        <v>-4.4587254999999999E-2</v>
      </c>
      <c r="P232" s="36">
        <f t="shared" si="47"/>
        <v>-4.4570517088741109E-2</v>
      </c>
      <c r="Q232" s="38">
        <v>-6.3537955000000007E-2</v>
      </c>
      <c r="R232" s="36">
        <f t="shared" si="47"/>
        <v>-6.3521217088741116E-2</v>
      </c>
      <c r="S232" s="38">
        <v>-1.0704696E-2</v>
      </c>
      <c r="T232" s="36">
        <f t="shared" si="48"/>
        <v>-1.0687958088741109E-2</v>
      </c>
      <c r="U232" s="38">
        <v>-3.7857473000000003E-2</v>
      </c>
      <c r="V232" s="36">
        <f t="shared" si="49"/>
        <v>-3.7840735088741112E-2</v>
      </c>
      <c r="W232" s="38">
        <v>-3.8240432999999997E-2</v>
      </c>
      <c r="X232" s="36">
        <f t="shared" si="50"/>
        <v>-3.8223695088741107E-2</v>
      </c>
      <c r="Y232" s="38">
        <v>-0.17398102000000001</v>
      </c>
      <c r="Z232" s="36">
        <f t="shared" si="51"/>
        <v>-0.17396428208874112</v>
      </c>
      <c r="AA232" s="38">
        <v>-3.5838782999999999E-2</v>
      </c>
      <c r="AB232" s="36">
        <f t="shared" si="52"/>
        <v>-3.5822045088741108E-2</v>
      </c>
      <c r="AC232" s="38">
        <v>-0.12133938000000001</v>
      </c>
      <c r="AD232" s="36">
        <f t="shared" si="53"/>
        <v>-0.12132264208874112</v>
      </c>
      <c r="AE232" s="38">
        <v>-1.7687678000000001E-3</v>
      </c>
      <c r="AF232" s="36">
        <f t="shared" si="54"/>
        <v>-1.7520298887411096E-3</v>
      </c>
    </row>
    <row r="233" spans="2:32" outlineLevel="1" x14ac:dyDescent="0.25">
      <c r="B233" s="38">
        <v>-5.6999999999999998E-4</v>
      </c>
      <c r="C233" s="37">
        <f t="shared" si="44"/>
        <v>-1.0964603575969178E-5</v>
      </c>
      <c r="E233" s="40">
        <v>44575</v>
      </c>
      <c r="F233" s="38">
        <v>-2.0154893E-2</v>
      </c>
      <c r="G233" s="38">
        <v>-1.0467887E-2</v>
      </c>
      <c r="H233" s="36">
        <f t="shared" si="45"/>
        <v>-2.0143928396424031E-2</v>
      </c>
      <c r="I233" s="36">
        <f t="shared" si="46"/>
        <v>-1.0456922396424031E-2</v>
      </c>
      <c r="O233" s="38">
        <v>5.3993939999999997E-2</v>
      </c>
      <c r="P233" s="36">
        <f t="shared" si="47"/>
        <v>5.4004904603575966E-2</v>
      </c>
      <c r="Q233" s="38">
        <v>2.1386384999999997E-2</v>
      </c>
      <c r="R233" s="36">
        <f t="shared" si="47"/>
        <v>2.1397349603575967E-2</v>
      </c>
      <c r="S233" s="38">
        <v>9.1862680000000003E-4</v>
      </c>
      <c r="T233" s="36">
        <f t="shared" si="48"/>
        <v>9.295914035759692E-4</v>
      </c>
      <c r="U233" s="38">
        <v>3.8912176999999999E-2</v>
      </c>
      <c r="V233" s="36">
        <f t="shared" si="49"/>
        <v>3.8923141603575968E-2</v>
      </c>
      <c r="W233" s="38">
        <v>1.6721130000000001E-2</v>
      </c>
      <c r="X233" s="36">
        <f t="shared" si="50"/>
        <v>1.673209460357597E-2</v>
      </c>
      <c r="Y233" s="38">
        <v>2.2979975E-2</v>
      </c>
      <c r="Z233" s="36">
        <f t="shared" si="51"/>
        <v>2.2990939603575969E-2</v>
      </c>
      <c r="AA233" s="38">
        <v>4.4676539999999994E-2</v>
      </c>
      <c r="AB233" s="36">
        <f t="shared" si="52"/>
        <v>4.4687504603575963E-2</v>
      </c>
      <c r="AC233" s="38">
        <v>-2.6126683000000001E-2</v>
      </c>
      <c r="AD233" s="36">
        <f t="shared" si="53"/>
        <v>-2.6115718396424032E-2</v>
      </c>
      <c r="AE233" s="38">
        <v>2.1259904E-2</v>
      </c>
      <c r="AF233" s="36">
        <f t="shared" si="54"/>
        <v>2.1270868603575969E-2</v>
      </c>
    </row>
    <row r="234" spans="2:32" outlineLevel="1" x14ac:dyDescent="0.25">
      <c r="B234" s="38">
        <v>-5.4000000000000001E-4</v>
      </c>
      <c r="C234" s="37">
        <f t="shared" si="44"/>
        <v>-1.0387366291553235E-5</v>
      </c>
      <c r="E234" s="40">
        <v>44568</v>
      </c>
      <c r="F234" s="38">
        <v>0.12080538</v>
      </c>
      <c r="G234" s="38">
        <v>-3.1775236E-3</v>
      </c>
      <c r="H234" s="36">
        <f t="shared" si="45"/>
        <v>0.12081576736629156</v>
      </c>
      <c r="I234" s="36">
        <f t="shared" si="46"/>
        <v>-3.1671362337084468E-3</v>
      </c>
      <c r="O234" s="38">
        <v>7.8868510000000003E-2</v>
      </c>
      <c r="P234" s="36">
        <f t="shared" si="47"/>
        <v>7.8878897366291556E-2</v>
      </c>
      <c r="Q234" s="38">
        <v>4.9535629999999997E-2</v>
      </c>
      <c r="R234" s="36">
        <f t="shared" si="47"/>
        <v>4.954601736629155E-2</v>
      </c>
      <c r="S234" s="38">
        <v>0.12943673</v>
      </c>
      <c r="T234" s="36">
        <f t="shared" si="48"/>
        <v>0.12944711736629155</v>
      </c>
      <c r="U234" s="38">
        <v>8.0348015000000009E-2</v>
      </c>
      <c r="V234" s="36">
        <f t="shared" si="49"/>
        <v>8.0358402366291562E-2</v>
      </c>
      <c r="W234" s="38">
        <v>8.8326689999999985E-2</v>
      </c>
      <c r="X234" s="36">
        <f t="shared" si="50"/>
        <v>8.8337077366291539E-2</v>
      </c>
      <c r="Y234" s="38">
        <v>0.17918575</v>
      </c>
      <c r="Z234" s="36">
        <f t="shared" si="51"/>
        <v>0.17919613736629156</v>
      </c>
      <c r="AA234" s="38">
        <v>9.3745469999999997E-2</v>
      </c>
      <c r="AB234" s="36">
        <f t="shared" si="52"/>
        <v>9.3755857366291551E-2</v>
      </c>
      <c r="AC234" s="38">
        <v>6.433034E-2</v>
      </c>
      <c r="AD234" s="36">
        <f t="shared" si="53"/>
        <v>6.4340727366291553E-2</v>
      </c>
      <c r="AE234" s="38">
        <v>5.9793950000000005E-2</v>
      </c>
      <c r="AF234" s="36">
        <f t="shared" si="54"/>
        <v>5.9804337366291559E-2</v>
      </c>
    </row>
    <row r="235" spans="2:32" outlineLevel="1" x14ac:dyDescent="0.25">
      <c r="B235" s="38">
        <v>-1.81E-3</v>
      </c>
      <c r="C235" s="37">
        <f t="shared" si="44"/>
        <v>-3.4838624453081835E-5</v>
      </c>
      <c r="E235" s="40">
        <v>44561</v>
      </c>
      <c r="F235" s="38">
        <v>2.6032924999999998E-2</v>
      </c>
      <c r="G235" s="38">
        <v>1.096344E-2</v>
      </c>
      <c r="H235" s="36">
        <f t="shared" si="45"/>
        <v>2.606776362445308E-2</v>
      </c>
      <c r="I235" s="36">
        <f t="shared" si="46"/>
        <v>1.0998278624453081E-2</v>
      </c>
      <c r="O235" s="38">
        <v>5.3019523999999997E-3</v>
      </c>
      <c r="P235" s="36">
        <f t="shared" si="47"/>
        <v>5.3367910244530815E-3</v>
      </c>
      <c r="Q235" s="38">
        <v>-2.1212160000000001E-2</v>
      </c>
      <c r="R235" s="36">
        <f t="shared" si="47"/>
        <v>-2.1177321375546919E-2</v>
      </c>
      <c r="S235" s="38">
        <v>-1.4167427999999999E-2</v>
      </c>
      <c r="T235" s="36">
        <f t="shared" si="48"/>
        <v>-1.4132589375546917E-2</v>
      </c>
      <c r="U235" s="38">
        <v>-7.625878E-3</v>
      </c>
      <c r="V235" s="36">
        <f t="shared" si="49"/>
        <v>-7.5910393755469182E-3</v>
      </c>
      <c r="W235" s="38">
        <v>-3.5668432999999999E-2</v>
      </c>
      <c r="X235" s="36">
        <f t="shared" si="50"/>
        <v>-3.5633594375546918E-2</v>
      </c>
      <c r="Y235" s="38">
        <v>2.1800636999999998E-2</v>
      </c>
      <c r="Z235" s="36">
        <f t="shared" si="51"/>
        <v>2.183547562445308E-2</v>
      </c>
      <c r="AA235" s="38">
        <v>-6.194532E-3</v>
      </c>
      <c r="AB235" s="36">
        <f t="shared" si="52"/>
        <v>-6.1596933755469182E-3</v>
      </c>
      <c r="AC235" s="38">
        <v>2.6327609999999998E-2</v>
      </c>
      <c r="AD235" s="36">
        <f t="shared" si="53"/>
        <v>2.636244862445308E-2</v>
      </c>
      <c r="AE235" s="38">
        <v>3.8537979999999999E-3</v>
      </c>
      <c r="AF235" s="36">
        <f t="shared" si="54"/>
        <v>3.8886366244530817E-3</v>
      </c>
    </row>
    <row r="236" spans="2:32" outlineLevel="1" x14ac:dyDescent="0.25">
      <c r="B236" s="38">
        <v>-2.5100000000000001E-3</v>
      </c>
      <c r="C236" s="37">
        <f t="shared" si="44"/>
        <v>-4.8328742340730813E-5</v>
      </c>
      <c r="E236" s="40">
        <v>44554</v>
      </c>
      <c r="F236" s="38">
        <v>2.2321463E-2</v>
      </c>
      <c r="G236" s="38">
        <v>1.8168449E-2</v>
      </c>
      <c r="H236" s="36">
        <f t="shared" si="45"/>
        <v>2.2369791742340731E-2</v>
      </c>
      <c r="I236" s="36">
        <f t="shared" si="46"/>
        <v>1.8216777742340731E-2</v>
      </c>
      <c r="O236" s="38">
        <v>1.1209964999999999E-2</v>
      </c>
      <c r="P236" s="36">
        <f t="shared" si="47"/>
        <v>1.125829374234073E-2</v>
      </c>
      <c r="Q236" s="38">
        <v>-3.77357E-3</v>
      </c>
      <c r="R236" s="36">
        <f t="shared" si="47"/>
        <v>-3.7252412576592691E-3</v>
      </c>
      <c r="S236" s="38">
        <v>-1.8548548000000002E-2</v>
      </c>
      <c r="T236" s="36">
        <f t="shared" si="48"/>
        <v>-1.8500219257659271E-2</v>
      </c>
      <c r="U236" s="38">
        <v>2.588582E-2</v>
      </c>
      <c r="V236" s="36">
        <f t="shared" si="49"/>
        <v>2.5934148742340731E-2</v>
      </c>
      <c r="W236" s="38">
        <v>1.9490838E-2</v>
      </c>
      <c r="X236" s="36">
        <f t="shared" si="50"/>
        <v>1.9539166742340731E-2</v>
      </c>
      <c r="Y236" s="38">
        <v>1.9351720999999999E-2</v>
      </c>
      <c r="Z236" s="36">
        <f t="shared" si="51"/>
        <v>1.940004974234073E-2</v>
      </c>
      <c r="AA236" s="38">
        <v>-1.4157295E-2</v>
      </c>
      <c r="AB236" s="36">
        <f t="shared" si="52"/>
        <v>-1.4108966257659269E-2</v>
      </c>
      <c r="AC236" s="38">
        <v>2.6762605000000002E-2</v>
      </c>
      <c r="AD236" s="36">
        <f t="shared" si="53"/>
        <v>2.6810933742340733E-2</v>
      </c>
      <c r="AE236" s="38">
        <v>-1.7200530000000002E-2</v>
      </c>
      <c r="AF236" s="36">
        <f t="shared" si="54"/>
        <v>-1.7152201257659271E-2</v>
      </c>
    </row>
    <row r="237" spans="2:32" outlineLevel="1" x14ac:dyDescent="0.25">
      <c r="B237" s="38">
        <v>-3.81E-3</v>
      </c>
      <c r="C237" s="37">
        <f t="shared" si="44"/>
        <v>-7.3406469811021502E-5</v>
      </c>
      <c r="E237" s="40">
        <v>44547</v>
      </c>
      <c r="F237" s="38">
        <v>-2.2490800000000002E-2</v>
      </c>
      <c r="G237" s="38">
        <v>-3.4906268E-3</v>
      </c>
      <c r="H237" s="36">
        <f t="shared" si="45"/>
        <v>-2.241739353018898E-2</v>
      </c>
      <c r="I237" s="36">
        <f t="shared" si="46"/>
        <v>-3.4172203301889785E-3</v>
      </c>
      <c r="O237" s="38">
        <v>-4.6088696E-3</v>
      </c>
      <c r="P237" s="36">
        <f t="shared" si="47"/>
        <v>-4.5354631301889785E-3</v>
      </c>
      <c r="Q237" s="38">
        <v>-3.0014693999999998E-2</v>
      </c>
      <c r="R237" s="36">
        <f t="shared" si="47"/>
        <v>-2.9941287530188977E-2</v>
      </c>
      <c r="S237" s="38">
        <v>2.9381393999999998E-2</v>
      </c>
      <c r="T237" s="36">
        <f t="shared" si="48"/>
        <v>2.945480046981102E-2</v>
      </c>
      <c r="U237" s="38">
        <v>-3.0559956999999999E-2</v>
      </c>
      <c r="V237" s="36">
        <f t="shared" si="49"/>
        <v>-3.0486550530188977E-2</v>
      </c>
      <c r="W237" s="38">
        <v>-7.4074087000000011E-2</v>
      </c>
      <c r="X237" s="36">
        <f t="shared" si="50"/>
        <v>-7.4000680530188989E-2</v>
      </c>
      <c r="Y237" s="38">
        <v>-7.5869202999999996E-2</v>
      </c>
      <c r="Z237" s="36">
        <f t="shared" si="51"/>
        <v>-7.5795796530188975E-2</v>
      </c>
      <c r="AA237" s="38">
        <v>2.5437949999999997E-2</v>
      </c>
      <c r="AB237" s="36">
        <f t="shared" si="52"/>
        <v>2.5511356469811019E-2</v>
      </c>
      <c r="AC237" s="38">
        <v>-0.12503122999999999</v>
      </c>
      <c r="AD237" s="36">
        <f t="shared" si="53"/>
        <v>-0.12495782353018897</v>
      </c>
      <c r="AE237" s="38">
        <v>6.4638852999999996E-3</v>
      </c>
      <c r="AF237" s="36">
        <f t="shared" si="54"/>
        <v>6.5372917698110211E-3</v>
      </c>
    </row>
    <row r="238" spans="2:32" outlineLevel="1" x14ac:dyDescent="0.25">
      <c r="B238" s="38">
        <v>-3.5199999999999997E-3</v>
      </c>
      <c r="C238" s="37">
        <f t="shared" si="44"/>
        <v>-6.7809427309106773E-5</v>
      </c>
      <c r="E238" s="40">
        <v>44540</v>
      </c>
      <c r="F238" s="38">
        <v>3.7436961999999997E-2</v>
      </c>
      <c r="G238" s="38">
        <v>2.7637959E-2</v>
      </c>
      <c r="H238" s="36">
        <f t="shared" si="45"/>
        <v>3.7504771427309104E-2</v>
      </c>
      <c r="I238" s="36">
        <f t="shared" si="46"/>
        <v>2.7705768427309107E-2</v>
      </c>
      <c r="O238" s="38">
        <v>4.7383069999999999E-2</v>
      </c>
      <c r="P238" s="36">
        <f t="shared" si="47"/>
        <v>4.7450879427309106E-2</v>
      </c>
      <c r="Q238" s="38">
        <v>8.6714509999999995E-2</v>
      </c>
      <c r="R238" s="36">
        <f t="shared" si="47"/>
        <v>8.6782319427309101E-2</v>
      </c>
      <c r="S238" s="38">
        <v>-3.5864531999999998E-2</v>
      </c>
      <c r="T238" s="36">
        <f t="shared" si="48"/>
        <v>-3.5796722572690891E-2</v>
      </c>
      <c r="U238" s="38">
        <v>2.4685739999999998E-2</v>
      </c>
      <c r="V238" s="36">
        <f t="shared" si="49"/>
        <v>2.4753549427309104E-2</v>
      </c>
      <c r="W238" s="38">
        <v>3.5285472999999998E-2</v>
      </c>
      <c r="X238" s="36">
        <f t="shared" si="50"/>
        <v>3.5353282427309105E-2</v>
      </c>
      <c r="Y238" s="38">
        <v>0.11826097499999999</v>
      </c>
      <c r="Z238" s="36">
        <f t="shared" si="51"/>
        <v>0.1183287844273091</v>
      </c>
      <c r="AA238" s="38">
        <v>-1.686269E-2</v>
      </c>
      <c r="AB238" s="36">
        <f t="shared" si="52"/>
        <v>-1.6794880572690893E-2</v>
      </c>
      <c r="AC238" s="38">
        <v>5.6322336000000001E-2</v>
      </c>
      <c r="AD238" s="36">
        <f t="shared" si="53"/>
        <v>5.6390145427309107E-2</v>
      </c>
      <c r="AE238" s="38">
        <v>-8.2859992999999993E-3</v>
      </c>
      <c r="AF238" s="36">
        <f t="shared" si="54"/>
        <v>-8.2181898726908925E-3</v>
      </c>
    </row>
    <row r="239" spans="2:32" outlineLevel="1" x14ac:dyDescent="0.25">
      <c r="B239" s="38">
        <v>-3.5899999999999999E-3</v>
      </c>
      <c r="C239" s="37">
        <f t="shared" si="44"/>
        <v>-6.9160291286118891E-5</v>
      </c>
      <c r="E239" s="40">
        <v>44533</v>
      </c>
      <c r="F239" s="38">
        <v>-3.0226289999999999E-2</v>
      </c>
      <c r="G239" s="38">
        <v>-2.7583239999999999E-3</v>
      </c>
      <c r="H239" s="36">
        <f t="shared" si="45"/>
        <v>-3.0157129708713881E-2</v>
      </c>
      <c r="I239" s="36">
        <f t="shared" si="46"/>
        <v>-2.689163708713881E-3</v>
      </c>
      <c r="O239" s="38">
        <v>1.1435150999999999E-2</v>
      </c>
      <c r="P239" s="36">
        <f t="shared" si="47"/>
        <v>1.1504311291286118E-2</v>
      </c>
      <c r="Q239" s="38">
        <v>-2.7842283000000002E-2</v>
      </c>
      <c r="R239" s="36">
        <f t="shared" si="47"/>
        <v>-2.7773122708713883E-2</v>
      </c>
      <c r="S239" s="38">
        <v>-0.10017263</v>
      </c>
      <c r="T239" s="36">
        <f t="shared" si="48"/>
        <v>-0.10010346970871388</v>
      </c>
      <c r="U239" s="38">
        <v>2.3272157000000002E-2</v>
      </c>
      <c r="V239" s="36">
        <f t="shared" si="49"/>
        <v>2.3341317291286121E-2</v>
      </c>
      <c r="W239" s="38">
        <v>2.9701710000000003E-2</v>
      </c>
      <c r="X239" s="36">
        <f t="shared" si="50"/>
        <v>2.9770870291286122E-2</v>
      </c>
      <c r="Y239" s="38">
        <v>-2.7836204000000003E-2</v>
      </c>
      <c r="Z239" s="36">
        <f t="shared" si="51"/>
        <v>-2.7767043708713884E-2</v>
      </c>
      <c r="AA239" s="38">
        <v>4.6572685000000006E-3</v>
      </c>
      <c r="AB239" s="36">
        <f t="shared" si="52"/>
        <v>4.7264287912861195E-3</v>
      </c>
      <c r="AC239" s="38">
        <v>-4.5219659999999997E-3</v>
      </c>
      <c r="AD239" s="36">
        <f t="shared" si="53"/>
        <v>-4.4528057087138808E-3</v>
      </c>
      <c r="AE239" s="38">
        <v>-1.233685E-2</v>
      </c>
      <c r="AF239" s="36">
        <f t="shared" si="54"/>
        <v>-1.2267689708713881E-2</v>
      </c>
    </row>
    <row r="240" spans="2:32" outlineLevel="1" x14ac:dyDescent="0.25">
      <c r="B240" s="38">
        <v>-3.3400000000000001E-3</v>
      </c>
      <c r="C240" s="37">
        <f t="shared" si="44"/>
        <v>-6.4336204397164032E-5</v>
      </c>
      <c r="E240" s="40">
        <v>44526</v>
      </c>
      <c r="F240" s="38">
        <v>-0.10081988000000001</v>
      </c>
      <c r="G240" s="38">
        <v>-4.5321759999999996E-2</v>
      </c>
      <c r="H240" s="36">
        <f t="shared" si="45"/>
        <v>-0.10075554379560285</v>
      </c>
      <c r="I240" s="36">
        <f t="shared" si="46"/>
        <v>-4.5257423795602832E-2</v>
      </c>
      <c r="O240" s="38">
        <v>-0.11122531000000001</v>
      </c>
      <c r="P240" s="36">
        <f t="shared" si="47"/>
        <v>-0.11116097379560284</v>
      </c>
      <c r="Q240" s="38">
        <v>-6.7772150000000003E-2</v>
      </c>
      <c r="R240" s="36">
        <f t="shared" si="47"/>
        <v>-6.7707813795602839E-2</v>
      </c>
      <c r="S240" s="38">
        <v>-5.0520299999999999E-3</v>
      </c>
      <c r="T240" s="36">
        <f t="shared" si="48"/>
        <v>-4.9876937956028359E-3</v>
      </c>
      <c r="U240" s="38">
        <v>-8.2510650000000005E-2</v>
      </c>
      <c r="V240" s="36">
        <f t="shared" si="49"/>
        <v>-8.2446313795602841E-2</v>
      </c>
      <c r="W240" s="38">
        <v>-7.3838890000000004E-2</v>
      </c>
      <c r="X240" s="36">
        <f t="shared" si="50"/>
        <v>-7.377455379560284E-2</v>
      </c>
      <c r="Y240" s="38">
        <v>1.8746375999999999E-2</v>
      </c>
      <c r="Z240" s="36">
        <f t="shared" si="51"/>
        <v>1.8810712204397163E-2</v>
      </c>
      <c r="AA240" s="38">
        <v>-2.0877956999999999E-2</v>
      </c>
      <c r="AB240" s="36">
        <f t="shared" si="52"/>
        <v>-2.0813620795602835E-2</v>
      </c>
      <c r="AC240" s="38">
        <v>-2.6203275000000002E-2</v>
      </c>
      <c r="AD240" s="36">
        <f t="shared" si="53"/>
        <v>-2.6138938795602838E-2</v>
      </c>
      <c r="AE240" s="38">
        <v>-1.6818583000000002E-2</v>
      </c>
      <c r="AF240" s="36">
        <f t="shared" si="54"/>
        <v>-1.6754246795602837E-2</v>
      </c>
    </row>
    <row r="241" spans="2:32" outlineLevel="1" x14ac:dyDescent="0.25">
      <c r="B241" s="38">
        <v>-3.3900000000000002E-3</v>
      </c>
      <c r="C241" s="37">
        <f t="shared" si="44"/>
        <v>-6.5300926824329864E-5</v>
      </c>
      <c r="E241" s="40">
        <v>44519</v>
      </c>
      <c r="F241" s="38">
        <v>-4.1896940000000001E-2</v>
      </c>
      <c r="G241" s="38">
        <v>-1.3765097000000002E-3</v>
      </c>
      <c r="H241" s="36">
        <f t="shared" si="45"/>
        <v>-4.1831639073175671E-2</v>
      </c>
      <c r="I241" s="36">
        <f t="shared" si="46"/>
        <v>-1.3112087731756703E-3</v>
      </c>
      <c r="O241" s="38">
        <v>-2.0250618000000001E-2</v>
      </c>
      <c r="P241" s="36">
        <f t="shared" si="47"/>
        <v>-2.0185317073175672E-2</v>
      </c>
      <c r="Q241" s="38">
        <v>-2.5298714999999999E-2</v>
      </c>
      <c r="R241" s="36">
        <f t="shared" si="47"/>
        <v>-2.523341407317567E-2</v>
      </c>
      <c r="S241" s="38">
        <v>2.1008015000000001E-2</v>
      </c>
      <c r="T241" s="36">
        <f t="shared" si="48"/>
        <v>2.1073315926824331E-2</v>
      </c>
      <c r="U241" s="38">
        <v>1.9351244E-3</v>
      </c>
      <c r="V241" s="36">
        <f t="shared" si="49"/>
        <v>2.0004253268243299E-3</v>
      </c>
      <c r="W241" s="38">
        <v>2.1617890000000001E-2</v>
      </c>
      <c r="X241" s="36">
        <f t="shared" si="50"/>
        <v>2.1683190926824331E-2</v>
      </c>
      <c r="Y241" s="38">
        <v>5.5171250000000003E-3</v>
      </c>
      <c r="Z241" s="36">
        <f t="shared" si="51"/>
        <v>5.5824259268243302E-3</v>
      </c>
      <c r="AA241" s="38">
        <v>3.8313389999999996E-2</v>
      </c>
      <c r="AB241" s="36">
        <f t="shared" si="52"/>
        <v>3.8378690926824326E-2</v>
      </c>
      <c r="AC241" s="38">
        <v>-1.429826E-2</v>
      </c>
      <c r="AD241" s="36">
        <f t="shared" si="53"/>
        <v>-1.423295907317567E-2</v>
      </c>
      <c r="AE241" s="38">
        <v>2.5909543E-2</v>
      </c>
      <c r="AF241" s="36">
        <f t="shared" si="54"/>
        <v>2.597484392682433E-2</v>
      </c>
    </row>
    <row r="242" spans="2:32" outlineLevel="1" x14ac:dyDescent="0.25">
      <c r="B242" s="38">
        <v>-2.5900000000000003E-3</v>
      </c>
      <c r="C242" s="37">
        <f t="shared" si="44"/>
        <v>-4.9871061254980198E-5</v>
      </c>
      <c r="E242" s="40">
        <v>44512</v>
      </c>
      <c r="F242" s="38">
        <v>5.6238412999999994E-2</v>
      </c>
      <c r="G242" s="38">
        <v>6.8467854999999999E-3</v>
      </c>
      <c r="H242" s="36">
        <f t="shared" si="45"/>
        <v>5.6288284061254974E-2</v>
      </c>
      <c r="I242" s="36">
        <f t="shared" si="46"/>
        <v>6.8966565612549801E-3</v>
      </c>
      <c r="O242" s="38">
        <v>8.9174509999999998E-3</v>
      </c>
      <c r="P242" s="36">
        <f t="shared" si="47"/>
        <v>8.96732206125498E-3</v>
      </c>
      <c r="Q242" s="38">
        <v>-5.1965355999999997E-2</v>
      </c>
      <c r="R242" s="36">
        <f t="shared" si="47"/>
        <v>-5.1915484938745017E-2</v>
      </c>
      <c r="S242" s="38">
        <v>7.6040626E-2</v>
      </c>
      <c r="T242" s="36">
        <f t="shared" si="48"/>
        <v>7.609049706125498E-2</v>
      </c>
      <c r="U242" s="38">
        <v>1.2738108999999999E-2</v>
      </c>
      <c r="V242" s="36">
        <f t="shared" si="49"/>
        <v>1.2787980061254979E-2</v>
      </c>
      <c r="W242" s="38">
        <v>3.4251213000000003E-3</v>
      </c>
      <c r="X242" s="36">
        <f t="shared" si="50"/>
        <v>3.4749923612549805E-3</v>
      </c>
      <c r="Y242" s="38">
        <v>2.0602703E-2</v>
      </c>
      <c r="Z242" s="36">
        <f t="shared" si="51"/>
        <v>2.065257406125498E-2</v>
      </c>
      <c r="AA242" s="38">
        <v>2.6713610000000002E-2</v>
      </c>
      <c r="AB242" s="36">
        <f t="shared" si="52"/>
        <v>2.6763481061254982E-2</v>
      </c>
      <c r="AC242" s="38">
        <v>9.3803520000000001E-2</v>
      </c>
      <c r="AD242" s="36">
        <f t="shared" si="53"/>
        <v>9.3853391061254982E-2</v>
      </c>
      <c r="AE242" s="38">
        <v>-3.3107638000000002E-2</v>
      </c>
      <c r="AF242" s="36">
        <f t="shared" si="54"/>
        <v>-3.3057766938745022E-2</v>
      </c>
    </row>
    <row r="243" spans="2:32" outlineLevel="1" x14ac:dyDescent="0.25">
      <c r="B243" s="38">
        <v>-2.7500000000000003E-3</v>
      </c>
      <c r="C243" s="37">
        <f t="shared" si="44"/>
        <v>-5.2956063097853168E-5</v>
      </c>
      <c r="E243" s="40">
        <v>44505</v>
      </c>
      <c r="F243" s="38">
        <v>4.7649739999999996E-2</v>
      </c>
      <c r="G243" s="38">
        <v>1.6676784E-2</v>
      </c>
      <c r="H243" s="36">
        <f t="shared" si="45"/>
        <v>4.7702696063097849E-2</v>
      </c>
      <c r="I243" s="36">
        <f t="shared" si="46"/>
        <v>1.6729740063097853E-2</v>
      </c>
      <c r="O243" s="38">
        <v>2.7130485000000003E-2</v>
      </c>
      <c r="P243" s="36">
        <f t="shared" si="47"/>
        <v>2.7183441063097856E-2</v>
      </c>
      <c r="Q243" s="38">
        <v>6.9088339999999998E-2</v>
      </c>
      <c r="R243" s="36">
        <f t="shared" si="47"/>
        <v>6.9141296063097851E-2</v>
      </c>
      <c r="S243" s="38">
        <v>2.6941179999999999E-2</v>
      </c>
      <c r="T243" s="36">
        <f t="shared" si="48"/>
        <v>2.6994136063097852E-2</v>
      </c>
      <c r="U243" s="38">
        <v>5.2842735999999994E-2</v>
      </c>
      <c r="V243" s="36">
        <f t="shared" si="49"/>
        <v>5.2895692063097847E-2</v>
      </c>
      <c r="W243" s="38">
        <v>2.1576761999999999E-2</v>
      </c>
      <c r="X243" s="36">
        <f t="shared" si="50"/>
        <v>2.1629718063097852E-2</v>
      </c>
      <c r="Y243" s="38">
        <v>0.13115061</v>
      </c>
      <c r="Z243" s="36">
        <f t="shared" si="51"/>
        <v>0.13120356606309785</v>
      </c>
      <c r="AA243" s="38">
        <v>2.0842075000000002E-2</v>
      </c>
      <c r="AB243" s="36">
        <f t="shared" si="52"/>
        <v>2.0895031063097855E-2</v>
      </c>
      <c r="AC243" s="38">
        <v>7.6817273999999991E-2</v>
      </c>
      <c r="AD243" s="36">
        <f t="shared" si="53"/>
        <v>7.6870230063097844E-2</v>
      </c>
      <c r="AE243" s="38">
        <v>2.4578452000000001E-2</v>
      </c>
      <c r="AF243" s="36">
        <f t="shared" si="54"/>
        <v>2.4631408063097854E-2</v>
      </c>
    </row>
    <row r="244" spans="2:32" outlineLevel="1" x14ac:dyDescent="0.25">
      <c r="B244" s="38">
        <v>-8.5000000000000006E-4</v>
      </c>
      <c r="C244" s="37">
        <f t="shared" si="44"/>
        <v>-1.6352971189403931E-5</v>
      </c>
      <c r="E244" s="40">
        <v>44498</v>
      </c>
      <c r="F244" s="38">
        <v>-2.8892756000000004E-3</v>
      </c>
      <c r="G244" s="38">
        <v>7.6926946999999997E-3</v>
      </c>
      <c r="H244" s="36">
        <f t="shared" si="45"/>
        <v>-2.8729226288105965E-3</v>
      </c>
      <c r="I244" s="36">
        <f t="shared" si="46"/>
        <v>7.7090476711894037E-3</v>
      </c>
      <c r="O244" s="38">
        <v>2.3738860000000001E-2</v>
      </c>
      <c r="P244" s="36">
        <f t="shared" si="47"/>
        <v>2.3755212971189404E-2</v>
      </c>
      <c r="Q244" s="38">
        <v>9.3456506999999994E-3</v>
      </c>
      <c r="R244" s="36">
        <f t="shared" si="47"/>
        <v>9.3620036711894034E-3</v>
      </c>
      <c r="S244" s="38">
        <v>-1.4133513E-2</v>
      </c>
      <c r="T244" s="36">
        <f t="shared" si="48"/>
        <v>-1.4117160028810596E-2</v>
      </c>
      <c r="U244" s="38">
        <v>1.8088460000000001E-2</v>
      </c>
      <c r="V244" s="36">
        <f t="shared" si="49"/>
        <v>1.8104812971189405E-2</v>
      </c>
      <c r="W244" s="38">
        <v>4.4208883999999997E-2</v>
      </c>
      <c r="X244" s="36">
        <f t="shared" si="50"/>
        <v>4.4225236971189401E-2</v>
      </c>
      <c r="Y244" s="38">
        <v>5.5848599999999998E-2</v>
      </c>
      <c r="Z244" s="36">
        <f t="shared" si="51"/>
        <v>5.5864952971189402E-2</v>
      </c>
      <c r="AA244" s="38">
        <v>1.4225006E-2</v>
      </c>
      <c r="AB244" s="36">
        <f t="shared" si="52"/>
        <v>1.4241358971189404E-2</v>
      </c>
      <c r="AC244" s="38">
        <v>-5.1790770000000007E-2</v>
      </c>
      <c r="AD244" s="36">
        <f t="shared" si="53"/>
        <v>-5.1774417028810603E-2</v>
      </c>
      <c r="AE244" s="38">
        <v>-1.7352997999999998E-2</v>
      </c>
      <c r="AF244" s="36">
        <f t="shared" si="54"/>
        <v>-1.7336645028810594E-2</v>
      </c>
    </row>
    <row r="245" spans="2:32" outlineLevel="1" x14ac:dyDescent="0.25">
      <c r="B245" s="38">
        <v>-9.7000000000000005E-4</v>
      </c>
      <c r="C245" s="37">
        <f t="shared" si="44"/>
        <v>-1.8662724973195211E-5</v>
      </c>
      <c r="E245" s="40">
        <v>44491</v>
      </c>
      <c r="F245" s="38">
        <v>-6.2170743999999993E-2</v>
      </c>
      <c r="G245" s="38">
        <v>5.3046939999999996E-3</v>
      </c>
      <c r="H245" s="36">
        <f t="shared" si="45"/>
        <v>-6.2152081275026798E-2</v>
      </c>
      <c r="I245" s="36">
        <f t="shared" si="46"/>
        <v>5.3233567249731948E-3</v>
      </c>
      <c r="O245" s="38">
        <v>-2.0690382E-2</v>
      </c>
      <c r="P245" s="36">
        <f t="shared" si="47"/>
        <v>-2.0671719275026805E-2</v>
      </c>
      <c r="Q245" s="38">
        <v>1.2372731999999999E-2</v>
      </c>
      <c r="R245" s="36">
        <f t="shared" si="47"/>
        <v>1.2391394724973194E-2</v>
      </c>
      <c r="S245" s="38">
        <v>-4.1872262999999998E-4</v>
      </c>
      <c r="T245" s="36">
        <f t="shared" si="48"/>
        <v>-4.0005990502680477E-4</v>
      </c>
      <c r="U245" s="38">
        <v>-2.1356701999999998E-2</v>
      </c>
      <c r="V245" s="36">
        <f t="shared" si="49"/>
        <v>-2.1338039275026803E-2</v>
      </c>
      <c r="W245" s="38">
        <v>-1.8410026999999999E-2</v>
      </c>
      <c r="X245" s="36">
        <f t="shared" si="50"/>
        <v>-1.8391364275026804E-2</v>
      </c>
      <c r="Y245" s="38">
        <v>3.3292294E-2</v>
      </c>
      <c r="Z245" s="36">
        <f t="shared" si="51"/>
        <v>3.3310956724973195E-2</v>
      </c>
      <c r="AA245" s="38">
        <v>-4.4167638E-3</v>
      </c>
      <c r="AB245" s="36">
        <f t="shared" si="52"/>
        <v>-4.3981010750268048E-3</v>
      </c>
      <c r="AC245" s="38">
        <v>-7.4719190000000005E-3</v>
      </c>
      <c r="AD245" s="36">
        <f t="shared" si="53"/>
        <v>-7.4532562750268053E-3</v>
      </c>
      <c r="AE245" s="38">
        <v>-1.6664028000000001E-2</v>
      </c>
      <c r="AF245" s="36">
        <f t="shared" si="54"/>
        <v>-1.6645365275026806E-2</v>
      </c>
    </row>
    <row r="246" spans="2:32" outlineLevel="1" x14ac:dyDescent="0.25">
      <c r="B246" s="38">
        <v>-1.7000000000000001E-3</v>
      </c>
      <c r="C246" s="37">
        <f t="shared" si="44"/>
        <v>-3.271959239015132E-5</v>
      </c>
      <c r="E246" s="40">
        <v>44484</v>
      </c>
      <c r="F246" s="38">
        <v>5.628872E-2</v>
      </c>
      <c r="G246" s="38">
        <v>2.6460290000000001E-2</v>
      </c>
      <c r="H246" s="36">
        <f t="shared" si="45"/>
        <v>5.6321439592390152E-2</v>
      </c>
      <c r="I246" s="36">
        <f t="shared" si="46"/>
        <v>2.6493009592390152E-2</v>
      </c>
      <c r="O246" s="38">
        <v>3.1905889999999999E-2</v>
      </c>
      <c r="P246" s="36">
        <f t="shared" si="47"/>
        <v>3.1938609592390151E-2</v>
      </c>
      <c r="Q246" s="38">
        <v>2.1561265E-2</v>
      </c>
      <c r="R246" s="36">
        <f t="shared" si="47"/>
        <v>2.1593984592390151E-2</v>
      </c>
      <c r="S246" s="38">
        <v>7.4449778000000008E-2</v>
      </c>
      <c r="T246" s="36">
        <f t="shared" si="48"/>
        <v>7.4482497592390159E-2</v>
      </c>
      <c r="U246" s="38">
        <v>3.4010410000000005E-2</v>
      </c>
      <c r="V246" s="36">
        <f t="shared" si="49"/>
        <v>3.4043129592390156E-2</v>
      </c>
      <c r="W246" s="38">
        <v>3.6812185999999997E-2</v>
      </c>
      <c r="X246" s="36">
        <f t="shared" si="50"/>
        <v>3.6844905592390148E-2</v>
      </c>
      <c r="Y246" s="38">
        <v>3.5541415E-2</v>
      </c>
      <c r="Z246" s="36">
        <f t="shared" si="51"/>
        <v>3.5574134592390151E-2</v>
      </c>
      <c r="AA246" s="38">
        <v>1.549387E-2</v>
      </c>
      <c r="AB246" s="36">
        <f t="shared" si="52"/>
        <v>1.5526589592390151E-2</v>
      </c>
      <c r="AC246" s="38">
        <v>-1.241976E-2</v>
      </c>
      <c r="AD246" s="36">
        <f t="shared" si="53"/>
        <v>-1.2387040407609849E-2</v>
      </c>
      <c r="AE246" s="38">
        <v>1.0683537E-2</v>
      </c>
      <c r="AF246" s="36">
        <f t="shared" si="54"/>
        <v>1.0716256592390151E-2</v>
      </c>
    </row>
    <row r="247" spans="2:32" outlineLevel="1" x14ac:dyDescent="0.25">
      <c r="B247" s="38">
        <v>-1.5900000000000001E-3</v>
      </c>
      <c r="C247" s="37">
        <f t="shared" si="44"/>
        <v>-3.0600789315049504E-5</v>
      </c>
      <c r="E247" s="40">
        <v>44477</v>
      </c>
      <c r="F247" s="38">
        <v>1.6157746000000001E-2</v>
      </c>
      <c r="G247" s="38">
        <v>9.6931459999999997E-3</v>
      </c>
      <c r="H247" s="36">
        <f t="shared" si="45"/>
        <v>1.618834678931505E-2</v>
      </c>
      <c r="I247" s="36">
        <f t="shared" si="46"/>
        <v>9.7237467893150492E-3</v>
      </c>
      <c r="O247" s="38">
        <v>2.4956941999999999E-2</v>
      </c>
      <c r="P247" s="36">
        <f t="shared" si="47"/>
        <v>2.4987542789315049E-2</v>
      </c>
      <c r="Q247" s="38">
        <v>5.9835909999999999E-3</v>
      </c>
      <c r="R247" s="36">
        <f t="shared" si="47"/>
        <v>6.0141917893150494E-3</v>
      </c>
      <c r="S247" s="38">
        <v>-4.2337600000000003E-2</v>
      </c>
      <c r="T247" s="36">
        <f t="shared" si="48"/>
        <v>-4.2306999210684954E-2</v>
      </c>
      <c r="U247" s="38">
        <v>1.0139585E-2</v>
      </c>
      <c r="V247" s="36">
        <f t="shared" si="49"/>
        <v>1.0170185789315049E-2</v>
      </c>
      <c r="W247" s="38">
        <v>4.2781352999999994E-2</v>
      </c>
      <c r="X247" s="36">
        <f t="shared" si="50"/>
        <v>4.2811953789315044E-2</v>
      </c>
      <c r="Y247" s="38">
        <v>6.9872500000000004E-2</v>
      </c>
      <c r="Z247" s="36">
        <f t="shared" si="51"/>
        <v>6.9903100789315054E-2</v>
      </c>
      <c r="AA247" s="38">
        <v>-2.9867053000000001E-2</v>
      </c>
      <c r="AB247" s="36">
        <f t="shared" si="52"/>
        <v>-2.9836452210684952E-2</v>
      </c>
      <c r="AC247" s="38">
        <v>0.10453343</v>
      </c>
      <c r="AD247" s="36">
        <f t="shared" si="53"/>
        <v>0.10456403078931505</v>
      </c>
      <c r="AE247" s="38">
        <v>-1.4105618E-2</v>
      </c>
      <c r="AF247" s="36">
        <f t="shared" si="54"/>
        <v>-1.4075017210684951E-2</v>
      </c>
    </row>
    <row r="248" spans="2:32" outlineLevel="1" x14ac:dyDescent="0.25">
      <c r="B248" s="38">
        <v>-2.33E-3</v>
      </c>
      <c r="C248" s="37">
        <f t="shared" si="44"/>
        <v>-4.4858968303085334E-5</v>
      </c>
      <c r="E248" s="40">
        <v>44470</v>
      </c>
      <c r="F248" s="38">
        <v>6.9963930000000001E-3</v>
      </c>
      <c r="G248" s="38">
        <v>-2.2426604999999999E-2</v>
      </c>
      <c r="H248" s="36">
        <f t="shared" si="45"/>
        <v>7.0412519683030854E-3</v>
      </c>
      <c r="I248" s="36">
        <f t="shared" si="46"/>
        <v>-2.2381746031696913E-2</v>
      </c>
      <c r="O248" s="38">
        <v>-3.0974506999999998E-2</v>
      </c>
      <c r="P248" s="36">
        <f t="shared" si="47"/>
        <v>-3.0929648031696913E-2</v>
      </c>
      <c r="Q248" s="38">
        <v>1.4981031E-3</v>
      </c>
      <c r="R248" s="36">
        <f t="shared" si="47"/>
        <v>1.5429620683030853E-3</v>
      </c>
      <c r="S248" s="38">
        <v>1.2314319599999999E-3</v>
      </c>
      <c r="T248" s="36">
        <f t="shared" si="48"/>
        <v>1.2762909283030852E-3</v>
      </c>
      <c r="U248" s="38">
        <v>2.7454375999999999E-2</v>
      </c>
      <c r="V248" s="36">
        <f t="shared" si="49"/>
        <v>2.7499234968303084E-2</v>
      </c>
      <c r="W248" s="38">
        <v>4.1599392999999998E-2</v>
      </c>
      <c r="X248" s="36">
        <f t="shared" si="50"/>
        <v>4.1644251968303084E-2</v>
      </c>
      <c r="Y248" s="38">
        <v>3.794372E-2</v>
      </c>
      <c r="Z248" s="36">
        <f t="shared" si="51"/>
        <v>3.7988578968303086E-2</v>
      </c>
      <c r="AA248" s="38">
        <v>-1.8717706000000001E-2</v>
      </c>
      <c r="AB248" s="36">
        <f t="shared" si="52"/>
        <v>-1.8672847031696915E-2</v>
      </c>
      <c r="AC248" s="38">
        <v>2.7494550000000003E-2</v>
      </c>
      <c r="AD248" s="36">
        <f t="shared" si="53"/>
        <v>2.7539408968303088E-2</v>
      </c>
      <c r="AE248" s="38">
        <v>1.2288093600000001E-3</v>
      </c>
      <c r="AF248" s="36">
        <f t="shared" si="54"/>
        <v>1.2736683283030854E-3</v>
      </c>
    </row>
    <row r="249" spans="2:32" outlineLevel="1" x14ac:dyDescent="0.25">
      <c r="B249" s="38">
        <v>-2.2699999999999999E-3</v>
      </c>
      <c r="C249" s="37">
        <f t="shared" si="44"/>
        <v>-4.3702513395804665E-5</v>
      </c>
      <c r="E249" s="40">
        <v>44463</v>
      </c>
      <c r="F249" s="38">
        <v>6.8683743000000005E-2</v>
      </c>
      <c r="G249" s="38">
        <v>3.1396150000000001E-3</v>
      </c>
      <c r="H249" s="36">
        <f t="shared" si="45"/>
        <v>6.872744551339581E-2</v>
      </c>
      <c r="I249" s="36">
        <f t="shared" si="46"/>
        <v>3.1833175133958048E-3</v>
      </c>
      <c r="O249" s="38">
        <v>-1.3086796000000001E-3</v>
      </c>
      <c r="P249" s="36">
        <f t="shared" si="47"/>
        <v>-1.2649770866041954E-3</v>
      </c>
      <c r="Q249" s="38">
        <v>-5.9568880000000005E-3</v>
      </c>
      <c r="R249" s="36">
        <f t="shared" si="47"/>
        <v>-5.9131854866041958E-3</v>
      </c>
      <c r="S249" s="38">
        <v>-2.8630792999999998E-2</v>
      </c>
      <c r="T249" s="36">
        <f t="shared" si="48"/>
        <v>-2.8587090486604193E-2</v>
      </c>
      <c r="U249" s="38">
        <v>1.5306115E-2</v>
      </c>
      <c r="V249" s="36">
        <f t="shared" si="49"/>
        <v>1.5349817513395805E-2</v>
      </c>
      <c r="W249" s="38">
        <v>4.0919185000000004E-2</v>
      </c>
      <c r="X249" s="36">
        <f t="shared" si="50"/>
        <v>4.0962887513395808E-2</v>
      </c>
      <c r="Y249" s="38">
        <v>1.9014359000000002E-2</v>
      </c>
      <c r="Z249" s="36">
        <f t="shared" si="51"/>
        <v>1.9058061513395806E-2</v>
      </c>
      <c r="AA249" s="38">
        <v>3.3005476000000002E-3</v>
      </c>
      <c r="AB249" s="36">
        <f t="shared" si="52"/>
        <v>3.3442501133958049E-3</v>
      </c>
      <c r="AC249" s="38">
        <v>1.9574880999999999E-2</v>
      </c>
      <c r="AD249" s="36">
        <f t="shared" si="53"/>
        <v>1.9618583513395804E-2</v>
      </c>
      <c r="AE249" s="38">
        <v>-1.4461339E-2</v>
      </c>
      <c r="AF249" s="36">
        <f t="shared" si="54"/>
        <v>-1.4417636486604195E-2</v>
      </c>
    </row>
    <row r="250" spans="2:32" outlineLevel="1" x14ac:dyDescent="0.25">
      <c r="B250" s="38">
        <v>-2.7300000000000002E-3</v>
      </c>
      <c r="C250" s="37">
        <f t="shared" si="44"/>
        <v>-5.2570411320895793E-5</v>
      </c>
      <c r="E250" s="40">
        <v>44456</v>
      </c>
      <c r="F250" s="38">
        <v>-1.7091095000000001E-2</v>
      </c>
      <c r="G250" s="38">
        <v>-9.6496344000000008E-3</v>
      </c>
      <c r="H250" s="36">
        <f t="shared" si="45"/>
        <v>-1.7038524588679105E-2</v>
      </c>
      <c r="I250" s="36">
        <f t="shared" si="46"/>
        <v>-9.597063988679105E-3</v>
      </c>
      <c r="O250" s="38">
        <v>6.3457490000000004E-3</v>
      </c>
      <c r="P250" s="36">
        <f t="shared" si="47"/>
        <v>6.3983194113208961E-3</v>
      </c>
      <c r="Q250" s="38">
        <v>-4.2082729999999999E-2</v>
      </c>
      <c r="R250" s="36">
        <f t="shared" si="47"/>
        <v>-4.2030159588679103E-2</v>
      </c>
      <c r="S250" s="38">
        <v>9.0533495000000002E-3</v>
      </c>
      <c r="T250" s="36">
        <f t="shared" si="48"/>
        <v>9.105919911320896E-3</v>
      </c>
      <c r="U250" s="38">
        <v>1.5287399E-2</v>
      </c>
      <c r="V250" s="36">
        <f t="shared" si="49"/>
        <v>1.5339969411320896E-2</v>
      </c>
      <c r="W250" s="38">
        <v>3.2108784000000001E-2</v>
      </c>
      <c r="X250" s="36">
        <f t="shared" si="50"/>
        <v>3.2161354411320897E-2</v>
      </c>
      <c r="Y250" s="38">
        <v>7.7489020000000006E-2</v>
      </c>
      <c r="Z250" s="36">
        <f t="shared" si="51"/>
        <v>7.7541590411320901E-2</v>
      </c>
      <c r="AA250" s="38">
        <v>1.3283849E-2</v>
      </c>
      <c r="AB250" s="36">
        <f t="shared" si="52"/>
        <v>1.3336419411320896E-2</v>
      </c>
      <c r="AC250" s="38">
        <v>4.5795199999999994E-2</v>
      </c>
      <c r="AD250" s="36">
        <f t="shared" si="53"/>
        <v>4.584777041132089E-2</v>
      </c>
      <c r="AE250" s="38">
        <v>1.2105227000000001E-2</v>
      </c>
      <c r="AF250" s="36">
        <f t="shared" si="54"/>
        <v>1.2157797411320897E-2</v>
      </c>
    </row>
    <row r="251" spans="2:32" outlineLevel="1" x14ac:dyDescent="0.25">
      <c r="B251" s="38">
        <v>-3.3700000000000002E-3</v>
      </c>
      <c r="C251" s="37">
        <f t="shared" si="44"/>
        <v>-6.4915032157220054E-5</v>
      </c>
      <c r="E251" s="40">
        <v>44449</v>
      </c>
      <c r="F251" s="38">
        <v>-2.839595E-2</v>
      </c>
      <c r="G251" s="38">
        <v>-1.1844993E-2</v>
      </c>
      <c r="H251" s="36">
        <f t="shared" si="45"/>
        <v>-2.833103496784278E-2</v>
      </c>
      <c r="I251" s="36">
        <f t="shared" si="46"/>
        <v>-1.178007796784278E-2</v>
      </c>
      <c r="O251" s="38">
        <v>-2.4868548000000001E-2</v>
      </c>
      <c r="P251" s="36">
        <f t="shared" si="47"/>
        <v>-2.4803632967842781E-2</v>
      </c>
      <c r="Q251" s="38">
        <v>-2.9085815000000001E-2</v>
      </c>
      <c r="R251" s="36">
        <f t="shared" si="47"/>
        <v>-2.9020899967842781E-2</v>
      </c>
      <c r="S251" s="38">
        <v>5.8491230000000003E-3</v>
      </c>
      <c r="T251" s="36">
        <f t="shared" si="48"/>
        <v>5.9140380321572204E-3</v>
      </c>
      <c r="U251" s="38">
        <v>-3.1486154000000001E-3</v>
      </c>
      <c r="V251" s="36">
        <f t="shared" si="49"/>
        <v>-3.0837003678427801E-3</v>
      </c>
      <c r="W251" s="38">
        <v>-1.4678597E-2</v>
      </c>
      <c r="X251" s="36">
        <f t="shared" si="50"/>
        <v>-1.461368196784278E-2</v>
      </c>
      <c r="Y251" s="38">
        <v>-1.2426554999999999E-2</v>
      </c>
      <c r="Z251" s="36">
        <f t="shared" si="51"/>
        <v>-1.2361639967842779E-2</v>
      </c>
      <c r="AA251" s="38">
        <v>2.3185967999999998E-2</v>
      </c>
      <c r="AB251" s="36">
        <f t="shared" si="52"/>
        <v>2.3250883032157218E-2</v>
      </c>
      <c r="AC251" s="38">
        <v>1.7706989999999999E-2</v>
      </c>
      <c r="AD251" s="36">
        <f t="shared" si="53"/>
        <v>1.7771905032157219E-2</v>
      </c>
      <c r="AE251" s="38">
        <v>1.7152786E-2</v>
      </c>
      <c r="AF251" s="36">
        <f t="shared" si="54"/>
        <v>1.721770103215722E-2</v>
      </c>
    </row>
    <row r="252" spans="2:32" outlineLevel="1" x14ac:dyDescent="0.25">
      <c r="B252" s="38">
        <v>-3.5999999999999999E-3</v>
      </c>
      <c r="C252" s="37">
        <f t="shared" si="44"/>
        <v>-6.9353279452233352E-5</v>
      </c>
      <c r="E252" s="40">
        <v>44442</v>
      </c>
      <c r="F252" s="38">
        <v>-3.4161925000000003E-2</v>
      </c>
      <c r="G252" s="38">
        <v>-8.6802243999999995E-4</v>
      </c>
      <c r="H252" s="36">
        <f t="shared" si="45"/>
        <v>-3.4092571720547769E-2</v>
      </c>
      <c r="I252" s="36">
        <f t="shared" si="46"/>
        <v>-7.986691605477666E-4</v>
      </c>
      <c r="O252" s="38">
        <v>-1.9809008000000001E-3</v>
      </c>
      <c r="P252" s="36">
        <f t="shared" si="47"/>
        <v>-1.9115475205477668E-3</v>
      </c>
      <c r="Q252" s="38">
        <v>2.4113416999999998E-2</v>
      </c>
      <c r="R252" s="36">
        <f t="shared" si="47"/>
        <v>2.4182770279452231E-2</v>
      </c>
      <c r="S252" s="38">
        <v>-4.3177605000000001E-3</v>
      </c>
      <c r="T252" s="36">
        <f t="shared" si="48"/>
        <v>-4.2484072205477667E-3</v>
      </c>
      <c r="U252" s="38">
        <v>1.4307617999999999E-2</v>
      </c>
      <c r="V252" s="36">
        <f t="shared" si="49"/>
        <v>1.4376971279452233E-2</v>
      </c>
      <c r="W252" s="38">
        <v>-1.4604687999999999E-2</v>
      </c>
      <c r="X252" s="36">
        <f t="shared" si="50"/>
        <v>-1.4535334720547766E-2</v>
      </c>
      <c r="Y252" s="38">
        <v>-3.9298831999999999E-2</v>
      </c>
      <c r="Z252" s="36">
        <f t="shared" si="51"/>
        <v>-3.9229478720547765E-2</v>
      </c>
      <c r="AA252" s="38">
        <v>2.5935529999999998E-2</v>
      </c>
      <c r="AB252" s="36">
        <f t="shared" si="52"/>
        <v>2.6004883279452232E-2</v>
      </c>
      <c r="AC252" s="38">
        <v>-2.7517260000000002E-2</v>
      </c>
      <c r="AD252" s="36">
        <f t="shared" si="53"/>
        <v>-2.7447906720547768E-2</v>
      </c>
      <c r="AE252" s="38">
        <v>3.5862802999999999E-2</v>
      </c>
      <c r="AF252" s="36">
        <f t="shared" si="54"/>
        <v>3.5932156279452232E-2</v>
      </c>
    </row>
    <row r="253" spans="2:32" outlineLevel="1" x14ac:dyDescent="0.25">
      <c r="B253" s="38">
        <v>-4.1199999999999995E-3</v>
      </c>
      <c r="C253" s="37">
        <f t="shared" si="44"/>
        <v>-7.9391282648777484E-5</v>
      </c>
      <c r="E253" s="40">
        <v>44435</v>
      </c>
      <c r="F253" s="38">
        <v>8.0251694000000001E-4</v>
      </c>
      <c r="G253" s="38">
        <v>7.5511930000000003E-3</v>
      </c>
      <c r="H253" s="36">
        <f t="shared" si="45"/>
        <v>8.8190822264877749E-4</v>
      </c>
      <c r="I253" s="36">
        <f t="shared" si="46"/>
        <v>7.6305842826487778E-3</v>
      </c>
      <c r="O253" s="38">
        <v>1.4002323000000001E-3</v>
      </c>
      <c r="P253" s="36">
        <f t="shared" si="47"/>
        <v>1.4796235826487775E-3</v>
      </c>
      <c r="Q253" s="38">
        <v>7.8628063000000005E-3</v>
      </c>
      <c r="R253" s="36">
        <f t="shared" si="47"/>
        <v>7.942197582648778E-3</v>
      </c>
      <c r="S253" s="38">
        <v>7.3157430000000009E-2</v>
      </c>
      <c r="T253" s="36">
        <f t="shared" si="48"/>
        <v>7.3236821282648787E-2</v>
      </c>
      <c r="U253" s="38">
        <v>1.6887426000000001E-2</v>
      </c>
      <c r="V253" s="36">
        <f t="shared" si="49"/>
        <v>1.6966817282648778E-2</v>
      </c>
      <c r="W253" s="38">
        <v>1.8886805E-2</v>
      </c>
      <c r="X253" s="36">
        <f t="shared" si="50"/>
        <v>1.8966196282648777E-2</v>
      </c>
      <c r="Y253" s="38">
        <v>4.9302339999999993E-2</v>
      </c>
      <c r="Z253" s="36">
        <f t="shared" si="51"/>
        <v>4.9381731282648771E-2</v>
      </c>
      <c r="AA253" s="38">
        <v>4.9918889999999994E-2</v>
      </c>
      <c r="AB253" s="36">
        <f t="shared" si="52"/>
        <v>4.9998281282648771E-2</v>
      </c>
      <c r="AC253" s="38">
        <v>1.1270522999999999E-2</v>
      </c>
      <c r="AD253" s="36">
        <f t="shared" si="53"/>
        <v>1.1349914282648777E-2</v>
      </c>
      <c r="AE253" s="38">
        <v>-2.5812983999999998E-3</v>
      </c>
      <c r="AF253" s="36">
        <f t="shared" si="54"/>
        <v>-2.5019071173512223E-3</v>
      </c>
    </row>
    <row r="254" spans="2:32" outlineLevel="1" x14ac:dyDescent="0.25">
      <c r="B254" s="38">
        <v>-4.9499999999999995E-3</v>
      </c>
      <c r="C254" s="37">
        <f t="shared" si="44"/>
        <v>-9.5424135862387516E-5</v>
      </c>
      <c r="E254" s="40">
        <v>44428</v>
      </c>
      <c r="F254" s="38">
        <v>-7.4706735999999996E-2</v>
      </c>
      <c r="G254" s="38">
        <v>-1.4774203E-2</v>
      </c>
      <c r="H254" s="36">
        <f t="shared" si="45"/>
        <v>-7.4611311864137608E-2</v>
      </c>
      <c r="I254" s="36">
        <f t="shared" si="46"/>
        <v>-1.4678778864137612E-2</v>
      </c>
      <c r="O254" s="38">
        <v>-7.8989862999999993E-2</v>
      </c>
      <c r="P254" s="36">
        <f t="shared" si="47"/>
        <v>-7.8894438864137606E-2</v>
      </c>
      <c r="Q254" s="38">
        <v>-9.5084129999999989E-2</v>
      </c>
      <c r="R254" s="36">
        <f t="shared" si="47"/>
        <v>-9.4988705864137601E-2</v>
      </c>
      <c r="S254" s="38">
        <v>-0.14072222000000001</v>
      </c>
      <c r="T254" s="36">
        <f t="shared" si="48"/>
        <v>-0.14062679586413762</v>
      </c>
      <c r="U254" s="38">
        <v>-7.3534669999999996E-2</v>
      </c>
      <c r="V254" s="36">
        <f t="shared" si="49"/>
        <v>-7.3439245864137609E-2</v>
      </c>
      <c r="W254" s="38">
        <v>-7.6017976000000001E-2</v>
      </c>
      <c r="X254" s="36">
        <f t="shared" si="50"/>
        <v>-7.5922551864137613E-2</v>
      </c>
      <c r="Y254" s="38">
        <v>-6.6066685E-2</v>
      </c>
      <c r="Z254" s="36">
        <f t="shared" si="51"/>
        <v>-6.5971260864137612E-2</v>
      </c>
      <c r="AA254" s="38">
        <v>-9.6181280000000008E-2</v>
      </c>
      <c r="AB254" s="36">
        <f t="shared" si="52"/>
        <v>-9.608585586413762E-2</v>
      </c>
      <c r="AC254" s="38">
        <v>-8.1561380000000003E-2</v>
      </c>
      <c r="AD254" s="36">
        <f t="shared" si="53"/>
        <v>-8.1465955864137615E-2</v>
      </c>
      <c r="AE254" s="38">
        <v>-8.9513479999999992E-2</v>
      </c>
      <c r="AF254" s="36">
        <f t="shared" si="54"/>
        <v>-8.9418055864137605E-2</v>
      </c>
    </row>
    <row r="255" spans="2:32" outlineLevel="1" x14ac:dyDescent="0.25">
      <c r="B255" s="38">
        <v>-4.6700000000000005E-3</v>
      </c>
      <c r="C255" s="37">
        <f t="shared" si="44"/>
        <v>-9.0013996930538021E-5</v>
      </c>
      <c r="E255" s="40">
        <v>44421</v>
      </c>
      <c r="F255" s="38">
        <v>-1.8369972999999998E-2</v>
      </c>
      <c r="G255" s="38">
        <v>1.2468814999999999E-2</v>
      </c>
      <c r="H255" s="36">
        <f t="shared" si="45"/>
        <v>-1.827995900306946E-2</v>
      </c>
      <c r="I255" s="36">
        <f t="shared" si="46"/>
        <v>1.2558828996930537E-2</v>
      </c>
      <c r="O255" s="38">
        <v>4.1177154000000001E-2</v>
      </c>
      <c r="P255" s="36">
        <f t="shared" si="47"/>
        <v>4.1267167996930539E-2</v>
      </c>
      <c r="Q255" s="38">
        <v>3.7583946999999999E-2</v>
      </c>
      <c r="R255" s="36">
        <f t="shared" si="47"/>
        <v>3.7673960996930538E-2</v>
      </c>
      <c r="S255" s="38">
        <v>1.9220470999999999E-2</v>
      </c>
      <c r="T255" s="36">
        <f t="shared" si="48"/>
        <v>1.9310484996930537E-2</v>
      </c>
      <c r="U255" s="38">
        <v>1.1811852000000001E-2</v>
      </c>
      <c r="V255" s="36">
        <f t="shared" si="49"/>
        <v>1.1901865996930539E-2</v>
      </c>
      <c r="W255" s="38">
        <v>-5.1295760000000003E-3</v>
      </c>
      <c r="X255" s="36">
        <f t="shared" si="50"/>
        <v>-5.0395620030694623E-3</v>
      </c>
      <c r="Y255" s="38">
        <v>-1.7973125E-2</v>
      </c>
      <c r="Z255" s="36">
        <f t="shared" si="51"/>
        <v>-1.7883111003069461E-2</v>
      </c>
      <c r="AA255" s="38">
        <v>1.4303923000000001E-2</v>
      </c>
      <c r="AB255" s="36">
        <f t="shared" si="52"/>
        <v>1.4393936996930539E-2</v>
      </c>
      <c r="AC255" s="38">
        <v>-2.8158485999999996E-2</v>
      </c>
      <c r="AD255" s="36">
        <f t="shared" si="53"/>
        <v>-2.8068472003069458E-2</v>
      </c>
      <c r="AE255" s="38">
        <v>-1.4885485E-2</v>
      </c>
      <c r="AF255" s="36">
        <f t="shared" si="54"/>
        <v>-1.4795471003069462E-2</v>
      </c>
    </row>
    <row r="256" spans="2:32" outlineLevel="1" x14ac:dyDescent="0.25">
      <c r="B256" s="38">
        <v>-4.5599999999999998E-3</v>
      </c>
      <c r="C256" s="37">
        <f t="shared" si="44"/>
        <v>-8.7888993589135822E-5</v>
      </c>
      <c r="E256" s="40">
        <v>44414</v>
      </c>
      <c r="F256" s="38">
        <v>7.0881962999999992E-2</v>
      </c>
      <c r="G256" s="38">
        <v>1.7823934999999999E-2</v>
      </c>
      <c r="H256" s="36">
        <f t="shared" si="45"/>
        <v>7.0969851993589128E-2</v>
      </c>
      <c r="I256" s="36">
        <f t="shared" si="46"/>
        <v>1.7911823993589135E-2</v>
      </c>
      <c r="O256" s="38">
        <v>0.10401487</v>
      </c>
      <c r="P256" s="36">
        <f t="shared" si="47"/>
        <v>0.10410275899358913</v>
      </c>
      <c r="Q256" s="38">
        <v>6.4285636000000007E-2</v>
      </c>
      <c r="R256" s="36">
        <f t="shared" si="47"/>
        <v>6.4373524993589143E-2</v>
      </c>
      <c r="S256" s="38">
        <v>-3.6351920000000003E-2</v>
      </c>
      <c r="T256" s="36">
        <f t="shared" si="48"/>
        <v>-3.6264031006410867E-2</v>
      </c>
      <c r="U256" s="38">
        <v>-2.0982265E-2</v>
      </c>
      <c r="V256" s="36">
        <f t="shared" si="49"/>
        <v>-2.0894376006410864E-2</v>
      </c>
      <c r="W256" s="38">
        <v>9.9627970000000007E-3</v>
      </c>
      <c r="X256" s="36">
        <f t="shared" si="50"/>
        <v>1.0050685993589136E-2</v>
      </c>
      <c r="Y256" s="38">
        <v>-2.5089382999999997E-3</v>
      </c>
      <c r="Z256" s="36">
        <f t="shared" si="51"/>
        <v>-2.4210493064108639E-3</v>
      </c>
      <c r="AA256" s="38">
        <v>6.4541099999999999E-3</v>
      </c>
      <c r="AB256" s="36">
        <f t="shared" si="52"/>
        <v>6.5419989935891357E-3</v>
      </c>
      <c r="AC256" s="38">
        <v>-2.3421050000000002E-2</v>
      </c>
      <c r="AD256" s="36">
        <f t="shared" si="53"/>
        <v>-2.3333161006410866E-2</v>
      </c>
      <c r="AE256" s="38">
        <v>4.3281673999999999E-2</v>
      </c>
      <c r="AF256" s="36">
        <f t="shared" si="54"/>
        <v>4.3369562993589135E-2</v>
      </c>
    </row>
    <row r="257" spans="2:32" outlineLevel="1" x14ac:dyDescent="0.25">
      <c r="B257" s="38">
        <v>-4.5300000000000002E-3</v>
      </c>
      <c r="C257" s="37">
        <f t="shared" si="44"/>
        <v>-8.7309487193709678E-5</v>
      </c>
      <c r="E257" s="40">
        <v>44407</v>
      </c>
      <c r="F257" s="38">
        <v>2.5949119999999999E-2</v>
      </c>
      <c r="G257" s="38">
        <v>4.9829482999999997E-4</v>
      </c>
      <c r="H257" s="36">
        <f t="shared" si="45"/>
        <v>2.6036429487193709E-2</v>
      </c>
      <c r="I257" s="36">
        <f t="shared" si="46"/>
        <v>5.8560431719370965E-4</v>
      </c>
      <c r="O257" s="38">
        <v>2.7806044000000002E-2</v>
      </c>
      <c r="P257" s="36">
        <f t="shared" si="47"/>
        <v>2.7893353487193712E-2</v>
      </c>
      <c r="Q257" s="38">
        <v>2.8653145000000001E-3</v>
      </c>
      <c r="R257" s="36">
        <f t="shared" si="47"/>
        <v>2.9526239871937097E-3</v>
      </c>
      <c r="S257" s="38">
        <v>0.1347034</v>
      </c>
      <c r="T257" s="36">
        <f t="shared" si="48"/>
        <v>0.13479070948719371</v>
      </c>
      <c r="U257" s="38">
        <v>-1.9520819000000002E-2</v>
      </c>
      <c r="V257" s="36">
        <f t="shared" si="49"/>
        <v>-1.9433509512806292E-2</v>
      </c>
      <c r="W257" s="38">
        <v>1.3291835999999999E-4</v>
      </c>
      <c r="X257" s="36">
        <f t="shared" si="50"/>
        <v>2.2022784719370967E-4</v>
      </c>
      <c r="Y257" s="38">
        <v>1.1920928999999999E-3</v>
      </c>
      <c r="Z257" s="36">
        <f t="shared" si="51"/>
        <v>1.2794023871937096E-3</v>
      </c>
      <c r="AA257" s="38">
        <v>7.4930190000000001E-3</v>
      </c>
      <c r="AB257" s="36">
        <f t="shared" si="52"/>
        <v>7.5803284871937097E-3</v>
      </c>
      <c r="AC257" s="38">
        <v>2.6163815999999999E-2</v>
      </c>
      <c r="AD257" s="36">
        <f t="shared" si="53"/>
        <v>2.6251125487193709E-2</v>
      </c>
      <c r="AE257" s="38">
        <v>2.1199465000000001E-2</v>
      </c>
      <c r="AF257" s="36">
        <f t="shared" si="54"/>
        <v>2.128677448719371E-2</v>
      </c>
    </row>
    <row r="258" spans="2:32" outlineLevel="1" x14ac:dyDescent="0.25">
      <c r="B258" s="38">
        <v>-4.1700000000000001E-3</v>
      </c>
      <c r="C258" s="37">
        <f t="shared" si="44"/>
        <v>-8.0356746154808256E-5</v>
      </c>
      <c r="E258" s="40">
        <v>44400</v>
      </c>
      <c r="F258" s="38">
        <v>8.0736876000000006E-3</v>
      </c>
      <c r="G258" s="38">
        <v>1.488769E-2</v>
      </c>
      <c r="H258" s="36">
        <f t="shared" si="45"/>
        <v>8.1540443461548089E-3</v>
      </c>
      <c r="I258" s="36">
        <f t="shared" si="46"/>
        <v>1.4968046746154809E-2</v>
      </c>
      <c r="O258" s="38">
        <v>4.207611E-3</v>
      </c>
      <c r="P258" s="36">
        <f t="shared" si="47"/>
        <v>4.2879677461548082E-3</v>
      </c>
      <c r="Q258" s="38">
        <v>-2.8570889999999997E-3</v>
      </c>
      <c r="R258" s="36">
        <f t="shared" si="47"/>
        <v>-2.7767322538451915E-3</v>
      </c>
      <c r="S258" s="38">
        <v>-3.5928786000000004E-2</v>
      </c>
      <c r="T258" s="36">
        <f t="shared" si="48"/>
        <v>-3.5848429253845196E-2</v>
      </c>
      <c r="U258" s="38">
        <v>5.8484077000000006E-4</v>
      </c>
      <c r="V258" s="36">
        <f t="shared" si="49"/>
        <v>6.6519751615480831E-4</v>
      </c>
      <c r="W258" s="38">
        <v>4.9497960000000001E-2</v>
      </c>
      <c r="X258" s="36">
        <f t="shared" si="50"/>
        <v>4.9578316746154809E-2</v>
      </c>
      <c r="Y258" s="38">
        <v>1.9530772999999998E-2</v>
      </c>
      <c r="Z258" s="36">
        <f t="shared" si="51"/>
        <v>1.9611129746154806E-2</v>
      </c>
      <c r="AA258" s="38">
        <v>-1.4472723E-2</v>
      </c>
      <c r="AB258" s="36">
        <f t="shared" si="52"/>
        <v>-1.4392366253845192E-2</v>
      </c>
      <c r="AC258" s="38">
        <v>-5.3753849999999999E-3</v>
      </c>
      <c r="AD258" s="36">
        <f t="shared" si="53"/>
        <v>-5.2950282538451916E-3</v>
      </c>
      <c r="AE258" s="38">
        <v>-2.8051257E-2</v>
      </c>
      <c r="AF258" s="36">
        <f t="shared" si="54"/>
        <v>-2.7970900253845191E-2</v>
      </c>
    </row>
    <row r="259" spans="2:32" outlineLevel="1" x14ac:dyDescent="0.25">
      <c r="B259" s="38">
        <v>-3.5199999999999997E-3</v>
      </c>
      <c r="C259" s="37">
        <f t="shared" si="44"/>
        <v>-6.7809427309106773E-5</v>
      </c>
      <c r="E259" s="40">
        <v>44393</v>
      </c>
      <c r="F259" s="38">
        <v>-7.5671615999999997E-2</v>
      </c>
      <c r="G259" s="38">
        <v>-6.4020157000000003E-3</v>
      </c>
      <c r="H259" s="36">
        <f t="shared" si="45"/>
        <v>-7.560380657269089E-2</v>
      </c>
      <c r="I259" s="36">
        <f t="shared" si="46"/>
        <v>-6.3342062726908935E-3</v>
      </c>
      <c r="O259" s="38">
        <v>-4.8526049999999994E-2</v>
      </c>
      <c r="P259" s="36">
        <f t="shared" si="47"/>
        <v>-4.8458240572690887E-2</v>
      </c>
      <c r="Q259" s="38">
        <v>-4.2674540000000004E-3</v>
      </c>
      <c r="R259" s="36">
        <f t="shared" si="47"/>
        <v>-4.1996445726908936E-3</v>
      </c>
      <c r="S259" s="38">
        <v>5.1937102999999995E-3</v>
      </c>
      <c r="T259" s="36">
        <f t="shared" si="48"/>
        <v>5.2615197273091063E-3</v>
      </c>
      <c r="U259" s="38">
        <v>-2.4863124E-2</v>
      </c>
      <c r="V259" s="36">
        <f t="shared" si="49"/>
        <v>-2.4795314572690894E-2</v>
      </c>
      <c r="W259" s="38">
        <v>-1.6051531000000001E-2</v>
      </c>
      <c r="X259" s="36">
        <f t="shared" si="50"/>
        <v>-1.5983721572690894E-2</v>
      </c>
      <c r="Y259" s="38">
        <v>-5.5665435999999999E-2</v>
      </c>
      <c r="Z259" s="36">
        <f t="shared" si="51"/>
        <v>-5.5597626572690892E-2</v>
      </c>
      <c r="AA259" s="38">
        <v>2.7514935000000001E-2</v>
      </c>
      <c r="AB259" s="36">
        <f t="shared" si="52"/>
        <v>2.7582744427309108E-2</v>
      </c>
      <c r="AC259" s="38">
        <v>-5.1724730000000003E-2</v>
      </c>
      <c r="AD259" s="36">
        <f t="shared" si="53"/>
        <v>-5.1656920572690897E-2</v>
      </c>
      <c r="AE259" s="38">
        <v>2.483964E-2</v>
      </c>
      <c r="AF259" s="36">
        <f t="shared" si="54"/>
        <v>2.4907449427309106E-2</v>
      </c>
    </row>
    <row r="260" spans="2:32" outlineLevel="1" x14ac:dyDescent="0.25">
      <c r="B260" s="38">
        <v>-2.9199999999999999E-3</v>
      </c>
      <c r="C260" s="37">
        <f t="shared" si="44"/>
        <v>-5.6234409502642357E-5</v>
      </c>
      <c r="E260" s="40">
        <v>44386</v>
      </c>
      <c r="F260" s="38">
        <v>-5.6603727E-2</v>
      </c>
      <c r="G260" s="38">
        <v>1.8826723000000001E-3</v>
      </c>
      <c r="H260" s="36">
        <f t="shared" si="45"/>
        <v>-5.6547492590497357E-2</v>
      </c>
      <c r="I260" s="36">
        <f t="shared" si="46"/>
        <v>1.9389067095026424E-3</v>
      </c>
      <c r="O260" s="38">
        <v>-1.2696147E-2</v>
      </c>
      <c r="P260" s="36">
        <f t="shared" si="47"/>
        <v>-1.2639912590497357E-2</v>
      </c>
      <c r="Q260" s="38">
        <v>3.5688877000000004E-3</v>
      </c>
      <c r="R260" s="36">
        <f t="shared" si="47"/>
        <v>3.6251221095026428E-3</v>
      </c>
      <c r="S260" s="38">
        <v>2.3944496999999999E-2</v>
      </c>
      <c r="T260" s="36">
        <f t="shared" si="48"/>
        <v>2.4000731409502641E-2</v>
      </c>
      <c r="U260" s="38">
        <v>-2.6750982E-2</v>
      </c>
      <c r="V260" s="36">
        <f t="shared" si="49"/>
        <v>-2.6694747590497357E-2</v>
      </c>
      <c r="W260" s="38">
        <v>-4.3814840000000001E-2</v>
      </c>
      <c r="X260" s="36">
        <f t="shared" si="50"/>
        <v>-4.3758605590497358E-2</v>
      </c>
      <c r="Y260" s="38">
        <v>-3.1898200000000002E-2</v>
      </c>
      <c r="Z260" s="36">
        <f t="shared" si="51"/>
        <v>-3.1841965590497359E-2</v>
      </c>
      <c r="AA260" s="38">
        <v>-8.6277722999999994E-3</v>
      </c>
      <c r="AB260" s="36">
        <f t="shared" si="52"/>
        <v>-8.571537890497357E-3</v>
      </c>
      <c r="AC260" s="38">
        <v>-5.198121E-3</v>
      </c>
      <c r="AD260" s="36">
        <f t="shared" si="53"/>
        <v>-5.1418865904973576E-3</v>
      </c>
      <c r="AE260" s="38">
        <v>-3.6434948000000002E-2</v>
      </c>
      <c r="AF260" s="36">
        <f t="shared" si="54"/>
        <v>-3.6378713590497359E-2</v>
      </c>
    </row>
    <row r="261" spans="2:32" outlineLevel="1" x14ac:dyDescent="0.25">
      <c r="B261" s="38">
        <v>-2.33E-3</v>
      </c>
      <c r="C261" s="37">
        <f t="shared" si="44"/>
        <v>-4.4858968303085334E-5</v>
      </c>
      <c r="E261" s="40">
        <v>44379</v>
      </c>
      <c r="F261" s="38">
        <v>7.0902109999999999E-3</v>
      </c>
      <c r="G261" s="38">
        <v>-1.7918348E-3</v>
      </c>
      <c r="H261" s="36">
        <f t="shared" si="45"/>
        <v>7.1350699683030852E-3</v>
      </c>
      <c r="I261" s="36">
        <f t="shared" si="46"/>
        <v>-1.7469758316969147E-3</v>
      </c>
      <c r="O261" s="38">
        <v>-2.1333992E-2</v>
      </c>
      <c r="P261" s="36">
        <f t="shared" si="47"/>
        <v>-2.1289133031696914E-2</v>
      </c>
      <c r="Q261" s="38">
        <v>-6.382942E-3</v>
      </c>
      <c r="R261" s="36">
        <f t="shared" si="47"/>
        <v>-6.3380830316969146E-3</v>
      </c>
      <c r="S261" s="38">
        <v>3.1483053999999996E-2</v>
      </c>
      <c r="T261" s="36">
        <f t="shared" si="48"/>
        <v>3.1527912968303082E-2</v>
      </c>
      <c r="U261" s="38">
        <v>-2.5000036E-2</v>
      </c>
      <c r="V261" s="36">
        <f t="shared" si="49"/>
        <v>-2.4955177031696914E-2</v>
      </c>
      <c r="W261" s="38">
        <v>-1.9801855E-2</v>
      </c>
      <c r="X261" s="36">
        <f t="shared" si="50"/>
        <v>-1.9756996031696915E-2</v>
      </c>
      <c r="Y261" s="38">
        <v>-8.1533193999999993E-3</v>
      </c>
      <c r="Z261" s="36">
        <f t="shared" si="51"/>
        <v>-8.108460431696914E-3</v>
      </c>
      <c r="AA261" s="38">
        <v>1.2670755000000001E-3</v>
      </c>
      <c r="AB261" s="36">
        <f t="shared" si="52"/>
        <v>1.3119344683030854E-3</v>
      </c>
      <c r="AC261" s="38">
        <v>-1.3305604E-2</v>
      </c>
      <c r="AD261" s="36">
        <f t="shared" si="53"/>
        <v>-1.3260745031696915E-2</v>
      </c>
      <c r="AE261" s="38">
        <v>8.9753866000000012E-3</v>
      </c>
      <c r="AF261" s="36">
        <f t="shared" si="54"/>
        <v>9.0202455683030865E-3</v>
      </c>
    </row>
    <row r="262" spans="2:32" outlineLevel="1" x14ac:dyDescent="0.25">
      <c r="B262" s="38">
        <v>-1.5900000000000001E-3</v>
      </c>
      <c r="C262" s="37">
        <f t="shared" si="44"/>
        <v>-3.0600789315049504E-5</v>
      </c>
      <c r="E262" s="40">
        <v>44372</v>
      </c>
      <c r="F262" s="38">
        <v>-5.6689977999999997E-4</v>
      </c>
      <c r="G262" s="38">
        <v>1.2343764E-2</v>
      </c>
      <c r="H262" s="36">
        <f t="shared" si="45"/>
        <v>-5.3629899068495046E-4</v>
      </c>
      <c r="I262" s="36">
        <f t="shared" si="46"/>
        <v>1.237436478931505E-2</v>
      </c>
      <c r="O262" s="38">
        <v>3.6321640000000002E-2</v>
      </c>
      <c r="P262" s="36">
        <f t="shared" si="47"/>
        <v>3.6352240789315052E-2</v>
      </c>
      <c r="Q262" s="38">
        <v>-1.0526359000000001E-2</v>
      </c>
      <c r="R262" s="36">
        <f t="shared" si="47"/>
        <v>-1.0495758210684951E-2</v>
      </c>
      <c r="S262" s="38">
        <v>4.7624109999999995E-4</v>
      </c>
      <c r="T262" s="36">
        <f t="shared" si="48"/>
        <v>5.068418893150494E-4</v>
      </c>
      <c r="U262" s="38">
        <v>1.5942931E-2</v>
      </c>
      <c r="V262" s="36">
        <f t="shared" si="49"/>
        <v>1.597353178931505E-2</v>
      </c>
      <c r="W262" s="38">
        <v>8.9516639999999998E-3</v>
      </c>
      <c r="X262" s="36">
        <f t="shared" si="50"/>
        <v>8.9822647893150493E-3</v>
      </c>
      <c r="Y262" s="38">
        <v>3.7827372999999997E-2</v>
      </c>
      <c r="Z262" s="36">
        <f t="shared" si="51"/>
        <v>3.7857973789315047E-2</v>
      </c>
      <c r="AA262" s="38">
        <v>-1.1133850000000001E-2</v>
      </c>
      <c r="AB262" s="36">
        <f t="shared" si="52"/>
        <v>-1.1103249210684951E-2</v>
      </c>
      <c r="AC262" s="38">
        <v>1.8050909E-2</v>
      </c>
      <c r="AD262" s="36">
        <f t="shared" si="53"/>
        <v>1.808150978931505E-2</v>
      </c>
      <c r="AE262" s="38">
        <v>3.4579039999999999E-3</v>
      </c>
      <c r="AF262" s="36">
        <f t="shared" si="54"/>
        <v>3.4885047893150494E-3</v>
      </c>
    </row>
    <row r="263" spans="2:32" outlineLevel="1" x14ac:dyDescent="0.25">
      <c r="B263" s="38">
        <v>-2.1299999999999999E-3</v>
      </c>
      <c r="C263" s="37">
        <f t="shared" si="44"/>
        <v>-4.1004383842579983E-5</v>
      </c>
      <c r="E263" s="40">
        <v>44365</v>
      </c>
      <c r="F263" s="38">
        <v>-4.3902516000000003E-2</v>
      </c>
      <c r="G263" s="38">
        <v>-1.1934221E-2</v>
      </c>
      <c r="H263" s="36">
        <f t="shared" si="45"/>
        <v>-4.3861511616157423E-2</v>
      </c>
      <c r="I263" s="36">
        <f t="shared" si="46"/>
        <v>-1.189321661615742E-2</v>
      </c>
      <c r="O263" s="38">
        <v>-3.9999962E-2</v>
      </c>
      <c r="P263" s="36">
        <f t="shared" si="47"/>
        <v>-3.995895761615742E-2</v>
      </c>
      <c r="Q263" s="38">
        <v>-4.3624105000000003E-2</v>
      </c>
      <c r="R263" s="36">
        <f t="shared" si="47"/>
        <v>-4.3583100616157423E-2</v>
      </c>
      <c r="S263" s="38">
        <v>1.0578275E-2</v>
      </c>
      <c r="T263" s="36">
        <f t="shared" si="48"/>
        <v>1.061927938384258E-2</v>
      </c>
      <c r="U263" s="38">
        <v>-4.0004252999999997E-2</v>
      </c>
      <c r="V263" s="36">
        <f t="shared" si="49"/>
        <v>-3.9963248616157417E-2</v>
      </c>
      <c r="W263" s="38">
        <v>-3.3237160000000002E-2</v>
      </c>
      <c r="X263" s="36">
        <f t="shared" si="50"/>
        <v>-3.3196155616157422E-2</v>
      </c>
      <c r="Y263" s="38">
        <v>-2.9339970000000003E-2</v>
      </c>
      <c r="Z263" s="36">
        <f t="shared" si="51"/>
        <v>-2.9298965616157423E-2</v>
      </c>
      <c r="AA263" s="38">
        <v>1.4176725999999999E-2</v>
      </c>
      <c r="AB263" s="36">
        <f t="shared" si="52"/>
        <v>1.4217730383842579E-2</v>
      </c>
      <c r="AC263" s="38">
        <v>-2.3884653999999998E-2</v>
      </c>
      <c r="AD263" s="36">
        <f t="shared" si="53"/>
        <v>-2.3843649616157418E-2</v>
      </c>
      <c r="AE263" s="38">
        <v>2.8796196000000001E-3</v>
      </c>
      <c r="AF263" s="36">
        <f t="shared" si="54"/>
        <v>2.9206239838425801E-3</v>
      </c>
    </row>
    <row r="264" spans="2:32" outlineLevel="1" x14ac:dyDescent="0.25">
      <c r="B264" s="38">
        <v>-2.7100000000000002E-3</v>
      </c>
      <c r="C264" s="37">
        <f t="shared" si="44"/>
        <v>-5.218476712931519E-5</v>
      </c>
      <c r="E264" s="40">
        <v>44358</v>
      </c>
      <c r="F264" s="38">
        <v>7.9578757E-2</v>
      </c>
      <c r="G264" s="38">
        <v>1.0915398999999999E-2</v>
      </c>
      <c r="H264" s="36">
        <f t="shared" si="45"/>
        <v>7.9630941767129315E-2</v>
      </c>
      <c r="I264" s="36">
        <f t="shared" si="46"/>
        <v>1.0967583767129314E-2</v>
      </c>
      <c r="O264" s="38">
        <v>-9.3209740000000003E-4</v>
      </c>
      <c r="P264" s="36">
        <f t="shared" si="47"/>
        <v>-8.7991263287068484E-4</v>
      </c>
      <c r="Q264" s="38">
        <v>-3.5598695E-2</v>
      </c>
      <c r="R264" s="36">
        <f t="shared" si="47"/>
        <v>-3.5546510232870684E-2</v>
      </c>
      <c r="S264" s="38">
        <v>-3.7208854999999999E-2</v>
      </c>
      <c r="T264" s="36">
        <f t="shared" si="48"/>
        <v>-3.7156670232870684E-2</v>
      </c>
      <c r="U264" s="38">
        <v>3.6016703000000001E-3</v>
      </c>
      <c r="V264" s="36">
        <f t="shared" si="49"/>
        <v>3.6538550671293153E-3</v>
      </c>
      <c r="W264" s="38">
        <v>2.3887157000000003E-3</v>
      </c>
      <c r="X264" s="36">
        <f t="shared" si="50"/>
        <v>2.4409004671293155E-3</v>
      </c>
      <c r="Y264" s="38">
        <v>-3.9018810000000001E-2</v>
      </c>
      <c r="Z264" s="36">
        <f t="shared" si="51"/>
        <v>-3.8966625232870686E-2</v>
      </c>
      <c r="AA264" s="38">
        <v>-6.7747829999999995E-3</v>
      </c>
      <c r="AB264" s="36">
        <f t="shared" si="52"/>
        <v>-6.7225982328706843E-3</v>
      </c>
      <c r="AC264" s="38">
        <v>-2.5420547000000002E-2</v>
      </c>
      <c r="AD264" s="36">
        <f t="shared" si="53"/>
        <v>-2.5368362232870686E-2</v>
      </c>
      <c r="AE264" s="38">
        <v>-9.5152259999999999E-3</v>
      </c>
      <c r="AF264" s="36">
        <f t="shared" si="54"/>
        <v>-9.4630412328706847E-3</v>
      </c>
    </row>
    <row r="265" spans="2:32" outlineLevel="1" x14ac:dyDescent="0.25">
      <c r="B265" s="38">
        <v>-2.15E-3</v>
      </c>
      <c r="C265" s="37">
        <f t="shared" si="44"/>
        <v>-4.1389808190239741E-5</v>
      </c>
      <c r="E265" s="40">
        <v>44351</v>
      </c>
      <c r="F265" s="38">
        <v>1.6117096E-3</v>
      </c>
      <c r="G265" s="38">
        <v>7.9958440000000002E-3</v>
      </c>
      <c r="H265" s="36">
        <f t="shared" si="45"/>
        <v>1.6530994081902397E-3</v>
      </c>
      <c r="I265" s="36">
        <f t="shared" si="46"/>
        <v>8.03723380819024E-3</v>
      </c>
      <c r="O265" s="38">
        <v>6.5813899999999995E-2</v>
      </c>
      <c r="P265" s="36">
        <f t="shared" si="47"/>
        <v>6.5855289808190234E-2</v>
      </c>
      <c r="Q265" s="38">
        <v>2.9999971E-2</v>
      </c>
      <c r="R265" s="36">
        <f t="shared" si="47"/>
        <v>3.004136080819024E-2</v>
      </c>
      <c r="S265" s="38">
        <v>3.8221717000000002E-2</v>
      </c>
      <c r="T265" s="36">
        <f t="shared" si="48"/>
        <v>3.8263106808190242E-2</v>
      </c>
      <c r="U265" s="38">
        <v>8.2444669999999998E-2</v>
      </c>
      <c r="V265" s="36">
        <f t="shared" si="49"/>
        <v>8.2486059808190237E-2</v>
      </c>
      <c r="W265" s="38">
        <v>3.7839293000000003E-2</v>
      </c>
      <c r="X265" s="36">
        <f t="shared" si="50"/>
        <v>3.7880682808190243E-2</v>
      </c>
      <c r="Y265" s="38">
        <v>0.10073185000000001</v>
      </c>
      <c r="Z265" s="36">
        <f t="shared" si="51"/>
        <v>0.10077323980819025</v>
      </c>
      <c r="AA265" s="38">
        <v>9.5301040000000004E-2</v>
      </c>
      <c r="AB265" s="36">
        <f t="shared" si="52"/>
        <v>9.5342429808190243E-2</v>
      </c>
      <c r="AC265" s="38">
        <v>7.0034979999999997E-2</v>
      </c>
      <c r="AD265" s="36">
        <f t="shared" si="53"/>
        <v>7.0076369808190236E-2</v>
      </c>
      <c r="AE265" s="38">
        <v>5.1794887000000005E-2</v>
      </c>
      <c r="AF265" s="36">
        <f t="shared" si="54"/>
        <v>5.1836276808190244E-2</v>
      </c>
    </row>
    <row r="266" spans="2:32" outlineLevel="1" x14ac:dyDescent="0.25">
      <c r="B266" s="38">
        <v>-1.8699999999999999E-3</v>
      </c>
      <c r="C266" s="37">
        <f t="shared" si="44"/>
        <v>-3.599455665725948E-5</v>
      </c>
      <c r="E266" s="40">
        <v>44344</v>
      </c>
      <c r="F266" s="38">
        <v>4.838717E-2</v>
      </c>
      <c r="G266" s="38">
        <v>1.0215163000000001E-2</v>
      </c>
      <c r="H266" s="36">
        <f t="shared" si="45"/>
        <v>4.842316455665726E-2</v>
      </c>
      <c r="I266" s="36">
        <f t="shared" si="46"/>
        <v>1.0251157556657261E-2</v>
      </c>
      <c r="O266" s="38">
        <v>5.1580069999999999E-2</v>
      </c>
      <c r="P266" s="36">
        <f t="shared" si="47"/>
        <v>5.1616064556657258E-2</v>
      </c>
      <c r="Q266" s="38">
        <v>0.10051357</v>
      </c>
      <c r="R266" s="36">
        <f t="shared" si="47"/>
        <v>0.10054956455665726</v>
      </c>
      <c r="S266" s="38">
        <v>3.8692712999999997E-2</v>
      </c>
      <c r="T266" s="36">
        <f t="shared" si="48"/>
        <v>3.8728707556657256E-2</v>
      </c>
      <c r="U266" s="38">
        <v>2.2391557999999999E-2</v>
      </c>
      <c r="V266" s="36">
        <f t="shared" si="49"/>
        <v>2.2427552556657258E-2</v>
      </c>
      <c r="W266" s="38">
        <v>1.4696120999999999E-2</v>
      </c>
      <c r="X266" s="36">
        <f t="shared" si="50"/>
        <v>1.4732115556657259E-2</v>
      </c>
      <c r="Y266" s="38">
        <v>9.064889000000001E-2</v>
      </c>
      <c r="Z266" s="36">
        <f t="shared" si="51"/>
        <v>9.0684884556657269E-2</v>
      </c>
      <c r="AA266" s="38">
        <v>3.5835146999999998E-2</v>
      </c>
      <c r="AB266" s="36">
        <f t="shared" si="52"/>
        <v>3.5871141556657257E-2</v>
      </c>
      <c r="AC266" s="38">
        <v>4.6263813999999993E-2</v>
      </c>
      <c r="AD266" s="36">
        <f t="shared" si="53"/>
        <v>4.6299808556657253E-2</v>
      </c>
      <c r="AE266" s="38">
        <v>3.9022326000000003E-2</v>
      </c>
      <c r="AF266" s="36">
        <f t="shared" si="54"/>
        <v>3.9058320556657262E-2</v>
      </c>
    </row>
    <row r="267" spans="2:32" outlineLevel="1" x14ac:dyDescent="0.25">
      <c r="B267" s="38">
        <v>-1.2900000000000001E-3</v>
      </c>
      <c r="C267" s="37">
        <f t="shared" si="44"/>
        <v>-2.482339893772334E-5</v>
      </c>
      <c r="E267" s="40">
        <v>44337</v>
      </c>
      <c r="F267" s="38">
        <v>-2.5594950000000002E-2</v>
      </c>
      <c r="G267" s="38">
        <v>4.3160914999999999E-3</v>
      </c>
      <c r="H267" s="36">
        <f t="shared" si="45"/>
        <v>-2.5570126601062278E-2</v>
      </c>
      <c r="I267" s="36">
        <f t="shared" si="46"/>
        <v>4.3409148989377233E-3</v>
      </c>
      <c r="O267" s="38">
        <v>3.0963898E-2</v>
      </c>
      <c r="P267" s="36">
        <f t="shared" si="47"/>
        <v>3.0988721398937723E-2</v>
      </c>
      <c r="Q267" s="38">
        <v>2.7903437999999999E-2</v>
      </c>
      <c r="R267" s="36">
        <f t="shared" si="47"/>
        <v>2.7928261398937722E-2</v>
      </c>
      <c r="S267" s="38">
        <v>-1.2005091000000001E-2</v>
      </c>
      <c r="T267" s="36">
        <f t="shared" si="48"/>
        <v>-1.1980267601062277E-2</v>
      </c>
      <c r="U267" s="38">
        <v>1.935947E-2</v>
      </c>
      <c r="V267" s="36">
        <f t="shared" si="49"/>
        <v>1.9384293398937723E-2</v>
      </c>
      <c r="W267" s="38">
        <v>2.1365762E-2</v>
      </c>
      <c r="X267" s="36">
        <f t="shared" si="50"/>
        <v>2.1390585398937723E-2</v>
      </c>
      <c r="Y267" s="38">
        <v>0.12076426</v>
      </c>
      <c r="Z267" s="36">
        <f t="shared" si="51"/>
        <v>0.12078908339893772</v>
      </c>
      <c r="AA267" s="38">
        <v>3.1031966000000001E-2</v>
      </c>
      <c r="AB267" s="36">
        <f t="shared" si="52"/>
        <v>3.1056789398937724E-2</v>
      </c>
      <c r="AC267" s="38">
        <v>8.2867145999999999E-3</v>
      </c>
      <c r="AD267" s="36">
        <f t="shared" si="53"/>
        <v>8.3115379989377233E-3</v>
      </c>
      <c r="AE267" s="38">
        <v>-5.6277513999999996E-3</v>
      </c>
      <c r="AF267" s="36">
        <f t="shared" si="54"/>
        <v>-5.6029280010622762E-3</v>
      </c>
    </row>
    <row r="268" spans="2:32" outlineLevel="1" x14ac:dyDescent="0.25">
      <c r="B268" s="38">
        <v>-1.23E-3</v>
      </c>
      <c r="C268" s="37">
        <f t="shared" si="44"/>
        <v>-2.3668125114340022E-5</v>
      </c>
      <c r="E268" s="40">
        <v>44330</v>
      </c>
      <c r="F268" s="38">
        <v>-2.1815598000000002E-2</v>
      </c>
      <c r="G268" s="38">
        <v>-5.3941010000000001E-3</v>
      </c>
      <c r="H268" s="36">
        <f t="shared" si="45"/>
        <v>-2.1791929874885662E-2</v>
      </c>
      <c r="I268" s="36">
        <f t="shared" si="46"/>
        <v>-5.3704328748856601E-3</v>
      </c>
      <c r="O268" s="38">
        <v>-5.7556032999999994E-3</v>
      </c>
      <c r="P268" s="36">
        <f t="shared" si="47"/>
        <v>-5.7319351748856594E-3</v>
      </c>
      <c r="Q268" s="38">
        <v>1.4537096000000001E-2</v>
      </c>
      <c r="R268" s="36">
        <f t="shared" si="47"/>
        <v>1.4560764125114341E-2</v>
      </c>
      <c r="S268" s="38">
        <v>-4.9071550000000005E-2</v>
      </c>
      <c r="T268" s="36">
        <f t="shared" si="48"/>
        <v>-4.9047881874885665E-2</v>
      </c>
      <c r="U268" s="38">
        <v>4.7826766999999997E-4</v>
      </c>
      <c r="V268" s="36">
        <f t="shared" si="49"/>
        <v>5.0193579511434005E-4</v>
      </c>
      <c r="W268" s="38">
        <v>7.3558089999999996E-3</v>
      </c>
      <c r="X268" s="36">
        <f t="shared" si="50"/>
        <v>7.3794771251143396E-3</v>
      </c>
      <c r="Y268" s="38">
        <v>2.3938417000000001E-3</v>
      </c>
      <c r="Z268" s="36">
        <f t="shared" si="51"/>
        <v>2.4175098251143401E-3</v>
      </c>
      <c r="AA268" s="38">
        <v>6.2760115000000003E-3</v>
      </c>
      <c r="AB268" s="36">
        <f t="shared" si="52"/>
        <v>6.2996796251143404E-3</v>
      </c>
      <c r="AC268" s="38">
        <v>-5.0021530000000002E-2</v>
      </c>
      <c r="AD268" s="36">
        <f t="shared" si="53"/>
        <v>-4.9997861874885662E-2</v>
      </c>
      <c r="AE268" s="38">
        <v>-1.7005025999999999E-2</v>
      </c>
      <c r="AF268" s="36">
        <f t="shared" si="54"/>
        <v>-1.6981357874885659E-2</v>
      </c>
    </row>
    <row r="269" spans="2:32" outlineLevel="1" x14ac:dyDescent="0.25">
      <c r="B269" s="38">
        <v>-2.3400000000000001E-3</v>
      </c>
      <c r="C269" s="37">
        <f t="shared" si="44"/>
        <v>-4.5051717419308801E-5</v>
      </c>
      <c r="E269" s="40">
        <v>44323</v>
      </c>
      <c r="F269" s="38">
        <v>1.8642783E-2</v>
      </c>
      <c r="G269" s="38">
        <v>1.7238617000000001E-2</v>
      </c>
      <c r="H269" s="36">
        <f t="shared" si="45"/>
        <v>1.8687834717419308E-2</v>
      </c>
      <c r="I269" s="36">
        <f t="shared" si="46"/>
        <v>1.728366871741931E-2</v>
      </c>
      <c r="O269" s="38">
        <v>8.0873849999999997E-2</v>
      </c>
      <c r="P269" s="36">
        <f t="shared" si="47"/>
        <v>8.0918901717419306E-2</v>
      </c>
      <c r="Q269" s="38">
        <v>-1.0598063E-2</v>
      </c>
      <c r="R269" s="36">
        <f t="shared" si="47"/>
        <v>-1.0553011282580691E-2</v>
      </c>
      <c r="S269" s="38">
        <v>1.6782165000000002E-2</v>
      </c>
      <c r="T269" s="36">
        <f t="shared" si="48"/>
        <v>1.682721671741931E-2</v>
      </c>
      <c r="U269" s="38">
        <v>2.8777121999999998E-3</v>
      </c>
      <c r="V269" s="36">
        <f t="shared" si="49"/>
        <v>2.9227639174193086E-3</v>
      </c>
      <c r="W269" s="38">
        <v>-8.6427927000000005E-3</v>
      </c>
      <c r="X269" s="36">
        <f t="shared" si="50"/>
        <v>-8.5977409825806917E-3</v>
      </c>
      <c r="Y269" s="38">
        <v>1.5490294E-2</v>
      </c>
      <c r="Z269" s="36">
        <f t="shared" si="51"/>
        <v>1.5535345717419309E-2</v>
      </c>
      <c r="AA269" s="38">
        <v>2.7301788E-2</v>
      </c>
      <c r="AB269" s="36">
        <f t="shared" si="52"/>
        <v>2.7346839717419309E-2</v>
      </c>
      <c r="AC269" s="38">
        <v>2.2102951999999999E-2</v>
      </c>
      <c r="AD269" s="36">
        <f t="shared" si="53"/>
        <v>2.2148003717419307E-2</v>
      </c>
      <c r="AE269" s="38">
        <v>3.7724853000000003E-2</v>
      </c>
      <c r="AF269" s="36">
        <f t="shared" si="54"/>
        <v>3.7769904717419311E-2</v>
      </c>
    </row>
    <row r="270" spans="2:32" outlineLevel="1" x14ac:dyDescent="0.25">
      <c r="B270" s="38">
        <v>-2.0599999999999998E-3</v>
      </c>
      <c r="C270" s="37">
        <f t="shared" si="44"/>
        <v>-3.9655458287102263E-5</v>
      </c>
      <c r="E270" s="40">
        <v>44316</v>
      </c>
      <c r="F270" s="38">
        <v>-5.9302449999999998E-3</v>
      </c>
      <c r="G270" s="38">
        <v>-3.758192E-3</v>
      </c>
      <c r="H270" s="36">
        <f t="shared" si="45"/>
        <v>-5.8905895417128975E-3</v>
      </c>
      <c r="I270" s="36">
        <f t="shared" si="46"/>
        <v>-3.7185365417128978E-3</v>
      </c>
      <c r="O270" s="38">
        <v>-3.9332867000000001E-2</v>
      </c>
      <c r="P270" s="36">
        <f t="shared" si="47"/>
        <v>-3.9293211541712898E-2</v>
      </c>
      <c r="Q270" s="38">
        <v>-6.8406224000000002E-2</v>
      </c>
      <c r="R270" s="36">
        <f t="shared" si="47"/>
        <v>-6.8366568541712899E-2</v>
      </c>
      <c r="S270" s="38">
        <v>-1.6501725000000002E-2</v>
      </c>
      <c r="T270" s="36">
        <f t="shared" si="48"/>
        <v>-1.64620695417129E-2</v>
      </c>
      <c r="U270" s="38">
        <v>-3.3715606000000002E-2</v>
      </c>
      <c r="V270" s="36">
        <f t="shared" si="49"/>
        <v>-3.36759505417129E-2</v>
      </c>
      <c r="W270" s="38">
        <v>4.7490596999999997E-3</v>
      </c>
      <c r="X270" s="36">
        <f t="shared" si="50"/>
        <v>4.788715158287102E-3</v>
      </c>
      <c r="Y270" s="38">
        <v>-5.4744299999999996E-2</v>
      </c>
      <c r="Z270" s="36">
        <f t="shared" si="51"/>
        <v>-5.4704644541712893E-2</v>
      </c>
      <c r="AA270" s="38">
        <v>-2.8154135E-2</v>
      </c>
      <c r="AB270" s="36">
        <f t="shared" si="52"/>
        <v>-2.8114479541712898E-2</v>
      </c>
      <c r="AC270" s="38">
        <v>-4.4382215000000006E-3</v>
      </c>
      <c r="AD270" s="36">
        <f t="shared" si="53"/>
        <v>-4.3985660417128983E-3</v>
      </c>
      <c r="AE270" s="38">
        <v>-1.0522962E-2</v>
      </c>
      <c r="AF270" s="36">
        <f t="shared" si="54"/>
        <v>-1.0483306541712898E-2</v>
      </c>
    </row>
    <row r="271" spans="2:32" outlineLevel="1" x14ac:dyDescent="0.25">
      <c r="B271" s="38">
        <v>-2.5200000000000001E-3</v>
      </c>
      <c r="C271" s="37">
        <f t="shared" si="44"/>
        <v>-4.8521525570333068E-5</v>
      </c>
      <c r="E271" s="40">
        <v>44309</v>
      </c>
      <c r="F271" s="38">
        <v>-6.6565275000000007E-2</v>
      </c>
      <c r="G271" s="38">
        <v>-7.7967644000000004E-3</v>
      </c>
      <c r="H271" s="36">
        <f t="shared" si="45"/>
        <v>-6.6516753474429674E-2</v>
      </c>
      <c r="I271" s="36">
        <f t="shared" si="46"/>
        <v>-7.7482428744296674E-3</v>
      </c>
      <c r="O271" s="38">
        <v>-5.7135344000000005E-2</v>
      </c>
      <c r="P271" s="36">
        <f t="shared" si="47"/>
        <v>-5.7086822474429672E-2</v>
      </c>
      <c r="Q271" s="38">
        <v>-4.0595350000000002E-2</v>
      </c>
      <c r="R271" s="36">
        <f t="shared" si="47"/>
        <v>-4.0546828474429669E-2</v>
      </c>
      <c r="S271" s="38">
        <v>-4.2355356000000004E-2</v>
      </c>
      <c r="T271" s="36">
        <f t="shared" si="48"/>
        <v>-4.2306834474429671E-2</v>
      </c>
      <c r="U271" s="38">
        <v>-2.3421585999999998E-2</v>
      </c>
      <c r="V271" s="36">
        <f t="shared" si="49"/>
        <v>-2.3373064474429665E-2</v>
      </c>
      <c r="W271" s="38">
        <v>-4.7680559999999997E-2</v>
      </c>
      <c r="X271" s="36">
        <f t="shared" si="50"/>
        <v>-4.7632038474429664E-2</v>
      </c>
      <c r="Y271" s="38">
        <v>-6.6221355999999997E-3</v>
      </c>
      <c r="Z271" s="36">
        <f t="shared" si="51"/>
        <v>-6.5736140744296666E-3</v>
      </c>
      <c r="AA271" s="38">
        <v>-2.8781474000000001E-2</v>
      </c>
      <c r="AB271" s="36">
        <f t="shared" si="52"/>
        <v>-2.8732952474429668E-2</v>
      </c>
      <c r="AC271" s="38">
        <v>-2.5791346999999999E-2</v>
      </c>
      <c r="AD271" s="36">
        <f t="shared" si="53"/>
        <v>-2.5742825474429666E-2</v>
      </c>
      <c r="AE271" s="38">
        <v>-2.708149E-2</v>
      </c>
      <c r="AF271" s="36">
        <f t="shared" si="54"/>
        <v>-2.7032968474429667E-2</v>
      </c>
    </row>
    <row r="272" spans="2:32" outlineLevel="1" x14ac:dyDescent="0.25">
      <c r="B272" s="38">
        <v>-2.7400000000000002E-3</v>
      </c>
      <c r="C272" s="37">
        <f t="shared" si="44"/>
        <v>-5.2763236261132995E-5</v>
      </c>
      <c r="E272" s="40">
        <v>44302</v>
      </c>
      <c r="F272" s="38">
        <v>8.7952613999999988E-3</v>
      </c>
      <c r="G272" s="38">
        <v>1.2030244000000001E-2</v>
      </c>
      <c r="H272" s="36">
        <f t="shared" si="45"/>
        <v>8.8480246362611318E-3</v>
      </c>
      <c r="I272" s="36">
        <f t="shared" si="46"/>
        <v>1.2083007236261134E-2</v>
      </c>
      <c r="O272" s="38">
        <v>3.1216263999999997E-2</v>
      </c>
      <c r="P272" s="36">
        <f t="shared" si="47"/>
        <v>3.1269027236261127E-2</v>
      </c>
      <c r="Q272" s="38">
        <v>-8.0536604000000008E-3</v>
      </c>
      <c r="R272" s="36">
        <f t="shared" si="47"/>
        <v>-8.0008971637388678E-3</v>
      </c>
      <c r="S272" s="38">
        <v>3.9122104999999999E-3</v>
      </c>
      <c r="T272" s="36">
        <f t="shared" si="48"/>
        <v>3.9649737362611329E-3</v>
      </c>
      <c r="U272" s="38">
        <v>4.3181180000000001E-3</v>
      </c>
      <c r="V272" s="36">
        <f t="shared" si="49"/>
        <v>4.3708812362611331E-3</v>
      </c>
      <c r="W272" s="38">
        <v>3.3106327000000005E-2</v>
      </c>
      <c r="X272" s="36">
        <f t="shared" si="50"/>
        <v>3.3159090236261138E-2</v>
      </c>
      <c r="Y272" s="38">
        <v>-2.9726862999999999E-2</v>
      </c>
      <c r="Z272" s="36">
        <f t="shared" si="51"/>
        <v>-2.9674099763738866E-2</v>
      </c>
      <c r="AA272" s="38">
        <v>1.2854695000000001E-2</v>
      </c>
      <c r="AB272" s="36">
        <f t="shared" si="52"/>
        <v>1.2907458236261134E-2</v>
      </c>
      <c r="AC272" s="38">
        <v>-3.1434178E-2</v>
      </c>
      <c r="AD272" s="36">
        <f t="shared" si="53"/>
        <v>-3.1381414763738867E-2</v>
      </c>
      <c r="AE272" s="38">
        <v>3.4066200000000005E-2</v>
      </c>
      <c r="AF272" s="36">
        <f t="shared" si="54"/>
        <v>3.4118963236261138E-2</v>
      </c>
    </row>
    <row r="273" spans="2:32" outlineLevel="1" x14ac:dyDescent="0.25">
      <c r="B273" s="38">
        <v>-2.97E-3</v>
      </c>
      <c r="C273" s="37">
        <f t="shared" si="44"/>
        <v>-5.7198733362961995E-5</v>
      </c>
      <c r="E273" s="40">
        <v>44295</v>
      </c>
      <c r="F273" s="38">
        <v>-5.6506869999999994E-2</v>
      </c>
      <c r="G273" s="38">
        <v>1.1591315E-2</v>
      </c>
      <c r="H273" s="36">
        <f t="shared" si="45"/>
        <v>-5.6449671266637032E-2</v>
      </c>
      <c r="I273" s="36">
        <f t="shared" si="46"/>
        <v>1.1648513733362962E-2</v>
      </c>
      <c r="O273" s="38">
        <v>-2.2198677E-2</v>
      </c>
      <c r="P273" s="36">
        <f t="shared" si="47"/>
        <v>-2.2141478266637038E-2</v>
      </c>
      <c r="Q273" s="38">
        <v>-2.8049588E-2</v>
      </c>
      <c r="R273" s="36">
        <f t="shared" si="47"/>
        <v>-2.7992389266637038E-2</v>
      </c>
      <c r="S273" s="38">
        <v>-1.2063444000000001E-2</v>
      </c>
      <c r="T273" s="36">
        <f t="shared" si="48"/>
        <v>-1.2006245266637039E-2</v>
      </c>
      <c r="U273" s="38">
        <v>-7.5560810000000001E-3</v>
      </c>
      <c r="V273" s="36">
        <f t="shared" si="49"/>
        <v>-7.4988822666370381E-3</v>
      </c>
      <c r="W273" s="38">
        <v>-5.7073829999999999E-3</v>
      </c>
      <c r="X273" s="36">
        <f t="shared" si="50"/>
        <v>-5.6501842666370379E-3</v>
      </c>
      <c r="Y273" s="38">
        <v>1.6788959999999999E-2</v>
      </c>
      <c r="Z273" s="36">
        <f t="shared" si="51"/>
        <v>1.6846158733362961E-2</v>
      </c>
      <c r="AA273" s="38">
        <v>-6.9200989999999999E-3</v>
      </c>
      <c r="AB273" s="36">
        <f t="shared" si="52"/>
        <v>-6.8629002666370379E-3</v>
      </c>
      <c r="AC273" s="38">
        <v>2.9542088999999997E-2</v>
      </c>
      <c r="AD273" s="36">
        <f t="shared" si="53"/>
        <v>2.9599287733362959E-2</v>
      </c>
      <c r="AE273" s="38">
        <v>-1.9419551E-2</v>
      </c>
      <c r="AF273" s="36">
        <f t="shared" si="54"/>
        <v>-1.9362352266637038E-2</v>
      </c>
    </row>
    <row r="274" spans="2:32" outlineLevel="1" x14ac:dyDescent="0.25">
      <c r="B274" s="38">
        <v>-3.2799999999999999E-3</v>
      </c>
      <c r="C274" s="37">
        <f t="shared" si="44"/>
        <v>-6.3178600139157659E-5</v>
      </c>
      <c r="E274" s="40">
        <v>44288</v>
      </c>
      <c r="F274" s="38">
        <v>4.2857050000000001E-2</v>
      </c>
      <c r="G274" s="38">
        <v>1.2390852000000001E-2</v>
      </c>
      <c r="H274" s="36">
        <f t="shared" si="45"/>
        <v>4.2920228600139158E-2</v>
      </c>
      <c r="I274" s="36">
        <f t="shared" si="46"/>
        <v>1.2454030600139158E-2</v>
      </c>
      <c r="O274" s="38">
        <v>3.4021019999999999E-2</v>
      </c>
      <c r="P274" s="36">
        <f t="shared" si="47"/>
        <v>3.4084198600139157E-2</v>
      </c>
      <c r="Q274" s="38">
        <v>8.8778380000000004E-2</v>
      </c>
      <c r="R274" s="36">
        <f t="shared" si="47"/>
        <v>8.8841558600139162E-2</v>
      </c>
      <c r="S274" s="38">
        <v>-4.8094089999999999E-2</v>
      </c>
      <c r="T274" s="36">
        <f t="shared" si="48"/>
        <v>-4.8030911399860841E-2</v>
      </c>
      <c r="U274" s="38">
        <v>5.8240769999999997E-2</v>
      </c>
      <c r="V274" s="36">
        <f t="shared" si="49"/>
        <v>5.8303948600139155E-2</v>
      </c>
      <c r="W274" s="38">
        <v>2.8251648000000001E-2</v>
      </c>
      <c r="X274" s="36">
        <f t="shared" si="50"/>
        <v>2.8314826600139158E-2</v>
      </c>
      <c r="Y274" s="38">
        <v>-7.5026749999999994E-3</v>
      </c>
      <c r="Z274" s="36">
        <f t="shared" si="51"/>
        <v>-7.4394963998608418E-3</v>
      </c>
      <c r="AA274" s="38">
        <v>5.8650970000000005E-3</v>
      </c>
      <c r="AB274" s="36">
        <f t="shared" si="52"/>
        <v>5.9282756001391582E-3</v>
      </c>
      <c r="AC274" s="38">
        <v>2.5816202E-2</v>
      </c>
      <c r="AD274" s="36">
        <f t="shared" si="53"/>
        <v>2.5879380600139158E-2</v>
      </c>
      <c r="AE274" s="38">
        <v>-1.5701056000000001E-2</v>
      </c>
      <c r="AF274" s="36">
        <f t="shared" si="54"/>
        <v>-1.5637877399860844E-2</v>
      </c>
    </row>
    <row r="275" spans="2:32" outlineLevel="1" x14ac:dyDescent="0.25">
      <c r="B275" s="38">
        <v>-3.5199999999999997E-3</v>
      </c>
      <c r="C275" s="37">
        <f t="shared" si="44"/>
        <v>-6.7809427309106773E-5</v>
      </c>
      <c r="E275" s="40">
        <v>44281</v>
      </c>
      <c r="F275" s="38">
        <v>-6.2097369999999999E-2</v>
      </c>
      <c r="G275" s="38">
        <v>8.4563494000000003E-3</v>
      </c>
      <c r="H275" s="36">
        <f t="shared" si="45"/>
        <v>-6.2029560572690892E-2</v>
      </c>
      <c r="I275" s="36">
        <f t="shared" si="46"/>
        <v>8.5241588273091071E-3</v>
      </c>
      <c r="O275" s="38">
        <v>-1.4276087E-2</v>
      </c>
      <c r="P275" s="36">
        <f t="shared" si="47"/>
        <v>-1.4208277572690893E-2</v>
      </c>
      <c r="Q275" s="38">
        <v>3.5637616999999997E-3</v>
      </c>
      <c r="R275" s="36">
        <f t="shared" si="47"/>
        <v>3.6315711273091065E-3</v>
      </c>
      <c r="S275" s="38">
        <v>-2.7612567000000001E-2</v>
      </c>
      <c r="T275" s="36">
        <f t="shared" si="48"/>
        <v>-2.7544757572690894E-2</v>
      </c>
      <c r="U275" s="38">
        <v>1.5759468000000002E-2</v>
      </c>
      <c r="V275" s="36">
        <f t="shared" si="49"/>
        <v>1.5827277427309109E-2</v>
      </c>
      <c r="W275" s="38">
        <v>-6.9124699999999996E-3</v>
      </c>
      <c r="X275" s="36">
        <f t="shared" si="50"/>
        <v>-6.8446605726908928E-3</v>
      </c>
      <c r="Y275" s="38">
        <v>-3.2167077000000002E-2</v>
      </c>
      <c r="Z275" s="36">
        <f t="shared" si="51"/>
        <v>-3.2099267572690895E-2</v>
      </c>
      <c r="AA275" s="38">
        <v>-2.9986739999999998E-2</v>
      </c>
      <c r="AB275" s="36">
        <f t="shared" si="52"/>
        <v>-2.9918930572690891E-2</v>
      </c>
      <c r="AC275" s="38">
        <v>-4.6155269999999998E-2</v>
      </c>
      <c r="AD275" s="36">
        <f t="shared" si="53"/>
        <v>-4.6087460572690891E-2</v>
      </c>
      <c r="AE275" s="38">
        <v>-4.5175549999999995E-2</v>
      </c>
      <c r="AF275" s="36">
        <f t="shared" si="54"/>
        <v>-4.5107740572690888E-2</v>
      </c>
    </row>
    <row r="276" spans="2:32" outlineLevel="1" x14ac:dyDescent="0.25">
      <c r="B276" s="38">
        <v>-2.8999999999999998E-3</v>
      </c>
      <c r="C276" s="37">
        <f t="shared" si="44"/>
        <v>-5.5848693238047531E-5</v>
      </c>
      <c r="E276" s="40">
        <v>44274</v>
      </c>
      <c r="F276" s="38">
        <v>-2.4629294999999999E-2</v>
      </c>
      <c r="G276" s="38">
        <v>6.3824649999999993E-4</v>
      </c>
      <c r="H276" s="36">
        <f t="shared" si="45"/>
        <v>-2.4573446306761951E-2</v>
      </c>
      <c r="I276" s="36">
        <f t="shared" si="46"/>
        <v>6.9409519323804746E-4</v>
      </c>
      <c r="O276" s="38">
        <v>2.0807743E-2</v>
      </c>
      <c r="P276" s="36">
        <f t="shared" si="47"/>
        <v>2.0863591693238048E-2</v>
      </c>
      <c r="Q276" s="38">
        <v>0.21577131000000002</v>
      </c>
      <c r="R276" s="36">
        <f t="shared" si="47"/>
        <v>0.21582715869323807</v>
      </c>
      <c r="S276" s="38">
        <v>3.4418701999999995E-2</v>
      </c>
      <c r="T276" s="36">
        <f t="shared" si="48"/>
        <v>3.4474550693238043E-2</v>
      </c>
      <c r="U276" s="38">
        <v>6.4661739999999995E-2</v>
      </c>
      <c r="V276" s="36">
        <f t="shared" si="49"/>
        <v>6.4717588693238043E-2</v>
      </c>
      <c r="W276" s="38">
        <v>4.3269156999999996E-2</v>
      </c>
      <c r="X276" s="36">
        <f t="shared" si="50"/>
        <v>4.3325005693238043E-2</v>
      </c>
      <c r="Y276" s="38">
        <v>-3.8092613000000004E-2</v>
      </c>
      <c r="Z276" s="36">
        <f t="shared" si="51"/>
        <v>-3.8036764306761957E-2</v>
      </c>
      <c r="AA276" s="38">
        <v>6.5074679999999996E-2</v>
      </c>
      <c r="AB276" s="36">
        <f t="shared" si="52"/>
        <v>6.5130528693238043E-2</v>
      </c>
      <c r="AC276" s="38">
        <v>1.1865616000000001E-2</v>
      </c>
      <c r="AD276" s="36">
        <f t="shared" si="53"/>
        <v>1.1921464693238048E-2</v>
      </c>
      <c r="AE276" s="38">
        <v>8.1820369999999989E-2</v>
      </c>
      <c r="AF276" s="36">
        <f t="shared" si="54"/>
        <v>8.1876218693238037E-2</v>
      </c>
    </row>
    <row r="277" spans="2:32" outlineLevel="1" x14ac:dyDescent="0.25">
      <c r="B277" s="38">
        <v>-2.99E-3</v>
      </c>
      <c r="C277" s="37">
        <f t="shared" si="44"/>
        <v>-5.7584476187533262E-5</v>
      </c>
      <c r="E277" s="40">
        <v>44267</v>
      </c>
      <c r="F277" s="38">
        <v>3.2166003999999998E-2</v>
      </c>
      <c r="G277" s="38">
        <v>3.5235405000000004E-2</v>
      </c>
      <c r="H277" s="36">
        <f t="shared" si="45"/>
        <v>3.2223588476187531E-2</v>
      </c>
      <c r="I277" s="36">
        <f t="shared" si="46"/>
        <v>3.5292989476187538E-2</v>
      </c>
      <c r="O277" s="38">
        <v>0.12819755999999999</v>
      </c>
      <c r="P277" s="36">
        <f t="shared" si="47"/>
        <v>0.12825514447618752</v>
      </c>
      <c r="Q277" s="38">
        <v>7.7497720000000006E-2</v>
      </c>
      <c r="R277" s="36">
        <f t="shared" si="47"/>
        <v>7.7555304476187539E-2</v>
      </c>
      <c r="S277" s="38">
        <v>-6.9791080000000004E-3</v>
      </c>
      <c r="T277" s="36">
        <f t="shared" si="48"/>
        <v>-6.9215235238124671E-3</v>
      </c>
      <c r="U277" s="38">
        <v>2.3919701999999998E-2</v>
      </c>
      <c r="V277" s="36">
        <f t="shared" si="49"/>
        <v>2.3977286476187531E-2</v>
      </c>
      <c r="W277" s="38">
        <v>7.1204900000000002E-3</v>
      </c>
      <c r="X277" s="36">
        <f t="shared" si="50"/>
        <v>7.1780744761875334E-3</v>
      </c>
      <c r="Y277" s="38">
        <v>8.7002640000000006E-2</v>
      </c>
      <c r="Z277" s="36">
        <f t="shared" si="51"/>
        <v>8.7060224476187539E-2</v>
      </c>
      <c r="AA277" s="38">
        <v>1.2773274999999999E-2</v>
      </c>
      <c r="AB277" s="36">
        <f t="shared" si="52"/>
        <v>1.2830859476187532E-2</v>
      </c>
      <c r="AC277" s="38">
        <v>9.9833490000000011E-2</v>
      </c>
      <c r="AD277" s="36">
        <f t="shared" si="53"/>
        <v>9.9891074476187544E-2</v>
      </c>
      <c r="AE277" s="38">
        <v>2.8913856000000002E-2</v>
      </c>
      <c r="AF277" s="36">
        <f t="shared" si="54"/>
        <v>2.8971440476187535E-2</v>
      </c>
    </row>
    <row r="278" spans="2:32" outlineLevel="1" x14ac:dyDescent="0.25">
      <c r="B278" s="38">
        <v>-3.0599999999999998E-3</v>
      </c>
      <c r="C278" s="37">
        <f t="shared" si="44"/>
        <v>-5.8934635840834915E-5</v>
      </c>
      <c r="E278" s="40">
        <v>44260</v>
      </c>
      <c r="F278" s="38">
        <v>3.8383842000000001E-2</v>
      </c>
      <c r="G278" s="38">
        <v>9.1112850000000002E-3</v>
      </c>
      <c r="H278" s="36">
        <f t="shared" si="45"/>
        <v>3.8442776635840836E-2</v>
      </c>
      <c r="I278" s="36">
        <f t="shared" si="46"/>
        <v>9.1702196358408351E-3</v>
      </c>
      <c r="O278" s="38">
        <v>1.8460631000000002E-2</v>
      </c>
      <c r="P278" s="36">
        <f t="shared" si="47"/>
        <v>1.8519565635840837E-2</v>
      </c>
      <c r="Q278" s="38">
        <v>0.10583377000000001</v>
      </c>
      <c r="R278" s="36">
        <f t="shared" si="47"/>
        <v>0.10589270463584084</v>
      </c>
      <c r="S278" s="38">
        <v>5.4571630000000003E-2</v>
      </c>
      <c r="T278" s="36">
        <f t="shared" si="48"/>
        <v>5.4630564635840838E-2</v>
      </c>
      <c r="U278" s="38">
        <v>5.8321595000000004E-2</v>
      </c>
      <c r="V278" s="36">
        <f t="shared" si="49"/>
        <v>5.8380529635840839E-2</v>
      </c>
      <c r="W278" s="38">
        <v>5.9924483000000001E-2</v>
      </c>
      <c r="X278" s="36">
        <f t="shared" si="50"/>
        <v>5.9983417635840836E-2</v>
      </c>
      <c r="Y278" s="38">
        <v>6.8884014999999993E-2</v>
      </c>
      <c r="Z278" s="36">
        <f t="shared" si="51"/>
        <v>6.8942949635840828E-2</v>
      </c>
      <c r="AA278" s="38">
        <v>1.5313387000000001E-2</v>
      </c>
      <c r="AB278" s="36">
        <f t="shared" si="52"/>
        <v>1.5372321635840836E-2</v>
      </c>
      <c r="AC278" s="38">
        <v>6.7281603999999995E-2</v>
      </c>
      <c r="AD278" s="36">
        <f t="shared" si="53"/>
        <v>6.734053863584083E-2</v>
      </c>
      <c r="AE278" s="38">
        <v>6.8369745999999995E-2</v>
      </c>
      <c r="AF278" s="36">
        <f t="shared" si="54"/>
        <v>6.842868063584083E-2</v>
      </c>
    </row>
    <row r="279" spans="2:32" outlineLevel="1" x14ac:dyDescent="0.25">
      <c r="B279" s="38">
        <v>-2.63E-3</v>
      </c>
      <c r="C279" s="37">
        <f t="shared" si="44"/>
        <v>-5.0642266210210174E-5</v>
      </c>
      <c r="E279" s="40">
        <v>44253</v>
      </c>
      <c r="F279" s="38">
        <v>-2.3925304000000001E-2</v>
      </c>
      <c r="G279" s="38">
        <v>-2.3838281999999999E-2</v>
      </c>
      <c r="H279" s="36">
        <f t="shared" si="45"/>
        <v>-2.3874661733789791E-2</v>
      </c>
      <c r="I279" s="36">
        <f t="shared" si="46"/>
        <v>-2.3787639733789789E-2</v>
      </c>
      <c r="O279" s="38">
        <v>4.0358305000000004E-3</v>
      </c>
      <c r="P279" s="36">
        <f t="shared" si="47"/>
        <v>4.0864727662102106E-3</v>
      </c>
      <c r="Q279" s="38">
        <v>2.4325728000000001E-2</v>
      </c>
      <c r="R279" s="36">
        <f t="shared" si="47"/>
        <v>2.4376370266210211E-2</v>
      </c>
      <c r="S279" s="38">
        <v>-3.2996655E-2</v>
      </c>
      <c r="T279" s="36">
        <f t="shared" si="48"/>
        <v>-3.294601273378979E-2</v>
      </c>
      <c r="U279" s="38">
        <v>-1.1176466999999999E-3</v>
      </c>
      <c r="V279" s="36">
        <f t="shared" si="49"/>
        <v>-1.0670044337897898E-3</v>
      </c>
      <c r="W279" s="38">
        <v>-1.4430225000000001E-2</v>
      </c>
      <c r="X279" s="36">
        <f t="shared" si="50"/>
        <v>-1.4379582733789791E-2</v>
      </c>
      <c r="Y279" s="38">
        <v>9.4469785999999993E-3</v>
      </c>
      <c r="Z279" s="36">
        <f t="shared" si="51"/>
        <v>9.4976208662102095E-3</v>
      </c>
      <c r="AA279" s="38">
        <v>-3.3021747999999997E-2</v>
      </c>
      <c r="AB279" s="36">
        <f t="shared" si="52"/>
        <v>-3.2971105733789786E-2</v>
      </c>
      <c r="AC279" s="38">
        <v>-2.4472415000000001E-2</v>
      </c>
      <c r="AD279" s="36">
        <f t="shared" si="53"/>
        <v>-2.4421772733789791E-2</v>
      </c>
      <c r="AE279" s="38">
        <v>-3.2534182000000002E-2</v>
      </c>
      <c r="AF279" s="36">
        <f t="shared" si="54"/>
        <v>-3.2483539733789792E-2</v>
      </c>
    </row>
    <row r="280" spans="2:32" outlineLevel="1" x14ac:dyDescent="0.25">
      <c r="B280" s="38">
        <v>-3.14E-3</v>
      </c>
      <c r="C280" s="37">
        <f t="shared" si="44"/>
        <v>-6.047778930007297E-5</v>
      </c>
      <c r="E280" s="40">
        <v>44246</v>
      </c>
      <c r="F280" s="38">
        <v>-3.317237E-2</v>
      </c>
      <c r="G280" s="38">
        <v>2.1256207999999998E-3</v>
      </c>
      <c r="H280" s="36">
        <f t="shared" si="45"/>
        <v>-3.3111892210699927E-2</v>
      </c>
      <c r="I280" s="36">
        <f t="shared" si="46"/>
        <v>2.1860985893000727E-3</v>
      </c>
      <c r="O280" s="38">
        <v>8.5934400000000008E-3</v>
      </c>
      <c r="P280" s="36">
        <f t="shared" si="47"/>
        <v>8.6539177893000738E-3</v>
      </c>
      <c r="Q280" s="38">
        <v>4.4751405999999994E-2</v>
      </c>
      <c r="R280" s="36">
        <f t="shared" si="47"/>
        <v>4.4811883789300067E-2</v>
      </c>
      <c r="S280" s="38">
        <v>-6.8600535000000004E-2</v>
      </c>
      <c r="T280" s="36">
        <f t="shared" si="48"/>
        <v>-6.8540057210699931E-2</v>
      </c>
      <c r="U280" s="38">
        <v>1.8932462000000001E-2</v>
      </c>
      <c r="V280" s="36">
        <f t="shared" si="49"/>
        <v>1.8992939789300074E-2</v>
      </c>
      <c r="W280" s="38">
        <v>3.9591669999999995E-2</v>
      </c>
      <c r="X280" s="36">
        <f t="shared" si="50"/>
        <v>3.9652147789300068E-2</v>
      </c>
      <c r="Y280" s="38">
        <v>1.0644793999999999E-2</v>
      </c>
      <c r="Z280" s="36">
        <f t="shared" si="51"/>
        <v>1.0705271789300072E-2</v>
      </c>
      <c r="AA280" s="38">
        <v>-4.7976729999999995E-2</v>
      </c>
      <c r="AB280" s="36">
        <f t="shared" si="52"/>
        <v>-4.7916252210699922E-2</v>
      </c>
      <c r="AC280" s="38">
        <v>-1.9903898E-2</v>
      </c>
      <c r="AD280" s="36">
        <f t="shared" si="53"/>
        <v>-1.9843420210699927E-2</v>
      </c>
      <c r="AE280" s="38">
        <v>-1.9397615999999999E-2</v>
      </c>
      <c r="AF280" s="36">
        <f t="shared" si="54"/>
        <v>-1.9337138210699926E-2</v>
      </c>
    </row>
    <row r="281" spans="2:32" outlineLevel="1" x14ac:dyDescent="0.25">
      <c r="B281" s="38">
        <v>-4.2500000000000003E-3</v>
      </c>
      <c r="C281" s="37">
        <f t="shared" si="44"/>
        <v>-8.1901586658550407E-5</v>
      </c>
      <c r="E281" s="40">
        <v>44239</v>
      </c>
      <c r="F281" s="38">
        <v>-2.5272548000000002E-2</v>
      </c>
      <c r="G281" s="38">
        <v>1.0890245E-2</v>
      </c>
      <c r="H281" s="36">
        <f t="shared" si="45"/>
        <v>-2.5190646413341452E-2</v>
      </c>
      <c r="I281" s="36">
        <f t="shared" si="46"/>
        <v>1.097214658665855E-2</v>
      </c>
      <c r="O281" s="38">
        <v>-7.3332189999999993E-3</v>
      </c>
      <c r="P281" s="36">
        <f t="shared" si="47"/>
        <v>-7.2513174133414489E-3</v>
      </c>
      <c r="Q281" s="38">
        <v>-2.7548074999999999E-3</v>
      </c>
      <c r="R281" s="36">
        <f t="shared" si="47"/>
        <v>-2.6729059133414495E-3</v>
      </c>
      <c r="S281" s="38">
        <v>4.8015117999999999E-3</v>
      </c>
      <c r="T281" s="36">
        <f t="shared" si="48"/>
        <v>4.8834133866585503E-3</v>
      </c>
      <c r="U281" s="38">
        <v>2.8550625E-3</v>
      </c>
      <c r="V281" s="36">
        <f t="shared" si="49"/>
        <v>2.9369640866585504E-3</v>
      </c>
      <c r="W281" s="38">
        <v>-3.4781276999999999E-2</v>
      </c>
      <c r="X281" s="36">
        <f t="shared" si="50"/>
        <v>-3.4699375413341449E-2</v>
      </c>
      <c r="Y281" s="38">
        <v>-1.2847126E-2</v>
      </c>
      <c r="Z281" s="36">
        <f t="shared" si="51"/>
        <v>-1.276522441334145E-2</v>
      </c>
      <c r="AA281" s="38">
        <v>5.8748484000000004E-2</v>
      </c>
      <c r="AB281" s="36">
        <f t="shared" si="52"/>
        <v>5.8830385586658554E-2</v>
      </c>
      <c r="AC281" s="38">
        <v>-2.2446929999999997E-2</v>
      </c>
      <c r="AD281" s="36">
        <f t="shared" si="53"/>
        <v>-2.2365028413341446E-2</v>
      </c>
      <c r="AE281" s="38">
        <v>1.3747215E-2</v>
      </c>
      <c r="AF281" s="36">
        <f t="shared" si="54"/>
        <v>1.3829116586658551E-2</v>
      </c>
    </row>
    <row r="282" spans="2:32" outlineLevel="1" x14ac:dyDescent="0.25">
      <c r="B282" s="38">
        <v>-4.5500000000000002E-3</v>
      </c>
      <c r="C282" s="37">
        <f t="shared" si="44"/>
        <v>-8.7695822887479125E-5</v>
      </c>
      <c r="E282" s="40">
        <v>44232</v>
      </c>
      <c r="F282" s="38">
        <v>0.14528942</v>
      </c>
      <c r="G282" s="38">
        <v>3.4583807000000001E-2</v>
      </c>
      <c r="H282" s="36">
        <f t="shared" si="45"/>
        <v>0.14537711582288748</v>
      </c>
      <c r="I282" s="36">
        <f t="shared" si="46"/>
        <v>3.467150282288748E-2</v>
      </c>
      <c r="O282" s="38">
        <v>6.6560270000000005E-2</v>
      </c>
      <c r="P282" s="36">
        <f t="shared" si="47"/>
        <v>6.6647965822887484E-2</v>
      </c>
      <c r="Q282" s="38">
        <v>4.011464E-2</v>
      </c>
      <c r="R282" s="36">
        <f t="shared" si="47"/>
        <v>4.0202335822887479E-2</v>
      </c>
      <c r="S282" s="38">
        <v>0.17384385999999999</v>
      </c>
      <c r="T282" s="36">
        <f t="shared" si="48"/>
        <v>0.17393155582288747</v>
      </c>
      <c r="U282" s="38">
        <v>5.7137012000000004E-4</v>
      </c>
      <c r="V282" s="36">
        <f t="shared" si="49"/>
        <v>6.5906594288747916E-4</v>
      </c>
      <c r="W282" s="38">
        <v>0.15261531</v>
      </c>
      <c r="X282" s="36">
        <f t="shared" si="50"/>
        <v>0.15270300582288748</v>
      </c>
      <c r="Y282" s="38">
        <v>0.10429323</v>
      </c>
      <c r="Z282" s="36">
        <f t="shared" si="51"/>
        <v>0.10438092582288748</v>
      </c>
      <c r="AA282" s="38">
        <v>8.8345889999999996E-2</v>
      </c>
      <c r="AB282" s="36">
        <f t="shared" si="52"/>
        <v>8.8433585822887475E-2</v>
      </c>
      <c r="AC282" s="38">
        <v>8.462488E-2</v>
      </c>
      <c r="AD282" s="36">
        <f t="shared" si="53"/>
        <v>8.4712575822887479E-2</v>
      </c>
      <c r="AE282" s="38">
        <v>7.7081559999999993E-2</v>
      </c>
      <c r="AF282" s="36">
        <f t="shared" si="54"/>
        <v>7.7169255822887473E-2</v>
      </c>
    </row>
    <row r="283" spans="2:32" outlineLevel="1" x14ac:dyDescent="0.25">
      <c r="B283" s="38">
        <v>-5.1400000000000005E-3</v>
      </c>
      <c r="C283" s="37">
        <f t="shared" si="44"/>
        <v>-9.9096151975008873E-5</v>
      </c>
      <c r="E283" s="40">
        <v>44225</v>
      </c>
      <c r="F283" s="38">
        <v>2.3823500000000001E-2</v>
      </c>
      <c r="G283" s="38">
        <v>-3.1061828E-2</v>
      </c>
      <c r="H283" s="36">
        <f t="shared" si="45"/>
        <v>2.392259615197501E-2</v>
      </c>
      <c r="I283" s="36">
        <f t="shared" si="46"/>
        <v>-3.0962731848024991E-2</v>
      </c>
      <c r="O283" s="38">
        <v>-5.3625401999999996E-2</v>
      </c>
      <c r="P283" s="36">
        <f t="shared" si="47"/>
        <v>-5.3526305848024987E-2</v>
      </c>
      <c r="Q283" s="38">
        <v>-2.7855158000000001E-2</v>
      </c>
      <c r="R283" s="36">
        <f t="shared" si="47"/>
        <v>-2.7756061848024993E-2</v>
      </c>
      <c r="S283" s="38">
        <v>-4.8646927E-2</v>
      </c>
      <c r="T283" s="36">
        <f t="shared" si="48"/>
        <v>-4.8547830848024991E-2</v>
      </c>
      <c r="U283" s="38">
        <v>-1.7403483000000001E-2</v>
      </c>
      <c r="V283" s="36">
        <f t="shared" si="49"/>
        <v>-1.7304386848024992E-2</v>
      </c>
      <c r="W283" s="38">
        <v>-1.6082585E-2</v>
      </c>
      <c r="X283" s="36">
        <f t="shared" si="50"/>
        <v>-1.5983488848024991E-2</v>
      </c>
      <c r="Y283" s="38">
        <v>-8.4169389999999997E-2</v>
      </c>
      <c r="Z283" s="36">
        <f t="shared" si="51"/>
        <v>-8.4070293848024988E-2</v>
      </c>
      <c r="AA283" s="38">
        <v>-5.3316535999999998E-2</v>
      </c>
      <c r="AB283" s="36">
        <f t="shared" si="52"/>
        <v>-5.3217439848024989E-2</v>
      </c>
      <c r="AC283" s="38">
        <v>-8.3428970000000005E-2</v>
      </c>
      <c r="AD283" s="36">
        <f t="shared" si="53"/>
        <v>-8.3329873848024996E-2</v>
      </c>
      <c r="AE283" s="38">
        <v>-3.6938787000000001E-2</v>
      </c>
      <c r="AF283" s="36">
        <f t="shared" si="54"/>
        <v>-3.6839690848024992E-2</v>
      </c>
    </row>
    <row r="284" spans="2:32" outlineLevel="1" x14ac:dyDescent="0.25">
      <c r="B284" s="38">
        <v>-5.1200000000000004E-3</v>
      </c>
      <c r="C284" s="37">
        <f t="shared" si="44"/>
        <v>-9.8709591575096844E-5</v>
      </c>
      <c r="E284" s="40">
        <v>44218</v>
      </c>
      <c r="F284" s="38">
        <v>1.0272980000000001E-2</v>
      </c>
      <c r="G284" s="38">
        <v>1.6918182000000002E-3</v>
      </c>
      <c r="H284" s="36">
        <f t="shared" si="45"/>
        <v>1.0371689591575098E-2</v>
      </c>
      <c r="I284" s="36">
        <f t="shared" si="46"/>
        <v>1.790527791575097E-3</v>
      </c>
      <c r="O284" s="38">
        <v>5.3301453999999998E-2</v>
      </c>
      <c r="P284" s="36">
        <f t="shared" si="47"/>
        <v>5.3400163591575095E-2</v>
      </c>
      <c r="Q284" s="38">
        <v>6.9088697000000004E-2</v>
      </c>
      <c r="R284" s="36">
        <f t="shared" si="47"/>
        <v>6.9187406591575101E-2</v>
      </c>
      <c r="S284" s="38">
        <v>3.6882400000000003E-2</v>
      </c>
      <c r="T284" s="36">
        <f t="shared" si="48"/>
        <v>3.69811095915751E-2</v>
      </c>
      <c r="U284" s="38">
        <v>2.6509046999999997E-2</v>
      </c>
      <c r="V284" s="36">
        <f t="shared" si="49"/>
        <v>2.6607756591575094E-2</v>
      </c>
      <c r="W284" s="38">
        <v>4.9946666000000001E-2</v>
      </c>
      <c r="X284" s="36">
        <f t="shared" si="50"/>
        <v>5.0045375591575098E-2</v>
      </c>
      <c r="Y284" s="38">
        <v>0.16422058</v>
      </c>
      <c r="Z284" s="36">
        <f t="shared" si="51"/>
        <v>0.1643192895915751</v>
      </c>
      <c r="AA284" s="38">
        <v>-1.5239297999999998E-2</v>
      </c>
      <c r="AB284" s="36">
        <f t="shared" si="52"/>
        <v>-1.5140588408424902E-2</v>
      </c>
      <c r="AC284" s="38">
        <v>0.10137892000000001</v>
      </c>
      <c r="AD284" s="36">
        <f t="shared" si="53"/>
        <v>0.10147762959157511</v>
      </c>
      <c r="AE284" s="38">
        <v>-6.8426129999999994E-5</v>
      </c>
      <c r="AF284" s="36">
        <f t="shared" si="54"/>
        <v>3.028346157509685E-5</v>
      </c>
    </row>
    <row r="285" spans="2:32" outlineLevel="1" x14ac:dyDescent="0.25">
      <c r="B285" s="38">
        <v>-5.4900000000000001E-3</v>
      </c>
      <c r="C285" s="37">
        <f t="shared" si="44"/>
        <v>-1.0586219301966793E-4</v>
      </c>
      <c r="E285" s="40">
        <v>44211</v>
      </c>
      <c r="F285" s="38">
        <v>-7.0141910000000002E-2</v>
      </c>
      <c r="G285" s="38">
        <v>-8.0745219999999989E-3</v>
      </c>
      <c r="H285" s="36">
        <f t="shared" si="45"/>
        <v>-7.0036047806980334E-2</v>
      </c>
      <c r="I285" s="36">
        <f t="shared" si="46"/>
        <v>-7.968659806980331E-3</v>
      </c>
      <c r="O285" s="38">
        <v>-9.1704726E-3</v>
      </c>
      <c r="P285" s="36">
        <f t="shared" si="47"/>
        <v>-9.0646104069803321E-3</v>
      </c>
      <c r="Q285" s="38">
        <v>-4.7421455000000003E-3</v>
      </c>
      <c r="R285" s="36">
        <f t="shared" si="47"/>
        <v>-4.6362833069803324E-3</v>
      </c>
      <c r="S285" s="38">
        <v>-8.4787609999999996E-3</v>
      </c>
      <c r="T285" s="36">
        <f t="shared" si="48"/>
        <v>-8.3728988069803317E-3</v>
      </c>
      <c r="U285" s="38">
        <v>-1.5321255000000001E-2</v>
      </c>
      <c r="V285" s="36">
        <f t="shared" si="49"/>
        <v>-1.5215392806980333E-2</v>
      </c>
      <c r="W285" s="38">
        <v>-2.4787605000000001E-2</v>
      </c>
      <c r="X285" s="36">
        <f t="shared" si="50"/>
        <v>-2.4681742806980333E-2</v>
      </c>
      <c r="Y285" s="38">
        <v>0.10698985999999999</v>
      </c>
      <c r="Z285" s="36">
        <f t="shared" si="51"/>
        <v>0.10709572219301966</v>
      </c>
      <c r="AA285" s="38">
        <v>-1.3538300999999999E-2</v>
      </c>
      <c r="AB285" s="36">
        <f t="shared" si="52"/>
        <v>-1.3432438806980331E-2</v>
      </c>
      <c r="AC285" s="38">
        <v>0.17616414999999999</v>
      </c>
      <c r="AD285" s="36">
        <f t="shared" si="53"/>
        <v>0.17627001219301966</v>
      </c>
      <c r="AE285" s="38">
        <v>-2.1265328E-2</v>
      </c>
      <c r="AF285" s="36">
        <f t="shared" si="54"/>
        <v>-2.1159465806980332E-2</v>
      </c>
    </row>
    <row r="286" spans="2:32" outlineLevel="1" x14ac:dyDescent="0.25">
      <c r="B286" s="38">
        <v>-5.2599999999999999E-3</v>
      </c>
      <c r="C286" s="37">
        <f t="shared" si="44"/>
        <v>-1.0141567444255095E-4</v>
      </c>
      <c r="E286" s="40">
        <v>44204</v>
      </c>
      <c r="F286" s="38">
        <v>2.4608492999999999E-2</v>
      </c>
      <c r="G286" s="38">
        <v>3.0423760000000001E-2</v>
      </c>
      <c r="H286" s="36">
        <f t="shared" si="45"/>
        <v>2.470990867444255E-2</v>
      </c>
      <c r="I286" s="36">
        <f t="shared" si="46"/>
        <v>3.0525175674442552E-2</v>
      </c>
      <c r="O286" s="38">
        <v>-9.9590419999999995E-3</v>
      </c>
      <c r="P286" s="36">
        <f t="shared" si="47"/>
        <v>-9.8576263255574486E-3</v>
      </c>
      <c r="Q286" s="38">
        <v>-8.2305073999999999E-3</v>
      </c>
      <c r="R286" s="36">
        <f t="shared" si="47"/>
        <v>-8.1290917255574489E-3</v>
      </c>
      <c r="S286" s="38">
        <v>-3.5157919999999995E-2</v>
      </c>
      <c r="T286" s="36">
        <f t="shared" si="48"/>
        <v>-3.5056504325557444E-2</v>
      </c>
      <c r="U286" s="38">
        <v>-2.4089813000000002E-2</v>
      </c>
      <c r="V286" s="36">
        <f t="shared" si="49"/>
        <v>-2.3988397325557451E-2</v>
      </c>
      <c r="W286" s="38">
        <v>-1.7305017E-3</v>
      </c>
      <c r="X286" s="36">
        <f t="shared" si="50"/>
        <v>-1.629086025557449E-3</v>
      </c>
      <c r="Y286" s="38">
        <v>2.2178173000000002E-2</v>
      </c>
      <c r="Z286" s="36">
        <f t="shared" si="51"/>
        <v>2.2279588674442553E-2</v>
      </c>
      <c r="AA286" s="38">
        <v>-9.2090964000000001E-3</v>
      </c>
      <c r="AB286" s="36">
        <f t="shared" si="52"/>
        <v>-9.1076807255574491E-3</v>
      </c>
      <c r="AC286" s="38">
        <v>3.2372235999999999E-2</v>
      </c>
      <c r="AD286" s="36">
        <f t="shared" si="53"/>
        <v>3.247365167444255E-2</v>
      </c>
      <c r="AE286" s="38">
        <v>1.2363195E-2</v>
      </c>
      <c r="AF286" s="36">
        <f t="shared" si="54"/>
        <v>1.2464610674442551E-2</v>
      </c>
    </row>
    <row r="287" spans="2:32" outlineLevel="1" x14ac:dyDescent="0.25">
      <c r="B287" s="38">
        <v>-5.7499999999999999E-3</v>
      </c>
      <c r="C287" s="37">
        <f t="shared" si="44"/>
        <v>-1.1088990691998646E-4</v>
      </c>
      <c r="E287" s="40">
        <v>44197</v>
      </c>
      <c r="F287" s="38">
        <v>-2.2950828E-2</v>
      </c>
      <c r="G287" s="38">
        <v>7.7023505999999995E-3</v>
      </c>
      <c r="H287" s="36">
        <f t="shared" si="45"/>
        <v>-2.2839938093080013E-2</v>
      </c>
      <c r="I287" s="36">
        <f t="shared" si="46"/>
        <v>7.813240506919986E-3</v>
      </c>
      <c r="O287" s="38">
        <v>-2.178073E-3</v>
      </c>
      <c r="P287" s="36">
        <f t="shared" si="47"/>
        <v>-2.0671830930800135E-3</v>
      </c>
      <c r="Q287" s="38">
        <v>2.3572444999999998E-3</v>
      </c>
      <c r="R287" s="36">
        <f t="shared" si="47"/>
        <v>2.4681344069199863E-3</v>
      </c>
      <c r="S287" s="38">
        <v>8.1057549999999992E-3</v>
      </c>
      <c r="T287" s="36">
        <f t="shared" si="48"/>
        <v>8.2166449069199857E-3</v>
      </c>
      <c r="U287" s="38">
        <v>-1.5671790000000001E-2</v>
      </c>
      <c r="V287" s="36">
        <f t="shared" si="49"/>
        <v>-1.5560900093080015E-2</v>
      </c>
      <c r="W287" s="38">
        <v>-1.2474298E-2</v>
      </c>
      <c r="X287" s="36">
        <f t="shared" si="50"/>
        <v>-1.2363408093080014E-2</v>
      </c>
      <c r="Y287" s="38">
        <v>-1.2115419000000001E-2</v>
      </c>
      <c r="Z287" s="36">
        <f t="shared" si="51"/>
        <v>-1.2004529093080014E-2</v>
      </c>
      <c r="AA287" s="38">
        <v>2.1022200000000001E-2</v>
      </c>
      <c r="AB287" s="36">
        <f t="shared" si="52"/>
        <v>2.1133089906919988E-2</v>
      </c>
      <c r="AC287" s="38">
        <v>-2.8115509999999998E-3</v>
      </c>
      <c r="AD287" s="36">
        <f t="shared" si="53"/>
        <v>-2.7006610930800133E-3</v>
      </c>
      <c r="AE287" s="38">
        <v>-1.9447625E-2</v>
      </c>
      <c r="AF287" s="36">
        <f t="shared" si="54"/>
        <v>-1.9336735093080013E-2</v>
      </c>
    </row>
    <row r="288" spans="2:32" outlineLevel="1" x14ac:dyDescent="0.25">
      <c r="B288" s="38">
        <v>-5.5000000000000005E-3</v>
      </c>
      <c r="C288" s="37">
        <f t="shared" si="44"/>
        <v>-1.0605554279230489E-4</v>
      </c>
      <c r="E288" s="40">
        <v>44190</v>
      </c>
      <c r="F288" s="38">
        <v>1.216805E-2</v>
      </c>
      <c r="G288" s="38">
        <v>2.0205975000000002E-4</v>
      </c>
      <c r="H288" s="36">
        <f t="shared" si="45"/>
        <v>1.2274105542792305E-2</v>
      </c>
      <c r="I288" s="36">
        <f t="shared" si="46"/>
        <v>3.0811529279230491E-4</v>
      </c>
      <c r="O288" s="38">
        <v>1.1288643000000001E-2</v>
      </c>
      <c r="P288" s="36">
        <f t="shared" si="47"/>
        <v>1.1394698542792306E-2</v>
      </c>
      <c r="Q288" s="38">
        <v>3.4756064000000003E-2</v>
      </c>
      <c r="R288" s="36">
        <f t="shared" si="47"/>
        <v>3.4862119542792308E-2</v>
      </c>
      <c r="S288" s="38">
        <v>-4.5212983999999998E-2</v>
      </c>
      <c r="T288" s="36">
        <f t="shared" si="48"/>
        <v>-4.5106928457207693E-2</v>
      </c>
      <c r="U288" s="38">
        <v>-1.0917962000000002E-2</v>
      </c>
      <c r="V288" s="36">
        <f t="shared" si="49"/>
        <v>-1.0811906457207697E-2</v>
      </c>
      <c r="W288" s="38">
        <v>-2.5566815999999997E-3</v>
      </c>
      <c r="X288" s="36">
        <f t="shared" si="50"/>
        <v>-2.4506260572076948E-3</v>
      </c>
      <c r="Y288" s="38">
        <v>-5.9136149999999997E-3</v>
      </c>
      <c r="Z288" s="36">
        <f t="shared" si="51"/>
        <v>-5.8075594572076948E-3</v>
      </c>
      <c r="AA288" s="38">
        <v>-1.3543725E-2</v>
      </c>
      <c r="AB288" s="36">
        <f t="shared" si="52"/>
        <v>-1.3437669457207695E-2</v>
      </c>
      <c r="AC288" s="38">
        <v>1.8141627E-2</v>
      </c>
      <c r="AD288" s="36">
        <f t="shared" si="53"/>
        <v>1.8247682542792305E-2</v>
      </c>
      <c r="AE288" s="38">
        <v>-5.022824E-2</v>
      </c>
      <c r="AF288" s="36">
        <f t="shared" si="54"/>
        <v>-5.0122184457207695E-2</v>
      </c>
    </row>
    <row r="289" spans="2:32" outlineLevel="1" x14ac:dyDescent="0.25">
      <c r="B289" s="38">
        <v>-5.7599999999999995E-3</v>
      </c>
      <c r="C289" s="37">
        <f t="shared" si="44"/>
        <v>-1.1108330628206708E-4</v>
      </c>
      <c r="E289" s="40">
        <v>44183</v>
      </c>
      <c r="F289" s="38">
        <v>3.0639886999999998E-2</v>
      </c>
      <c r="G289" s="38">
        <v>1.4815927E-2</v>
      </c>
      <c r="H289" s="36">
        <f t="shared" si="45"/>
        <v>3.0750970306282065E-2</v>
      </c>
      <c r="I289" s="36">
        <f t="shared" si="46"/>
        <v>1.4927010306282067E-2</v>
      </c>
      <c r="O289" s="38">
        <v>6.5102577000000009E-2</v>
      </c>
      <c r="P289" s="36">
        <f t="shared" si="47"/>
        <v>6.5213660306282076E-2</v>
      </c>
      <c r="Q289" s="38">
        <v>6.4935090000000001E-2</v>
      </c>
      <c r="R289" s="36">
        <f t="shared" si="47"/>
        <v>6.5046173306282068E-2</v>
      </c>
      <c r="S289" s="38">
        <v>4.6055317000000005E-2</v>
      </c>
      <c r="T289" s="36">
        <f t="shared" si="48"/>
        <v>4.6166400306282072E-2</v>
      </c>
      <c r="U289" s="38">
        <v>5.2191140000000004E-2</v>
      </c>
      <c r="V289" s="36">
        <f t="shared" si="49"/>
        <v>5.2302223306282071E-2</v>
      </c>
      <c r="W289" s="38">
        <v>5.6926727000000003E-2</v>
      </c>
      <c r="X289" s="36">
        <f t="shared" si="50"/>
        <v>5.703781030628207E-2</v>
      </c>
      <c r="Y289" s="38">
        <v>-1.8060446000000001E-2</v>
      </c>
      <c r="Z289" s="36">
        <f t="shared" si="51"/>
        <v>-1.7949362693717934E-2</v>
      </c>
      <c r="AA289" s="38">
        <v>6.4610239999999992E-3</v>
      </c>
      <c r="AB289" s="36">
        <f t="shared" si="52"/>
        <v>6.5721073062820663E-3</v>
      </c>
      <c r="AC289" s="38">
        <v>-3.1863093000000002E-2</v>
      </c>
      <c r="AD289" s="36">
        <f t="shared" si="53"/>
        <v>-3.1752009693717935E-2</v>
      </c>
      <c r="AE289" s="38">
        <v>4.6247243999999995E-3</v>
      </c>
      <c r="AF289" s="36">
        <f t="shared" si="54"/>
        <v>4.7358077062820665E-3</v>
      </c>
    </row>
    <row r="290" spans="2:32" outlineLevel="1" x14ac:dyDescent="0.25">
      <c r="B290" s="38">
        <v>-6.3200000000000001E-3</v>
      </c>
      <c r="C290" s="37">
        <f t="shared" si="44"/>
        <v>-1.2191671651839986E-4</v>
      </c>
      <c r="E290" s="40">
        <v>44176</v>
      </c>
      <c r="F290" s="38">
        <v>-1.7639696999999999E-2</v>
      </c>
      <c r="G290" s="38">
        <v>-9.9482536E-3</v>
      </c>
      <c r="H290" s="36">
        <f t="shared" si="45"/>
        <v>-1.7517780283481599E-2</v>
      </c>
      <c r="I290" s="36">
        <f t="shared" si="46"/>
        <v>-9.8263368834816001E-3</v>
      </c>
      <c r="O290" s="38">
        <v>6.6421029999999999E-3</v>
      </c>
      <c r="P290" s="36">
        <f t="shared" si="47"/>
        <v>6.7640197165183998E-3</v>
      </c>
      <c r="Q290" s="38">
        <v>-3.9900183999999998E-2</v>
      </c>
      <c r="R290" s="36">
        <f t="shared" si="47"/>
        <v>-3.9778267283481598E-2</v>
      </c>
      <c r="S290" s="38">
        <v>2.861023E-2</v>
      </c>
      <c r="T290" s="36">
        <f t="shared" si="48"/>
        <v>2.87321467165184E-2</v>
      </c>
      <c r="U290" s="38">
        <v>-5.9239445000000002E-2</v>
      </c>
      <c r="V290" s="36">
        <f t="shared" si="49"/>
        <v>-5.9117528283481602E-2</v>
      </c>
      <c r="W290" s="38">
        <v>-4.6383799999999996E-2</v>
      </c>
      <c r="X290" s="36">
        <f t="shared" si="50"/>
        <v>-4.6261883283481596E-2</v>
      </c>
      <c r="Y290" s="38">
        <v>-3.1549214999999999E-2</v>
      </c>
      <c r="Z290" s="36">
        <f t="shared" si="51"/>
        <v>-3.1427298283481599E-2</v>
      </c>
      <c r="AA290" s="38">
        <v>9.4669340000000005E-2</v>
      </c>
      <c r="AB290" s="36">
        <f t="shared" si="52"/>
        <v>9.4791256716518404E-2</v>
      </c>
      <c r="AC290" s="38">
        <v>-5.3204594000000001E-2</v>
      </c>
      <c r="AD290" s="36">
        <f t="shared" si="53"/>
        <v>-5.3082677283481601E-2</v>
      </c>
      <c r="AE290" s="38">
        <v>-1.5976310000000001E-2</v>
      </c>
      <c r="AF290" s="36">
        <f t="shared" si="54"/>
        <v>-1.5854393283481601E-2</v>
      </c>
    </row>
    <row r="291" spans="2:32" outlineLevel="1" x14ac:dyDescent="0.25">
      <c r="B291" s="38">
        <v>-5.4800000000000005E-3</v>
      </c>
      <c r="C291" s="37">
        <f t="shared" si="44"/>
        <v>-1.0566884515383901E-4</v>
      </c>
      <c r="E291" s="40">
        <v>44169</v>
      </c>
      <c r="F291" s="38">
        <v>4.6900153E-2</v>
      </c>
      <c r="G291" s="38">
        <v>2.0598172999999999E-3</v>
      </c>
      <c r="H291" s="36">
        <f t="shared" si="45"/>
        <v>4.7005821845153839E-2</v>
      </c>
      <c r="I291" s="36">
        <f t="shared" si="46"/>
        <v>2.1654861451538389E-3</v>
      </c>
      <c r="O291" s="38">
        <v>2.4497270000000002E-2</v>
      </c>
      <c r="P291" s="36">
        <f t="shared" si="47"/>
        <v>2.4602938845153841E-2</v>
      </c>
      <c r="Q291" s="38">
        <v>-3.1074881999999999E-3</v>
      </c>
      <c r="R291" s="36">
        <f t="shared" si="47"/>
        <v>-3.0018193548461609E-3</v>
      </c>
      <c r="S291" s="38">
        <v>2.8462171999999997E-2</v>
      </c>
      <c r="T291" s="36">
        <f t="shared" si="48"/>
        <v>2.8567840845153836E-2</v>
      </c>
      <c r="U291" s="38">
        <v>2.5448083999999999E-2</v>
      </c>
      <c r="V291" s="36">
        <f t="shared" si="49"/>
        <v>2.5553752845153838E-2</v>
      </c>
      <c r="W291" s="38">
        <v>2.8627037999999997E-2</v>
      </c>
      <c r="X291" s="36">
        <f t="shared" si="50"/>
        <v>2.8732706845153836E-2</v>
      </c>
      <c r="Y291" s="38">
        <v>1.1169671999999999E-2</v>
      </c>
      <c r="Z291" s="36">
        <f t="shared" si="51"/>
        <v>1.1275340845153838E-2</v>
      </c>
      <c r="AA291" s="38">
        <v>-2.730757E-2</v>
      </c>
      <c r="AB291" s="36">
        <f t="shared" si="52"/>
        <v>-2.7201901154846161E-2</v>
      </c>
      <c r="AC291" s="38">
        <v>-3.0310214000000002E-2</v>
      </c>
      <c r="AD291" s="36">
        <f t="shared" si="53"/>
        <v>-3.0204545154846163E-2</v>
      </c>
      <c r="AE291" s="38">
        <v>3.2794476000000003E-2</v>
      </c>
      <c r="AF291" s="36">
        <f t="shared" si="54"/>
        <v>3.2900144845153842E-2</v>
      </c>
    </row>
    <row r="292" spans="2:32" outlineLevel="1" x14ac:dyDescent="0.25">
      <c r="B292" s="38">
        <v>-5.8499999999999993E-3</v>
      </c>
      <c r="C292" s="37">
        <f t="shared" ref="C292:C339" si="55">(1+B292)^(1/52)-1</f>
        <v>-1.1282398639622659E-4</v>
      </c>
      <c r="E292" s="40">
        <v>44162</v>
      </c>
      <c r="F292" s="38">
        <v>0.10583472000000001</v>
      </c>
      <c r="G292" s="38">
        <v>9.2914104000000001E-3</v>
      </c>
      <c r="H292" s="36">
        <f t="shared" ref="H292:H339" si="56">F292-C292</f>
        <v>0.10594754398639623</v>
      </c>
      <c r="I292" s="36">
        <f t="shared" ref="I292:I339" si="57">G292-C292</f>
        <v>9.4042343863962267E-3</v>
      </c>
      <c r="O292" s="38">
        <v>2.6863337000000001E-2</v>
      </c>
      <c r="P292" s="36">
        <f t="shared" ref="P292:R339" si="58">O292-$C292</f>
        <v>2.6976160986396228E-2</v>
      </c>
      <c r="Q292" s="38">
        <v>-9.2364549999999993E-3</v>
      </c>
      <c r="R292" s="36">
        <f t="shared" si="58"/>
        <v>-9.1236310136037727E-3</v>
      </c>
      <c r="S292" s="38">
        <v>5.428612E-2</v>
      </c>
      <c r="T292" s="36">
        <f t="shared" ref="T292:T339" si="59">S292-$C292</f>
        <v>5.4398943986396227E-2</v>
      </c>
      <c r="U292" s="38">
        <v>-1.4295399E-2</v>
      </c>
      <c r="V292" s="36">
        <f t="shared" ref="V292:V339" si="60">U292-$C292</f>
        <v>-1.4182575013603774E-2</v>
      </c>
      <c r="W292" s="38">
        <v>1.9272326999999999E-2</v>
      </c>
      <c r="X292" s="36">
        <f t="shared" ref="X292:X339" si="61">W292-$C292</f>
        <v>1.9385150986396225E-2</v>
      </c>
      <c r="Y292" s="38">
        <v>3.1820178000000005E-2</v>
      </c>
      <c r="Z292" s="36">
        <f t="shared" ref="Z292:Z339" si="62">Y292-$C292</f>
        <v>3.1933001986396231E-2</v>
      </c>
      <c r="AA292" s="38">
        <v>-2.3190796E-2</v>
      </c>
      <c r="AB292" s="36">
        <f t="shared" ref="AB292:AB339" si="63">AA292-$C292</f>
        <v>-2.3077972013603773E-2</v>
      </c>
      <c r="AC292" s="38">
        <v>3.8652896999999999E-2</v>
      </c>
      <c r="AD292" s="36">
        <f t="shared" ref="AD292:AD339" si="64">AC292-$C292</f>
        <v>3.8765720986396225E-2</v>
      </c>
      <c r="AE292" s="38">
        <v>-9.7212790000000011E-3</v>
      </c>
      <c r="AF292" s="36">
        <f t="shared" ref="AF292:AF339" si="65">AE292-$C292</f>
        <v>-9.6084550136037745E-3</v>
      </c>
    </row>
    <row r="293" spans="2:32" outlineLevel="1" x14ac:dyDescent="0.25">
      <c r="B293" s="38">
        <v>-5.8299999999999992E-3</v>
      </c>
      <c r="C293" s="37">
        <f t="shared" si="55"/>
        <v>-1.124371552370107E-4</v>
      </c>
      <c r="E293" s="40">
        <v>44155</v>
      </c>
      <c r="F293" s="38">
        <v>6.3059926000000002E-2</v>
      </c>
      <c r="G293" s="38">
        <v>1.1501074E-2</v>
      </c>
      <c r="H293" s="36">
        <f t="shared" si="56"/>
        <v>6.3172363155237013E-2</v>
      </c>
      <c r="I293" s="36">
        <f t="shared" si="57"/>
        <v>1.1613511155237011E-2</v>
      </c>
      <c r="O293" s="38">
        <v>5.4700255000000003E-2</v>
      </c>
      <c r="P293" s="36">
        <f t="shared" si="58"/>
        <v>5.4812692155237014E-2</v>
      </c>
      <c r="Q293" s="38">
        <v>2.8499007E-2</v>
      </c>
      <c r="R293" s="36">
        <f t="shared" si="58"/>
        <v>2.8611444155237011E-2</v>
      </c>
      <c r="S293" s="38">
        <v>9.7698099999999996E-2</v>
      </c>
      <c r="T293" s="36">
        <f t="shared" si="59"/>
        <v>9.7810537155237007E-2</v>
      </c>
      <c r="U293" s="38">
        <v>4.8204779999999996E-2</v>
      </c>
      <c r="V293" s="36">
        <f t="shared" si="60"/>
        <v>4.8317217155237006E-2</v>
      </c>
      <c r="W293" s="38">
        <v>5.7523847000000003E-2</v>
      </c>
      <c r="X293" s="36">
        <f t="shared" si="61"/>
        <v>5.7636284155237014E-2</v>
      </c>
      <c r="Y293" s="38">
        <v>2.0483851000000001E-2</v>
      </c>
      <c r="Z293" s="36">
        <f t="shared" si="62"/>
        <v>2.0596288155237012E-2</v>
      </c>
      <c r="AA293" s="38">
        <v>1.0001421E-2</v>
      </c>
      <c r="AB293" s="36">
        <f t="shared" si="63"/>
        <v>1.0113858155237011E-2</v>
      </c>
      <c r="AC293" s="38">
        <v>4.1916847E-2</v>
      </c>
      <c r="AD293" s="36">
        <f t="shared" si="64"/>
        <v>4.2029284155237011E-2</v>
      </c>
      <c r="AE293" s="38">
        <v>2.6784777999999999E-2</v>
      </c>
      <c r="AF293" s="36">
        <f t="shared" si="65"/>
        <v>2.6897215155237009E-2</v>
      </c>
    </row>
    <row r="294" spans="2:32" outlineLevel="1" x14ac:dyDescent="0.25">
      <c r="B294" s="38">
        <v>-5.5300000000000002E-3</v>
      </c>
      <c r="C294" s="37">
        <f t="shared" si="55"/>
        <v>-1.0663560355117507E-4</v>
      </c>
      <c r="E294" s="40">
        <v>44148</v>
      </c>
      <c r="F294" s="38">
        <v>0.27785122000000001</v>
      </c>
      <c r="G294" s="38">
        <v>5.1255464999999993E-2</v>
      </c>
      <c r="H294" s="36">
        <f t="shared" si="56"/>
        <v>0.27795785560355118</v>
      </c>
      <c r="I294" s="36">
        <f t="shared" si="57"/>
        <v>5.1362100603551168E-2</v>
      </c>
      <c r="O294" s="38">
        <v>8.6863759999999998E-2</v>
      </c>
      <c r="P294" s="36">
        <f t="shared" si="58"/>
        <v>8.6970395603551173E-2</v>
      </c>
      <c r="Q294" s="38">
        <v>9.8052860000000006E-2</v>
      </c>
      <c r="R294" s="36">
        <f t="shared" si="58"/>
        <v>9.8159495603551181E-2</v>
      </c>
      <c r="S294" s="38">
        <v>0.14257944</v>
      </c>
      <c r="T294" s="36">
        <f t="shared" si="59"/>
        <v>0.14268607560355118</v>
      </c>
      <c r="U294" s="38">
        <v>0.11261392000000001</v>
      </c>
      <c r="V294" s="36">
        <f t="shared" si="60"/>
        <v>0.11272055560355118</v>
      </c>
      <c r="W294" s="38">
        <v>8.9776880000000003E-2</v>
      </c>
      <c r="X294" s="36">
        <f t="shared" si="61"/>
        <v>8.9883515603551178E-2</v>
      </c>
      <c r="Y294" s="38">
        <v>0.10133195</v>
      </c>
      <c r="Z294" s="36">
        <f t="shared" si="62"/>
        <v>0.10143858560355118</v>
      </c>
      <c r="AA294" s="38">
        <v>3.3760428000000002E-2</v>
      </c>
      <c r="AB294" s="36">
        <f t="shared" si="63"/>
        <v>3.3867063603551177E-2</v>
      </c>
      <c r="AC294" s="38">
        <v>0.10434794</v>
      </c>
      <c r="AD294" s="36">
        <f t="shared" si="64"/>
        <v>0.10445457560355118</v>
      </c>
      <c r="AE294" s="38">
        <v>0.116079445</v>
      </c>
      <c r="AF294" s="36">
        <f t="shared" si="65"/>
        <v>0.11618608060355118</v>
      </c>
    </row>
    <row r="295" spans="2:32" outlineLevel="1" x14ac:dyDescent="0.25">
      <c r="B295" s="38">
        <v>-6.0999999999999995E-3</v>
      </c>
      <c r="C295" s="37">
        <f t="shared" si="55"/>
        <v>-1.1766001998181341E-4</v>
      </c>
      <c r="E295" s="40">
        <v>44141</v>
      </c>
      <c r="F295" s="38">
        <v>6.8454503999999999E-2</v>
      </c>
      <c r="G295" s="38">
        <v>7.0218562999999998E-2</v>
      </c>
      <c r="H295" s="36">
        <f t="shared" si="56"/>
        <v>6.8572164019981813E-2</v>
      </c>
      <c r="I295" s="36">
        <f t="shared" si="57"/>
        <v>7.0336223019981811E-2</v>
      </c>
      <c r="O295" s="38">
        <v>6.5831780000000006E-2</v>
      </c>
      <c r="P295" s="36">
        <f t="shared" si="58"/>
        <v>6.594944001998182E-2</v>
      </c>
      <c r="Q295" s="38">
        <v>7.6347230000000002E-2</v>
      </c>
      <c r="R295" s="36">
        <f t="shared" si="58"/>
        <v>7.6464890019981815E-2</v>
      </c>
      <c r="S295" s="38">
        <v>4.7211885000000002E-2</v>
      </c>
      <c r="T295" s="36">
        <f t="shared" si="59"/>
        <v>4.7329545019981815E-2</v>
      </c>
      <c r="U295" s="38">
        <v>8.3503720000000003E-2</v>
      </c>
      <c r="V295" s="36">
        <f t="shared" si="60"/>
        <v>8.3621380019981817E-2</v>
      </c>
      <c r="W295" s="38">
        <v>8.5022449999999999E-2</v>
      </c>
      <c r="X295" s="36">
        <f t="shared" si="61"/>
        <v>8.5140110019981813E-2</v>
      </c>
      <c r="Y295" s="38">
        <v>-1.1418104E-2</v>
      </c>
      <c r="Z295" s="36">
        <f t="shared" si="62"/>
        <v>-1.1300443980018187E-2</v>
      </c>
      <c r="AA295" s="38">
        <v>2.4213909999999998E-2</v>
      </c>
      <c r="AB295" s="36">
        <f t="shared" si="63"/>
        <v>2.4331570019981812E-2</v>
      </c>
      <c r="AC295" s="38">
        <v>6.4490557000000004E-2</v>
      </c>
      <c r="AD295" s="36">
        <f t="shared" si="64"/>
        <v>6.4608217019981817E-2</v>
      </c>
      <c r="AE295" s="38">
        <v>5.5681229999999998E-2</v>
      </c>
      <c r="AF295" s="36">
        <f t="shared" si="65"/>
        <v>5.5798890019981812E-2</v>
      </c>
    </row>
    <row r="296" spans="2:32" outlineLevel="1" x14ac:dyDescent="0.25">
      <c r="B296" s="38">
        <v>-6.1700000000000001E-3</v>
      </c>
      <c r="C296" s="37">
        <f t="shared" si="55"/>
        <v>-1.1901432317862337E-4</v>
      </c>
      <c r="E296" s="40">
        <v>44134</v>
      </c>
      <c r="F296" s="38">
        <v>-0.14190559999999999</v>
      </c>
      <c r="G296" s="38">
        <v>-5.5558679999999999E-2</v>
      </c>
      <c r="H296" s="36">
        <f t="shared" si="56"/>
        <v>-0.14178658567682137</v>
      </c>
      <c r="I296" s="36">
        <f t="shared" si="57"/>
        <v>-5.5439665676821376E-2</v>
      </c>
      <c r="O296" s="38">
        <v>-5.027032E-2</v>
      </c>
      <c r="P296" s="36">
        <f t="shared" si="58"/>
        <v>-5.0151305676821377E-2</v>
      </c>
      <c r="Q296" s="38">
        <v>-9.1774349999999991E-2</v>
      </c>
      <c r="R296" s="36">
        <f t="shared" si="58"/>
        <v>-9.1655335676821367E-2</v>
      </c>
      <c r="S296" s="38">
        <v>-3.8605391999999995E-2</v>
      </c>
      <c r="T296" s="36">
        <f t="shared" si="59"/>
        <v>-3.8486377676821372E-2</v>
      </c>
      <c r="U296" s="38">
        <v>-8.2121080000000013E-2</v>
      </c>
      <c r="V296" s="36">
        <f t="shared" si="60"/>
        <v>-8.200206567682139E-2</v>
      </c>
      <c r="W296" s="38">
        <v>-8.2644640000000005E-2</v>
      </c>
      <c r="X296" s="36">
        <f t="shared" si="61"/>
        <v>-8.2525625676821382E-2</v>
      </c>
      <c r="Y296" s="38">
        <v>-3.7488460000000001E-2</v>
      </c>
      <c r="Z296" s="36">
        <f t="shared" si="62"/>
        <v>-3.7369445676821378E-2</v>
      </c>
      <c r="AA296" s="38">
        <v>-5.9203505999999998E-3</v>
      </c>
      <c r="AB296" s="36">
        <f t="shared" si="63"/>
        <v>-5.8013362768213764E-3</v>
      </c>
      <c r="AC296" s="38">
        <v>-4.7398148000000001E-2</v>
      </c>
      <c r="AD296" s="36">
        <f t="shared" si="64"/>
        <v>-4.7279133676821378E-2</v>
      </c>
      <c r="AE296" s="38">
        <v>-3.8344204E-2</v>
      </c>
      <c r="AF296" s="36">
        <f t="shared" si="65"/>
        <v>-3.8225189676821376E-2</v>
      </c>
    </row>
    <row r="297" spans="2:32" outlineLevel="1" x14ac:dyDescent="0.25">
      <c r="B297" s="38">
        <v>-5.7299999999999999E-3</v>
      </c>
      <c r="C297" s="37">
        <f t="shared" si="55"/>
        <v>-1.1050311391913592E-4</v>
      </c>
      <c r="E297" s="40">
        <v>44127</v>
      </c>
      <c r="F297" s="38">
        <v>3.7921666999999999E-2</v>
      </c>
      <c r="G297" s="38">
        <v>-1.3551772E-2</v>
      </c>
      <c r="H297" s="36">
        <f t="shared" si="56"/>
        <v>3.8032170113919135E-2</v>
      </c>
      <c r="I297" s="36">
        <f t="shared" si="57"/>
        <v>-1.3441268886080864E-2</v>
      </c>
      <c r="O297" s="38">
        <v>2.9493689999999999E-2</v>
      </c>
      <c r="P297" s="36">
        <f t="shared" si="58"/>
        <v>2.9604193113919135E-2</v>
      </c>
      <c r="Q297" s="38">
        <v>0</v>
      </c>
      <c r="R297" s="36">
        <f t="shared" si="58"/>
        <v>1.1050311391913592E-4</v>
      </c>
      <c r="S297" s="38">
        <v>3.8557886999999999E-2</v>
      </c>
      <c r="T297" s="36">
        <f t="shared" si="59"/>
        <v>3.8668390113919135E-2</v>
      </c>
      <c r="U297" s="38">
        <v>1.2832761E-2</v>
      </c>
      <c r="V297" s="36">
        <f t="shared" si="60"/>
        <v>1.2943264113919136E-2</v>
      </c>
      <c r="W297" s="38">
        <v>-2.0242930000000003E-2</v>
      </c>
      <c r="X297" s="36">
        <f t="shared" si="61"/>
        <v>-2.0132426886080867E-2</v>
      </c>
      <c r="Y297" s="38">
        <v>5.3503036000000004E-2</v>
      </c>
      <c r="Z297" s="36">
        <f t="shared" si="62"/>
        <v>5.361353911391914E-2</v>
      </c>
      <c r="AA297" s="38">
        <v>1.6715884E-2</v>
      </c>
      <c r="AB297" s="36">
        <f t="shared" si="63"/>
        <v>1.6826387113919136E-2</v>
      </c>
      <c r="AC297" s="38">
        <v>9.0301510000000001E-2</v>
      </c>
      <c r="AD297" s="36">
        <f t="shared" si="64"/>
        <v>9.0412013113919137E-2</v>
      </c>
      <c r="AE297" s="38">
        <v>1.4996766999999999E-2</v>
      </c>
      <c r="AF297" s="36">
        <f t="shared" si="65"/>
        <v>1.5107270113919135E-2</v>
      </c>
    </row>
    <row r="298" spans="2:32" outlineLevel="1" x14ac:dyDescent="0.25">
      <c r="B298" s="38">
        <v>-6.2900000000000005E-3</v>
      </c>
      <c r="C298" s="37">
        <f t="shared" si="55"/>
        <v>-1.2133620347576368E-4</v>
      </c>
      <c r="E298" s="40">
        <v>44120</v>
      </c>
      <c r="F298" s="38">
        <v>4.7629476000000004E-2</v>
      </c>
      <c r="G298" s="38">
        <v>-7.749438E-3</v>
      </c>
      <c r="H298" s="36">
        <f t="shared" si="56"/>
        <v>4.7750812203475768E-2</v>
      </c>
      <c r="I298" s="36">
        <f t="shared" si="57"/>
        <v>-7.6281017965242363E-3</v>
      </c>
      <c r="O298" s="38">
        <v>2.3737192000000001E-2</v>
      </c>
      <c r="P298" s="36">
        <f t="shared" si="58"/>
        <v>2.3858528203475764E-2</v>
      </c>
      <c r="Q298" s="38">
        <v>2.7267933E-3</v>
      </c>
      <c r="R298" s="36">
        <f t="shared" si="58"/>
        <v>2.8481295034757637E-3</v>
      </c>
      <c r="S298" s="38">
        <v>-1.5066266E-2</v>
      </c>
      <c r="T298" s="36">
        <f t="shared" si="59"/>
        <v>-1.4944929796524236E-2</v>
      </c>
      <c r="U298" s="38">
        <v>-2.4420380000000002E-2</v>
      </c>
      <c r="V298" s="36">
        <f t="shared" si="60"/>
        <v>-2.4299043796524238E-2</v>
      </c>
      <c r="W298" s="38">
        <v>2.5321722000000001E-2</v>
      </c>
      <c r="X298" s="36">
        <f t="shared" si="61"/>
        <v>2.5443058203475765E-2</v>
      </c>
      <c r="Y298" s="38">
        <v>6.6461325000000002E-2</v>
      </c>
      <c r="Z298" s="36">
        <f t="shared" si="62"/>
        <v>6.6582661203475765E-2</v>
      </c>
      <c r="AA298" s="38">
        <v>-9.6545815000000004E-3</v>
      </c>
      <c r="AB298" s="36">
        <f t="shared" si="63"/>
        <v>-9.5332452965242367E-3</v>
      </c>
      <c r="AC298" s="38">
        <v>4.8498630000000001E-2</v>
      </c>
      <c r="AD298" s="36">
        <f t="shared" si="64"/>
        <v>4.8619966203475765E-2</v>
      </c>
      <c r="AE298" s="38">
        <v>-9.5985529999999993E-3</v>
      </c>
      <c r="AF298" s="36">
        <f t="shared" si="65"/>
        <v>-9.4772167965242356E-3</v>
      </c>
    </row>
    <row r="299" spans="2:32" outlineLevel="1" x14ac:dyDescent="0.25">
      <c r="B299" s="38">
        <v>-5.4300000000000008E-3</v>
      </c>
      <c r="C299" s="37">
        <f t="shared" si="55"/>
        <v>-1.0470213442503873E-4</v>
      </c>
      <c r="E299" s="40">
        <v>44113</v>
      </c>
      <c r="F299" s="38">
        <v>7.5035453000000002E-2</v>
      </c>
      <c r="G299" s="38">
        <v>2.1119952000000001E-2</v>
      </c>
      <c r="H299" s="36">
        <f t="shared" si="56"/>
        <v>7.5140155134425041E-2</v>
      </c>
      <c r="I299" s="36">
        <f t="shared" si="57"/>
        <v>2.122465413442504E-2</v>
      </c>
      <c r="O299" s="38">
        <v>1.7584443000000002E-2</v>
      </c>
      <c r="P299" s="36">
        <f t="shared" si="58"/>
        <v>1.768914513442504E-2</v>
      </c>
      <c r="Q299" s="38">
        <v>2.2299646999999999E-2</v>
      </c>
      <c r="R299" s="36">
        <f t="shared" si="58"/>
        <v>2.2404349134425038E-2</v>
      </c>
      <c r="S299" s="38">
        <v>1.2609005E-2</v>
      </c>
      <c r="T299" s="36">
        <f t="shared" si="59"/>
        <v>1.2713707134425038E-2</v>
      </c>
      <c r="U299" s="38">
        <v>3.7523985000000003E-2</v>
      </c>
      <c r="V299" s="36">
        <f t="shared" si="60"/>
        <v>3.7628687134425041E-2</v>
      </c>
      <c r="W299" s="38">
        <v>3.0588270000000001E-2</v>
      </c>
      <c r="X299" s="36">
        <f t="shared" si="61"/>
        <v>3.0692972134425039E-2</v>
      </c>
      <c r="Y299" s="38">
        <v>4.3343185999999999E-2</v>
      </c>
      <c r="Z299" s="36">
        <f t="shared" si="62"/>
        <v>4.3447888134425038E-2</v>
      </c>
      <c r="AA299" s="38">
        <v>-3.7503241999999997E-4</v>
      </c>
      <c r="AB299" s="36">
        <f t="shared" si="63"/>
        <v>-2.7033028557496124E-4</v>
      </c>
      <c r="AC299" s="38">
        <v>4.6874285000000002E-2</v>
      </c>
      <c r="AD299" s="36">
        <f t="shared" si="64"/>
        <v>4.697898713442504E-2</v>
      </c>
      <c r="AE299" s="38">
        <v>2.2377372000000003E-2</v>
      </c>
      <c r="AF299" s="36">
        <f t="shared" si="65"/>
        <v>2.2482074134425042E-2</v>
      </c>
    </row>
    <row r="300" spans="2:32" outlineLevel="1" x14ac:dyDescent="0.25">
      <c r="B300" s="38">
        <v>-5.3900000000000007E-3</v>
      </c>
      <c r="C300" s="37">
        <f t="shared" si="55"/>
        <v>-1.0392880015996919E-4</v>
      </c>
      <c r="E300" s="40">
        <v>44106</v>
      </c>
      <c r="F300" s="38">
        <v>-1.7389296999999998E-2</v>
      </c>
      <c r="G300" s="38">
        <v>2.0196318999999997E-2</v>
      </c>
      <c r="H300" s="36">
        <f t="shared" si="56"/>
        <v>-1.7285368199840029E-2</v>
      </c>
      <c r="I300" s="36">
        <f t="shared" si="57"/>
        <v>2.0300247800159966E-2</v>
      </c>
      <c r="O300" s="38">
        <v>1.1730194000000001E-2</v>
      </c>
      <c r="P300" s="36">
        <f t="shared" si="58"/>
        <v>1.183412280015997E-2</v>
      </c>
      <c r="Q300" s="38">
        <v>-4.1638016999999998E-3</v>
      </c>
      <c r="R300" s="36">
        <f t="shared" si="58"/>
        <v>-4.0598728998400306E-3</v>
      </c>
      <c r="S300" s="38">
        <v>1.8874406999999999E-2</v>
      </c>
      <c r="T300" s="36">
        <f t="shared" si="59"/>
        <v>1.8978335800159968E-2</v>
      </c>
      <c r="U300" s="38">
        <v>5.5875420000000002E-2</v>
      </c>
      <c r="V300" s="36">
        <f t="shared" si="60"/>
        <v>5.5979348800159971E-2</v>
      </c>
      <c r="W300" s="38">
        <v>5.8051350000000002E-2</v>
      </c>
      <c r="X300" s="36">
        <f t="shared" si="61"/>
        <v>5.8155278800159971E-2</v>
      </c>
      <c r="Y300" s="38">
        <v>4.9743532999999999E-2</v>
      </c>
      <c r="Z300" s="36">
        <f t="shared" si="62"/>
        <v>4.9847461800159969E-2</v>
      </c>
      <c r="AA300" s="38">
        <v>-2.527213E-2</v>
      </c>
      <c r="AB300" s="36">
        <f t="shared" si="63"/>
        <v>-2.5168201199840031E-2</v>
      </c>
      <c r="AC300" s="38">
        <v>4.1782139999999995E-2</v>
      </c>
      <c r="AD300" s="36">
        <f t="shared" si="64"/>
        <v>4.1886068800159965E-2</v>
      </c>
      <c r="AE300" s="38">
        <v>3.5738944999999999E-3</v>
      </c>
      <c r="AF300" s="36">
        <f t="shared" si="65"/>
        <v>3.6778233001599691E-3</v>
      </c>
    </row>
    <row r="301" spans="2:32" outlineLevel="1" x14ac:dyDescent="0.25">
      <c r="B301" s="38">
        <v>-5.2700000000000004E-3</v>
      </c>
      <c r="C301" s="37">
        <f t="shared" si="55"/>
        <v>-1.0160898036892796E-4</v>
      </c>
      <c r="E301" s="40">
        <v>44099</v>
      </c>
      <c r="F301" s="38">
        <v>-4.727191E-2</v>
      </c>
      <c r="G301" s="38">
        <v>-3.5983503E-2</v>
      </c>
      <c r="H301" s="36">
        <f t="shared" si="56"/>
        <v>-4.7170301019631072E-2</v>
      </c>
      <c r="I301" s="36">
        <f t="shared" si="57"/>
        <v>-3.5881894019631072E-2</v>
      </c>
      <c r="O301" s="38">
        <v>-1.4260888000000001E-2</v>
      </c>
      <c r="P301" s="36">
        <f t="shared" si="58"/>
        <v>-1.4159279019631073E-2</v>
      </c>
      <c r="Q301" s="38">
        <v>-4.5695304999999999E-2</v>
      </c>
      <c r="R301" s="36">
        <f t="shared" si="58"/>
        <v>-4.5593696019631071E-2</v>
      </c>
      <c r="S301" s="38">
        <v>-4.5764684999999999E-2</v>
      </c>
      <c r="T301" s="36">
        <f t="shared" si="59"/>
        <v>-4.5663076019631071E-2</v>
      </c>
      <c r="U301" s="38">
        <v>-7.3423266000000001E-2</v>
      </c>
      <c r="V301" s="36">
        <f t="shared" si="60"/>
        <v>-7.3321657019631073E-2</v>
      </c>
      <c r="W301" s="38">
        <v>-2.8474032999999999E-2</v>
      </c>
      <c r="X301" s="36">
        <f t="shared" si="61"/>
        <v>-2.8372424019631071E-2</v>
      </c>
      <c r="Y301" s="38">
        <v>-8.0908830000000001E-2</v>
      </c>
      <c r="Z301" s="36">
        <f t="shared" si="62"/>
        <v>-8.0807221019631073E-2</v>
      </c>
      <c r="AA301" s="38">
        <v>7.0331096999999999E-3</v>
      </c>
      <c r="AB301" s="36">
        <f t="shared" si="63"/>
        <v>7.1347186803689278E-3</v>
      </c>
      <c r="AC301" s="38">
        <v>-6.0269413000000001E-2</v>
      </c>
      <c r="AD301" s="36">
        <f t="shared" si="64"/>
        <v>-6.0167804019631073E-2</v>
      </c>
      <c r="AE301" s="38">
        <v>-4.5394480000000001E-2</v>
      </c>
      <c r="AF301" s="36">
        <f t="shared" si="65"/>
        <v>-4.5292871019631073E-2</v>
      </c>
    </row>
    <row r="302" spans="2:32" outlineLevel="1" x14ac:dyDescent="0.25">
      <c r="B302" s="38">
        <v>-4.8999999999999998E-3</v>
      </c>
      <c r="C302" s="37">
        <f t="shared" si="55"/>
        <v>-9.445793012685666E-5</v>
      </c>
      <c r="E302" s="40">
        <v>44092</v>
      </c>
      <c r="F302" s="38">
        <v>-7.4611545000000001E-2</v>
      </c>
      <c r="G302" s="38">
        <v>2.2284984999999999E-3</v>
      </c>
      <c r="H302" s="36">
        <f t="shared" si="56"/>
        <v>-7.4517087069873145E-2</v>
      </c>
      <c r="I302" s="36">
        <f t="shared" si="57"/>
        <v>2.3229564301268566E-3</v>
      </c>
      <c r="O302" s="38">
        <v>4.680264E-2</v>
      </c>
      <c r="P302" s="36">
        <f t="shared" si="58"/>
        <v>4.6897097930126856E-2</v>
      </c>
      <c r="Q302" s="38">
        <v>-5.0911484E-2</v>
      </c>
      <c r="R302" s="36">
        <f t="shared" si="58"/>
        <v>-5.0817026069873143E-2</v>
      </c>
      <c r="S302" s="38">
        <v>-5.6032776999999999E-2</v>
      </c>
      <c r="T302" s="36">
        <f t="shared" si="59"/>
        <v>-5.5938319069873142E-2</v>
      </c>
      <c r="U302" s="38">
        <v>-8.8632699999999995E-3</v>
      </c>
      <c r="V302" s="36">
        <f t="shared" si="60"/>
        <v>-8.7688120698731428E-3</v>
      </c>
      <c r="W302" s="38">
        <v>-2.288103E-2</v>
      </c>
      <c r="X302" s="36">
        <f t="shared" si="61"/>
        <v>-2.2786572069873143E-2</v>
      </c>
      <c r="Y302" s="38">
        <v>3.0331730000000001E-2</v>
      </c>
      <c r="Z302" s="36">
        <f t="shared" si="62"/>
        <v>3.0426187930126858E-2</v>
      </c>
      <c r="AA302" s="38">
        <v>2.7454494999999999E-2</v>
      </c>
      <c r="AB302" s="36">
        <f t="shared" si="63"/>
        <v>2.7548952930126856E-2</v>
      </c>
      <c r="AC302" s="38">
        <v>3.1614542000000002E-2</v>
      </c>
      <c r="AD302" s="36">
        <f t="shared" si="64"/>
        <v>3.1708999930126859E-2</v>
      </c>
      <c r="AE302" s="38">
        <v>-2.0396709999999997E-4</v>
      </c>
      <c r="AF302" s="36">
        <f t="shared" si="65"/>
        <v>-1.0950916987314331E-4</v>
      </c>
    </row>
    <row r="303" spans="2:32" outlineLevel="1" x14ac:dyDescent="0.25">
      <c r="B303" s="38">
        <v>-4.7499999999999999E-3</v>
      </c>
      <c r="C303" s="37">
        <f t="shared" si="55"/>
        <v>-9.1559598581647528E-5</v>
      </c>
      <c r="E303" s="40">
        <v>44085</v>
      </c>
      <c r="F303" s="38">
        <v>4.0888786000000001E-4</v>
      </c>
      <c r="G303" s="38">
        <v>1.6660689999999999E-2</v>
      </c>
      <c r="H303" s="36">
        <f t="shared" si="56"/>
        <v>5.0044745858164748E-4</v>
      </c>
      <c r="I303" s="36">
        <f t="shared" si="57"/>
        <v>1.6752249598581646E-2</v>
      </c>
      <c r="O303" s="38">
        <v>5.1213979999999999E-2</v>
      </c>
      <c r="P303" s="36">
        <f t="shared" si="58"/>
        <v>5.1305539598581647E-2</v>
      </c>
      <c r="Q303" s="38">
        <v>5.2248716000000001E-2</v>
      </c>
      <c r="R303" s="36">
        <f t="shared" si="58"/>
        <v>5.2340275598581648E-2</v>
      </c>
      <c r="S303" s="38">
        <v>-2.2476435000000003E-2</v>
      </c>
      <c r="T303" s="36">
        <f t="shared" si="59"/>
        <v>-2.2384875401418355E-2</v>
      </c>
      <c r="U303" s="38">
        <v>4.7735333000000005E-2</v>
      </c>
      <c r="V303" s="36">
        <f t="shared" si="60"/>
        <v>4.7826892598581652E-2</v>
      </c>
      <c r="W303" s="38">
        <v>7.0492029999999997E-2</v>
      </c>
      <c r="X303" s="36">
        <f t="shared" si="61"/>
        <v>7.0583589598581645E-2</v>
      </c>
      <c r="Y303" s="38">
        <v>1.1620163999999999E-2</v>
      </c>
      <c r="Z303" s="36">
        <f t="shared" si="62"/>
        <v>1.1711723598581646E-2</v>
      </c>
      <c r="AA303" s="38">
        <v>-1.4410019000000001E-2</v>
      </c>
      <c r="AB303" s="36">
        <f t="shared" si="63"/>
        <v>-1.4318459401418354E-2</v>
      </c>
      <c r="AC303" s="38">
        <v>1.2458324E-2</v>
      </c>
      <c r="AD303" s="36">
        <f t="shared" si="64"/>
        <v>1.2549883598581647E-2</v>
      </c>
      <c r="AE303" s="38">
        <v>-3.8606763000000002E-2</v>
      </c>
      <c r="AF303" s="36">
        <f t="shared" si="65"/>
        <v>-3.8515203401418355E-2</v>
      </c>
    </row>
    <row r="304" spans="2:32" outlineLevel="1" x14ac:dyDescent="0.25">
      <c r="B304" s="38">
        <v>-4.7599999999999995E-3</v>
      </c>
      <c r="C304" s="37">
        <f t="shared" si="55"/>
        <v>-9.1752807355405253E-5</v>
      </c>
      <c r="E304" s="40">
        <v>44078</v>
      </c>
      <c r="F304" s="38">
        <v>1.2632012E-2</v>
      </c>
      <c r="G304" s="38">
        <v>-1.8627941999999998E-2</v>
      </c>
      <c r="H304" s="36">
        <f t="shared" si="56"/>
        <v>1.2723764807355405E-2</v>
      </c>
      <c r="I304" s="36">
        <f t="shared" si="57"/>
        <v>-1.8536189192644593E-2</v>
      </c>
      <c r="O304" s="38">
        <v>1.6993284000000001E-3</v>
      </c>
      <c r="P304" s="36">
        <f t="shared" si="58"/>
        <v>1.7910812073554053E-3</v>
      </c>
      <c r="Q304" s="38">
        <v>-6.5702199999999999E-3</v>
      </c>
      <c r="R304" s="36">
        <f t="shared" si="58"/>
        <v>-6.4784671926445946E-3</v>
      </c>
      <c r="S304" s="38">
        <v>-2.6530920999999999E-2</v>
      </c>
      <c r="T304" s="36">
        <f t="shared" si="59"/>
        <v>-2.6439168192644594E-2</v>
      </c>
      <c r="U304" s="38">
        <v>2.9693006999999997E-2</v>
      </c>
      <c r="V304" s="36">
        <f t="shared" si="60"/>
        <v>2.9784759807355402E-2</v>
      </c>
      <c r="W304" s="38">
        <v>1.3992548E-2</v>
      </c>
      <c r="X304" s="36">
        <f t="shared" si="61"/>
        <v>1.4084300807355406E-2</v>
      </c>
      <c r="Y304" s="38">
        <v>2.7060509999999997E-3</v>
      </c>
      <c r="Z304" s="36">
        <f t="shared" si="62"/>
        <v>2.7978038073554049E-3</v>
      </c>
      <c r="AA304" s="38">
        <v>-2.5717615999999999E-3</v>
      </c>
      <c r="AB304" s="36">
        <f t="shared" si="63"/>
        <v>-2.4800087926445946E-3</v>
      </c>
      <c r="AC304" s="38">
        <v>7.8468319999999998E-3</v>
      </c>
      <c r="AD304" s="36">
        <f t="shared" si="64"/>
        <v>7.938584807355405E-3</v>
      </c>
      <c r="AE304" s="38">
        <v>1.5236378E-2</v>
      </c>
      <c r="AF304" s="36">
        <f t="shared" si="65"/>
        <v>1.5328130807355405E-2</v>
      </c>
    </row>
    <row r="305" spans="2:32" outlineLevel="1" x14ac:dyDescent="0.25">
      <c r="B305" s="38">
        <v>-4.1599999999999996E-3</v>
      </c>
      <c r="C305" s="37">
        <f t="shared" si="55"/>
        <v>-8.0163649650244473E-5</v>
      </c>
      <c r="E305" s="40">
        <v>44071</v>
      </c>
      <c r="F305" s="38">
        <v>4.8187613000000004E-2</v>
      </c>
      <c r="G305" s="38">
        <v>1.0161877E-2</v>
      </c>
      <c r="H305" s="36">
        <f t="shared" si="56"/>
        <v>4.8267776649650249E-2</v>
      </c>
      <c r="I305" s="36">
        <f t="shared" si="57"/>
        <v>1.0242040649650244E-2</v>
      </c>
      <c r="O305" s="38">
        <v>9.4350575999999995E-3</v>
      </c>
      <c r="P305" s="36">
        <f t="shared" si="58"/>
        <v>9.515221249650244E-3</v>
      </c>
      <c r="Q305" s="38">
        <v>3.2564401999999999E-2</v>
      </c>
      <c r="R305" s="36">
        <f t="shared" si="58"/>
        <v>3.2644565649650244E-2</v>
      </c>
      <c r="S305" s="38">
        <v>2.8208733E-2</v>
      </c>
      <c r="T305" s="36">
        <f t="shared" si="59"/>
        <v>2.8288896649650244E-2</v>
      </c>
      <c r="U305" s="38">
        <v>4.9287080000000004E-2</v>
      </c>
      <c r="V305" s="36">
        <f t="shared" si="60"/>
        <v>4.9367243649650248E-2</v>
      </c>
      <c r="W305" s="38">
        <v>4.2421340000000002E-2</v>
      </c>
      <c r="X305" s="36">
        <f t="shared" si="61"/>
        <v>4.2501503649650246E-2</v>
      </c>
      <c r="Y305" s="38">
        <v>3.1663655999999998E-2</v>
      </c>
      <c r="Z305" s="36">
        <f t="shared" si="62"/>
        <v>3.1743819649650243E-2</v>
      </c>
      <c r="AA305" s="38">
        <v>-7.505655E-3</v>
      </c>
      <c r="AB305" s="36">
        <f t="shared" si="63"/>
        <v>-7.4254913503497555E-3</v>
      </c>
      <c r="AC305" s="38">
        <v>4.0651799999999995E-2</v>
      </c>
      <c r="AD305" s="36">
        <f t="shared" si="64"/>
        <v>4.0731963649650239E-2</v>
      </c>
      <c r="AE305" s="38">
        <v>1.9269704999999998E-2</v>
      </c>
      <c r="AF305" s="36">
        <f t="shared" si="65"/>
        <v>1.9349868649650243E-2</v>
      </c>
    </row>
    <row r="306" spans="2:32" outlineLevel="1" x14ac:dyDescent="0.25">
      <c r="B306" s="38">
        <v>-5.0099999999999997E-3</v>
      </c>
      <c r="C306" s="37">
        <f t="shared" si="55"/>
        <v>-9.6583645601389101E-5</v>
      </c>
      <c r="E306" s="40">
        <v>44064</v>
      </c>
      <c r="F306" s="38">
        <v>-5.7487725999999996E-2</v>
      </c>
      <c r="G306" s="38">
        <v>-8.0963373000000009E-3</v>
      </c>
      <c r="H306" s="36">
        <f t="shared" si="56"/>
        <v>-5.7391142354398607E-2</v>
      </c>
      <c r="I306" s="36">
        <f t="shared" si="57"/>
        <v>-7.9997536543986118E-3</v>
      </c>
      <c r="O306" s="38">
        <v>-3.7461399999999999E-2</v>
      </c>
      <c r="P306" s="36">
        <f t="shared" si="58"/>
        <v>-3.736481635439861E-2</v>
      </c>
      <c r="Q306" s="38">
        <v>-2.1248399999999997E-2</v>
      </c>
      <c r="R306" s="36">
        <f t="shared" si="58"/>
        <v>-2.1151816354398608E-2</v>
      </c>
      <c r="S306" s="38">
        <v>1.6208172E-2</v>
      </c>
      <c r="T306" s="36">
        <f t="shared" si="59"/>
        <v>1.6304755645601389E-2</v>
      </c>
      <c r="U306" s="38">
        <v>-2.42185E-2</v>
      </c>
      <c r="V306" s="36">
        <f t="shared" si="60"/>
        <v>-2.4121916354398611E-2</v>
      </c>
      <c r="W306" s="38">
        <v>-2.6736080000000002E-2</v>
      </c>
      <c r="X306" s="36">
        <f t="shared" si="61"/>
        <v>-2.6639496354398613E-2</v>
      </c>
      <c r="Y306" s="38">
        <v>-5.0001980000000001E-2</v>
      </c>
      <c r="Z306" s="36">
        <f t="shared" si="62"/>
        <v>-4.9905396354398612E-2</v>
      </c>
      <c r="AA306" s="38">
        <v>-4.9687624E-3</v>
      </c>
      <c r="AB306" s="36">
        <f t="shared" si="63"/>
        <v>-4.8721787543986109E-3</v>
      </c>
      <c r="AC306" s="38">
        <v>2.943337E-2</v>
      </c>
      <c r="AD306" s="36">
        <f t="shared" si="64"/>
        <v>2.9529953645601389E-2</v>
      </c>
      <c r="AE306" s="38">
        <v>-1.7746747E-2</v>
      </c>
      <c r="AF306" s="36">
        <f t="shared" si="65"/>
        <v>-1.7650163354398611E-2</v>
      </c>
    </row>
    <row r="307" spans="2:32" outlineLevel="1" x14ac:dyDescent="0.25">
      <c r="B307" s="38">
        <v>-4.1799999999999997E-3</v>
      </c>
      <c r="C307" s="37">
        <f t="shared" si="55"/>
        <v>-8.0549844561184081E-5</v>
      </c>
      <c r="E307" s="40">
        <v>44057</v>
      </c>
      <c r="F307" s="38">
        <v>7.3813677000000008E-2</v>
      </c>
      <c r="G307" s="38">
        <v>1.2433052E-2</v>
      </c>
      <c r="H307" s="36">
        <f t="shared" si="56"/>
        <v>7.3894226844561192E-2</v>
      </c>
      <c r="I307" s="36">
        <f t="shared" si="57"/>
        <v>1.2513601844561184E-2</v>
      </c>
      <c r="O307" s="38">
        <v>4.3618799999999999E-2</v>
      </c>
      <c r="P307" s="36">
        <f t="shared" si="58"/>
        <v>4.3699349844561183E-2</v>
      </c>
      <c r="Q307" s="38">
        <v>4.7287940000000001E-2</v>
      </c>
      <c r="R307" s="36">
        <f t="shared" si="58"/>
        <v>4.7368489844561185E-2</v>
      </c>
      <c r="S307" s="38">
        <v>8.0763230000000005E-2</v>
      </c>
      <c r="T307" s="36">
        <f t="shared" si="59"/>
        <v>8.0843779844561189E-2</v>
      </c>
      <c r="U307" s="38">
        <v>6.0473559999999996E-2</v>
      </c>
      <c r="V307" s="36">
        <f t="shared" si="60"/>
        <v>6.055410984456118E-2</v>
      </c>
      <c r="W307" s="38">
        <v>4.1009903E-2</v>
      </c>
      <c r="X307" s="36">
        <f t="shared" si="61"/>
        <v>4.1090452844561184E-2</v>
      </c>
      <c r="Y307" s="38">
        <v>2.2725344000000001E-2</v>
      </c>
      <c r="Z307" s="36">
        <f t="shared" si="62"/>
        <v>2.2805893844561186E-2</v>
      </c>
      <c r="AA307" s="38">
        <v>3.4907818E-2</v>
      </c>
      <c r="AB307" s="36">
        <f t="shared" si="63"/>
        <v>3.4988367844561184E-2</v>
      </c>
      <c r="AC307" s="38">
        <v>3.9094924999999996E-2</v>
      </c>
      <c r="AD307" s="36">
        <f t="shared" si="64"/>
        <v>3.917547484456118E-2</v>
      </c>
      <c r="AE307" s="38">
        <v>5.8930755000000001E-2</v>
      </c>
      <c r="AF307" s="36">
        <f t="shared" si="65"/>
        <v>5.9011304844561185E-2</v>
      </c>
    </row>
    <row r="308" spans="2:32" outlineLevel="1" x14ac:dyDescent="0.25">
      <c r="B308" s="38">
        <v>-5.2500000000000003E-3</v>
      </c>
      <c r="C308" s="37">
        <f t="shared" si="55"/>
        <v>-1.0122237042198279E-4</v>
      </c>
      <c r="E308" s="40">
        <v>44050</v>
      </c>
      <c r="F308" s="38">
        <v>0.13487911</v>
      </c>
      <c r="G308" s="38">
        <v>2.0262121999999997E-2</v>
      </c>
      <c r="H308" s="36">
        <f t="shared" si="56"/>
        <v>0.13498033237042198</v>
      </c>
      <c r="I308" s="36">
        <f t="shared" si="57"/>
        <v>2.036334437042198E-2</v>
      </c>
      <c r="O308" s="38">
        <v>7.7146172999999998E-2</v>
      </c>
      <c r="P308" s="36">
        <f t="shared" si="58"/>
        <v>7.7247395370421981E-2</v>
      </c>
      <c r="Q308" s="38">
        <v>8.3647369999999999E-2</v>
      </c>
      <c r="R308" s="36">
        <f t="shared" si="58"/>
        <v>8.3748592370421981E-2</v>
      </c>
      <c r="S308" s="38">
        <v>5.9894203999999999E-2</v>
      </c>
      <c r="T308" s="36">
        <f t="shared" si="59"/>
        <v>5.9995426370421982E-2</v>
      </c>
      <c r="U308" s="38">
        <v>3.6562679999999998E-3</v>
      </c>
      <c r="V308" s="36">
        <f t="shared" si="60"/>
        <v>3.7574903704219826E-3</v>
      </c>
      <c r="W308" s="38">
        <v>8.5561390000000001E-2</v>
      </c>
      <c r="X308" s="36">
        <f t="shared" si="61"/>
        <v>8.5662612370421984E-2</v>
      </c>
      <c r="Y308" s="38">
        <v>4.103482E-2</v>
      </c>
      <c r="Z308" s="36">
        <f t="shared" si="62"/>
        <v>4.1136042370421982E-2</v>
      </c>
      <c r="AA308" s="38">
        <v>0.10812223</v>
      </c>
      <c r="AB308" s="36">
        <f t="shared" si="63"/>
        <v>0.10822345237042198</v>
      </c>
      <c r="AC308" s="38">
        <v>7.6847434000000006E-2</v>
      </c>
      <c r="AD308" s="36">
        <f t="shared" si="64"/>
        <v>7.6948656370421989E-2</v>
      </c>
      <c r="AE308" s="38">
        <v>1.1152029000000001E-2</v>
      </c>
      <c r="AF308" s="36">
        <f t="shared" si="65"/>
        <v>1.1253251370421984E-2</v>
      </c>
    </row>
    <row r="309" spans="2:32" outlineLevel="1" x14ac:dyDescent="0.25">
      <c r="B309" s="38">
        <v>-5.3300000000000005E-3</v>
      </c>
      <c r="C309" s="37">
        <f t="shared" si="55"/>
        <v>-1.027688559535056E-4</v>
      </c>
      <c r="E309" s="40">
        <v>44043</v>
      </c>
      <c r="F309" s="38">
        <v>-0.2054279</v>
      </c>
      <c r="G309" s="38">
        <v>-2.9840230000000002E-2</v>
      </c>
      <c r="H309" s="36">
        <f t="shared" si="56"/>
        <v>-0.20532513114404649</v>
      </c>
      <c r="I309" s="36">
        <f t="shared" si="57"/>
        <v>-2.9737461144046497E-2</v>
      </c>
      <c r="O309" s="38">
        <v>-5.0242479999999999E-2</v>
      </c>
      <c r="P309" s="36">
        <f t="shared" si="58"/>
        <v>-5.0139711144046493E-2</v>
      </c>
      <c r="Q309" s="38">
        <v>-0.11533338</v>
      </c>
      <c r="R309" s="36">
        <f t="shared" si="58"/>
        <v>-0.11523061114404649</v>
      </c>
      <c r="S309" s="38">
        <v>-0.16242672</v>
      </c>
      <c r="T309" s="36">
        <f t="shared" si="59"/>
        <v>-0.16232395114404649</v>
      </c>
      <c r="U309" s="38">
        <v>-9.1663890000000012E-2</v>
      </c>
      <c r="V309" s="36">
        <f t="shared" si="60"/>
        <v>-9.1561121144046506E-2</v>
      </c>
      <c r="W309" s="38">
        <v>-6.3829719999999993E-2</v>
      </c>
      <c r="X309" s="36">
        <f t="shared" si="61"/>
        <v>-6.3726951144046487E-2</v>
      </c>
      <c r="Y309" s="38">
        <v>-5.5534363000000003E-2</v>
      </c>
      <c r="Z309" s="36">
        <f t="shared" si="62"/>
        <v>-5.5431594144046498E-2</v>
      </c>
      <c r="AA309" s="38">
        <v>-9.0680300000000005E-2</v>
      </c>
      <c r="AB309" s="36">
        <f t="shared" si="63"/>
        <v>-9.05775311440465E-2</v>
      </c>
      <c r="AC309" s="38">
        <v>-6.7886710000000003E-2</v>
      </c>
      <c r="AD309" s="36">
        <f t="shared" si="64"/>
        <v>-6.7783941144046497E-2</v>
      </c>
      <c r="AE309" s="38">
        <v>-0.10416966</v>
      </c>
      <c r="AF309" s="36">
        <f t="shared" si="65"/>
        <v>-0.10406689114404649</v>
      </c>
    </row>
    <row r="310" spans="2:32" outlineLevel="1" x14ac:dyDescent="0.25">
      <c r="B310" s="38">
        <v>-4.4099999999999999E-3</v>
      </c>
      <c r="C310" s="37">
        <f t="shared" si="55"/>
        <v>-8.4991632883446577E-5</v>
      </c>
      <c r="E310" s="40">
        <v>44036</v>
      </c>
      <c r="F310" s="38">
        <v>5.7615756999999997E-2</v>
      </c>
      <c r="G310" s="38">
        <v>-1.4542102999999999E-2</v>
      </c>
      <c r="H310" s="36">
        <f t="shared" si="56"/>
        <v>5.7700748632883443E-2</v>
      </c>
      <c r="I310" s="36">
        <f t="shared" si="57"/>
        <v>-1.4457111367116552E-2</v>
      </c>
      <c r="O310" s="38">
        <v>-9.386539499999999E-3</v>
      </c>
      <c r="P310" s="36">
        <f t="shared" si="58"/>
        <v>-9.3015478671165525E-3</v>
      </c>
      <c r="Q310" s="38">
        <v>1.010108E-2</v>
      </c>
      <c r="R310" s="36">
        <f t="shared" si="58"/>
        <v>1.0186071632883447E-2</v>
      </c>
      <c r="S310" s="38">
        <v>-4.0068569999999998E-2</v>
      </c>
      <c r="T310" s="36">
        <f t="shared" si="59"/>
        <v>-3.9983578367116551E-2</v>
      </c>
      <c r="U310" s="38">
        <v>8.2036256999999998E-3</v>
      </c>
      <c r="V310" s="36">
        <f t="shared" si="60"/>
        <v>8.2886173328834464E-3</v>
      </c>
      <c r="W310" s="38">
        <v>1.5634894E-2</v>
      </c>
      <c r="X310" s="36">
        <f t="shared" si="61"/>
        <v>1.5719885632883446E-2</v>
      </c>
      <c r="Y310" s="38">
        <v>-5.8603287000000004E-3</v>
      </c>
      <c r="Z310" s="36">
        <f t="shared" si="62"/>
        <v>-5.7753370671165538E-3</v>
      </c>
      <c r="AA310" s="38">
        <v>-1.7708122999999999E-2</v>
      </c>
      <c r="AB310" s="36">
        <f t="shared" si="63"/>
        <v>-1.7623131367116553E-2</v>
      </c>
      <c r="AC310" s="38">
        <v>-2.4849771999999999E-2</v>
      </c>
      <c r="AD310" s="36">
        <f t="shared" si="64"/>
        <v>-2.4764780367116553E-2</v>
      </c>
      <c r="AE310" s="38">
        <v>-2.0632625000000002E-2</v>
      </c>
      <c r="AF310" s="36">
        <f t="shared" si="65"/>
        <v>-2.0547633367116555E-2</v>
      </c>
    </row>
    <row r="311" spans="2:32" outlineLevel="1" x14ac:dyDescent="0.25">
      <c r="B311" s="38">
        <v>-4.5700000000000003E-3</v>
      </c>
      <c r="C311" s="37">
        <f t="shared" si="55"/>
        <v>-8.8082166194158873E-5</v>
      </c>
      <c r="E311" s="40">
        <v>44029</v>
      </c>
      <c r="F311" s="38">
        <v>6.4688800000000005E-2</v>
      </c>
      <c r="G311" s="38">
        <v>1.6029239000000001E-2</v>
      </c>
      <c r="H311" s="36">
        <f t="shared" si="56"/>
        <v>6.4776882166194164E-2</v>
      </c>
      <c r="I311" s="36">
        <f t="shared" si="57"/>
        <v>1.611732116619416E-2</v>
      </c>
      <c r="O311" s="38">
        <v>3.7246584999999999E-2</v>
      </c>
      <c r="P311" s="36">
        <f t="shared" si="58"/>
        <v>3.7334667166194158E-2</v>
      </c>
      <c r="Q311" s="38">
        <v>8.1466435999999996E-3</v>
      </c>
      <c r="R311" s="36">
        <f t="shared" si="58"/>
        <v>8.2347257661941585E-3</v>
      </c>
      <c r="S311" s="38">
        <v>0.15777015999999999</v>
      </c>
      <c r="T311" s="36">
        <f t="shared" si="59"/>
        <v>0.15785824216619415</v>
      </c>
      <c r="U311" s="38">
        <v>1.7720222000000001E-2</v>
      </c>
      <c r="V311" s="36">
        <f t="shared" si="60"/>
        <v>1.780830416619416E-2</v>
      </c>
      <c r="W311" s="38">
        <v>7.2528960000000003E-2</v>
      </c>
      <c r="X311" s="36">
        <f t="shared" si="61"/>
        <v>7.2617042166194162E-2</v>
      </c>
      <c r="Y311" s="38">
        <v>0.10465287999999999</v>
      </c>
      <c r="Z311" s="36">
        <f t="shared" si="62"/>
        <v>0.10474096216619415</v>
      </c>
      <c r="AA311" s="38">
        <v>2.4160979999999999E-2</v>
      </c>
      <c r="AB311" s="36">
        <f t="shared" si="63"/>
        <v>2.4249062166194157E-2</v>
      </c>
      <c r="AC311" s="38">
        <v>7.4634074999999994E-2</v>
      </c>
      <c r="AD311" s="36">
        <f t="shared" si="64"/>
        <v>7.4722157166194153E-2</v>
      </c>
      <c r="AE311" s="38">
        <v>5.4551719999999998E-2</v>
      </c>
      <c r="AF311" s="36">
        <f t="shared" si="65"/>
        <v>5.4639802166194157E-2</v>
      </c>
    </row>
    <row r="312" spans="2:32" outlineLevel="1" x14ac:dyDescent="0.25">
      <c r="B312" s="38">
        <v>-4.81E-3</v>
      </c>
      <c r="C312" s="37">
        <f t="shared" si="55"/>
        <v>-9.2718879785458341E-5</v>
      </c>
      <c r="E312" s="40">
        <v>44022</v>
      </c>
      <c r="F312" s="38">
        <v>5.3824185999999993E-3</v>
      </c>
      <c r="G312" s="38">
        <v>3.8310290000000001E-3</v>
      </c>
      <c r="H312" s="36">
        <f t="shared" si="56"/>
        <v>5.4751374797854576E-3</v>
      </c>
      <c r="I312" s="36">
        <f t="shared" si="57"/>
        <v>3.923747879785458E-3</v>
      </c>
      <c r="O312" s="38">
        <v>-7.5280069999999998E-3</v>
      </c>
      <c r="P312" s="36">
        <f t="shared" si="58"/>
        <v>-7.4352881202145414E-3</v>
      </c>
      <c r="Q312" s="38">
        <v>1.4462829E-2</v>
      </c>
      <c r="R312" s="36">
        <f t="shared" si="58"/>
        <v>1.4555547879785458E-2</v>
      </c>
      <c r="S312" s="38">
        <v>-4.825902E-2</v>
      </c>
      <c r="T312" s="36">
        <f t="shared" si="59"/>
        <v>-4.8166301120214541E-2</v>
      </c>
      <c r="U312" s="38">
        <v>2.4973869999999999E-2</v>
      </c>
      <c r="V312" s="36">
        <f t="shared" si="60"/>
        <v>2.5066588879785457E-2</v>
      </c>
      <c r="W312" s="38">
        <v>2.7275085000000001E-4</v>
      </c>
      <c r="X312" s="36">
        <f t="shared" si="61"/>
        <v>3.6546972978545835E-4</v>
      </c>
      <c r="Y312" s="38">
        <v>1.4941692000000001E-3</v>
      </c>
      <c r="Z312" s="36">
        <f t="shared" si="62"/>
        <v>1.5868880797854585E-3</v>
      </c>
      <c r="AA312" s="38">
        <v>-2.8064190999999999E-2</v>
      </c>
      <c r="AB312" s="36">
        <f t="shared" si="63"/>
        <v>-2.797147212021454E-2</v>
      </c>
      <c r="AC312" s="38">
        <v>-4.0165304999999998E-2</v>
      </c>
      <c r="AD312" s="36">
        <f t="shared" si="64"/>
        <v>-4.007258612021454E-2</v>
      </c>
      <c r="AE312" s="38">
        <v>-4.7378780000000002E-2</v>
      </c>
      <c r="AF312" s="36">
        <f t="shared" si="65"/>
        <v>-4.7286061120214544E-2</v>
      </c>
    </row>
    <row r="313" spans="2:32" outlineLevel="1" x14ac:dyDescent="0.25">
      <c r="B313" s="38">
        <v>-4.3299999999999996E-3</v>
      </c>
      <c r="C313" s="37">
        <f t="shared" si="55"/>
        <v>-8.3446548894916539E-5</v>
      </c>
      <c r="E313" s="40">
        <v>44015</v>
      </c>
      <c r="F313" s="38">
        <v>6.3439010000000004E-2</v>
      </c>
      <c r="G313" s="38">
        <v>1.9842505E-2</v>
      </c>
      <c r="H313" s="36">
        <f t="shared" si="56"/>
        <v>6.3522456548894921E-2</v>
      </c>
      <c r="I313" s="36">
        <f t="shared" si="57"/>
        <v>1.9925951548894916E-2</v>
      </c>
      <c r="O313" s="38">
        <v>3.0689000000000001E-2</v>
      </c>
      <c r="P313" s="36">
        <f t="shared" si="58"/>
        <v>3.0772446548894918E-2</v>
      </c>
      <c r="Q313" s="38">
        <v>2.0379424E-2</v>
      </c>
      <c r="R313" s="36">
        <f t="shared" si="58"/>
        <v>2.0462870548894917E-2</v>
      </c>
      <c r="S313" s="38">
        <v>-4.0947733E-2</v>
      </c>
      <c r="T313" s="36">
        <f t="shared" si="59"/>
        <v>-4.0864286451105084E-2</v>
      </c>
      <c r="U313" s="38">
        <v>2.6716828000000001E-2</v>
      </c>
      <c r="V313" s="36">
        <f t="shared" si="60"/>
        <v>2.6800274548894918E-2</v>
      </c>
      <c r="W313" s="38">
        <v>4.7272204999999998E-2</v>
      </c>
      <c r="X313" s="36">
        <f t="shared" si="61"/>
        <v>4.7355651548894914E-2</v>
      </c>
      <c r="Y313" s="38">
        <v>2.0000935000000001E-2</v>
      </c>
      <c r="Z313" s="36">
        <f t="shared" si="62"/>
        <v>2.0084381548894917E-2</v>
      </c>
      <c r="AA313" s="38">
        <v>-2.0904361999999999E-2</v>
      </c>
      <c r="AB313" s="36">
        <f t="shared" si="63"/>
        <v>-2.0820915451105083E-2</v>
      </c>
      <c r="AC313" s="38">
        <v>2.8171539999999998E-2</v>
      </c>
      <c r="AD313" s="36">
        <f t="shared" si="64"/>
        <v>2.8254986548894915E-2</v>
      </c>
      <c r="AE313" s="38">
        <v>-7.9172254000000001E-3</v>
      </c>
      <c r="AF313" s="36">
        <f t="shared" si="65"/>
        <v>-7.8337788511050836E-3</v>
      </c>
    </row>
    <row r="314" spans="2:32" outlineLevel="1" x14ac:dyDescent="0.25">
      <c r="B314" s="38">
        <v>-4.7299999999999998E-3</v>
      </c>
      <c r="C314" s="37">
        <f t="shared" si="55"/>
        <v>-9.1173186745785451E-5</v>
      </c>
      <c r="E314" s="40">
        <v>44008</v>
      </c>
      <c r="F314" s="38">
        <v>-7.8087450000000006E-3</v>
      </c>
      <c r="G314" s="38">
        <v>-1.9536972E-2</v>
      </c>
      <c r="H314" s="36">
        <f t="shared" si="56"/>
        <v>-7.7175718132542152E-3</v>
      </c>
      <c r="I314" s="36">
        <f t="shared" si="57"/>
        <v>-1.9445798813254214E-2</v>
      </c>
      <c r="O314" s="38">
        <v>2.1530866999999999E-2</v>
      </c>
      <c r="P314" s="36">
        <f t="shared" si="58"/>
        <v>2.1622040186745784E-2</v>
      </c>
      <c r="Q314" s="38">
        <v>-2.8030275999999998E-3</v>
      </c>
      <c r="R314" s="36">
        <f t="shared" si="58"/>
        <v>-2.7118544132542144E-3</v>
      </c>
      <c r="S314" s="38">
        <v>-3.1545877E-2</v>
      </c>
      <c r="T314" s="36">
        <f t="shared" si="59"/>
        <v>-3.1454703813254214E-2</v>
      </c>
      <c r="U314" s="38">
        <v>-2.0375906999999999E-2</v>
      </c>
      <c r="V314" s="36">
        <f t="shared" si="60"/>
        <v>-2.0284733813254213E-2</v>
      </c>
      <c r="W314" s="38">
        <v>-4.7606049999999997E-2</v>
      </c>
      <c r="X314" s="36">
        <f t="shared" si="61"/>
        <v>-4.7514876813254212E-2</v>
      </c>
      <c r="Y314" s="38">
        <v>-5.2931069999999997E-2</v>
      </c>
      <c r="Z314" s="36">
        <f t="shared" si="62"/>
        <v>-5.2839896813254211E-2</v>
      </c>
      <c r="AA314" s="38">
        <v>-2.5309920000000001E-3</v>
      </c>
      <c r="AB314" s="36">
        <f t="shared" si="63"/>
        <v>-2.4398188132542147E-3</v>
      </c>
      <c r="AC314" s="38">
        <v>-8.1624564999999996E-2</v>
      </c>
      <c r="AD314" s="36">
        <f t="shared" si="64"/>
        <v>-8.1533391813254211E-2</v>
      </c>
      <c r="AE314" s="38">
        <v>-3.8593709999999996E-2</v>
      </c>
      <c r="AF314" s="36">
        <f t="shared" si="65"/>
        <v>-3.8502536813254211E-2</v>
      </c>
    </row>
    <row r="315" spans="2:32" outlineLevel="1" x14ac:dyDescent="0.25">
      <c r="B315" s="38">
        <v>-4.5500000000000002E-3</v>
      </c>
      <c r="C315" s="37">
        <f t="shared" si="55"/>
        <v>-8.7695822887479125E-5</v>
      </c>
      <c r="E315" s="40">
        <v>44001</v>
      </c>
      <c r="F315" s="38">
        <v>-3.9545476000000003E-2</v>
      </c>
      <c r="G315" s="38">
        <v>3.2197952000000002E-2</v>
      </c>
      <c r="H315" s="36">
        <f t="shared" si="56"/>
        <v>-3.9457780177112524E-2</v>
      </c>
      <c r="I315" s="36">
        <f t="shared" si="57"/>
        <v>3.2285647822887481E-2</v>
      </c>
      <c r="O315" s="38">
        <v>3.1734467000000002E-2</v>
      </c>
      <c r="P315" s="36">
        <f t="shared" si="58"/>
        <v>3.1822162822887481E-2</v>
      </c>
      <c r="Q315" s="38">
        <v>-2.5273203999999997E-2</v>
      </c>
      <c r="R315" s="36">
        <f t="shared" si="58"/>
        <v>-2.5185508177112518E-2</v>
      </c>
      <c r="S315" s="38">
        <v>3.4726857999999999E-3</v>
      </c>
      <c r="T315" s="36">
        <f t="shared" si="59"/>
        <v>3.5603816228874791E-3</v>
      </c>
      <c r="U315" s="38">
        <v>1.3891339000000001E-2</v>
      </c>
      <c r="V315" s="36">
        <f t="shared" si="60"/>
        <v>1.397903482288748E-2</v>
      </c>
      <c r="W315" s="38">
        <v>2.0544052E-2</v>
      </c>
      <c r="X315" s="36">
        <f t="shared" si="61"/>
        <v>2.0631747822887479E-2</v>
      </c>
      <c r="Y315" s="38">
        <v>-3.0170918000000001E-2</v>
      </c>
      <c r="Z315" s="36">
        <f t="shared" si="62"/>
        <v>-3.0083222177112522E-2</v>
      </c>
      <c r="AA315" s="38">
        <v>8.6762904999999994E-3</v>
      </c>
      <c r="AB315" s="36">
        <f t="shared" si="63"/>
        <v>8.7639863228874786E-3</v>
      </c>
      <c r="AC315" s="38">
        <v>-4.364121E-2</v>
      </c>
      <c r="AD315" s="36">
        <f t="shared" si="64"/>
        <v>-4.3553514177112521E-2</v>
      </c>
      <c r="AE315" s="38">
        <v>2.9576539999999998E-2</v>
      </c>
      <c r="AF315" s="36">
        <f t="shared" si="65"/>
        <v>2.9664235822887478E-2</v>
      </c>
    </row>
    <row r="316" spans="2:32" outlineLevel="1" x14ac:dyDescent="0.25">
      <c r="B316" s="38">
        <v>-4.3600000000000002E-3</v>
      </c>
      <c r="C316" s="37">
        <f t="shared" si="55"/>
        <v>-8.4025941121779191E-5</v>
      </c>
      <c r="E316" s="40">
        <v>43994</v>
      </c>
      <c r="F316" s="38">
        <v>-0.15156192000000002</v>
      </c>
      <c r="G316" s="38">
        <v>-5.6645035999999996E-2</v>
      </c>
      <c r="H316" s="36">
        <f t="shared" si="56"/>
        <v>-0.15147789405887824</v>
      </c>
      <c r="I316" s="36">
        <f t="shared" si="57"/>
        <v>-5.6561010058878217E-2</v>
      </c>
      <c r="O316" s="38">
        <v>-0.12016762</v>
      </c>
      <c r="P316" s="36">
        <f t="shared" si="58"/>
        <v>-0.12008359405887822</v>
      </c>
      <c r="Q316" s="38">
        <v>-6.5730753000000003E-2</v>
      </c>
      <c r="R316" s="36">
        <f t="shared" si="58"/>
        <v>-6.5646727058878224E-2</v>
      </c>
      <c r="S316" s="38">
        <v>-3.9874554E-2</v>
      </c>
      <c r="T316" s="36">
        <f t="shared" si="59"/>
        <v>-3.979052805887822E-2</v>
      </c>
      <c r="U316" s="38">
        <v>-5.6302490000000004E-2</v>
      </c>
      <c r="V316" s="36">
        <f t="shared" si="60"/>
        <v>-5.6218464058878224E-2</v>
      </c>
      <c r="W316" s="38">
        <v>-9.5543019999999992E-2</v>
      </c>
      <c r="X316" s="36">
        <f t="shared" si="61"/>
        <v>-9.5458994058878213E-2</v>
      </c>
      <c r="Y316" s="38">
        <v>-0.11464781</v>
      </c>
      <c r="Z316" s="36">
        <f t="shared" si="62"/>
        <v>-0.11456378405887822</v>
      </c>
      <c r="AA316" s="38">
        <v>-2.5553107000000001E-3</v>
      </c>
      <c r="AB316" s="36">
        <f t="shared" si="63"/>
        <v>-2.4712847588782209E-3</v>
      </c>
      <c r="AC316" s="38">
        <v>-8.113134000000001E-2</v>
      </c>
      <c r="AD316" s="36">
        <f t="shared" si="64"/>
        <v>-8.1047314058878231E-2</v>
      </c>
      <c r="AE316" s="38">
        <v>-4.2960586999999995E-2</v>
      </c>
      <c r="AF316" s="36">
        <f t="shared" si="65"/>
        <v>-4.2876561058878215E-2</v>
      </c>
    </row>
    <row r="317" spans="2:32" outlineLevel="1" x14ac:dyDescent="0.25">
      <c r="B317" s="38">
        <v>-2.7500000000000003E-3</v>
      </c>
      <c r="C317" s="37">
        <f t="shared" si="55"/>
        <v>-5.2956063097853168E-5</v>
      </c>
      <c r="E317" s="40">
        <v>43987</v>
      </c>
      <c r="F317" s="38">
        <v>0.28334569999999998</v>
      </c>
      <c r="G317" s="38">
        <v>7.1241020000000002E-2</v>
      </c>
      <c r="H317" s="36">
        <f t="shared" si="56"/>
        <v>0.28339865606309783</v>
      </c>
      <c r="I317" s="36">
        <f t="shared" si="57"/>
        <v>7.1293976063097855E-2</v>
      </c>
      <c r="O317" s="38">
        <v>0.17250061</v>
      </c>
      <c r="P317" s="36">
        <f t="shared" si="58"/>
        <v>0.17255356606309785</v>
      </c>
      <c r="Q317" s="38">
        <v>0.10042131</v>
      </c>
      <c r="R317" s="36">
        <f t="shared" si="58"/>
        <v>0.10047426606309785</v>
      </c>
      <c r="S317" s="38">
        <v>8.8707209999999995E-2</v>
      </c>
      <c r="T317" s="36">
        <f t="shared" si="59"/>
        <v>8.8760166063097848E-2</v>
      </c>
      <c r="U317" s="38">
        <v>0.13117874000000002</v>
      </c>
      <c r="V317" s="36">
        <f t="shared" si="60"/>
        <v>0.13123169606309787</v>
      </c>
      <c r="W317" s="38">
        <v>0.19307971999999998</v>
      </c>
      <c r="X317" s="36">
        <f t="shared" si="61"/>
        <v>0.19313267606309784</v>
      </c>
      <c r="Y317" s="38">
        <v>0.26387595999999996</v>
      </c>
      <c r="Z317" s="36">
        <f t="shared" si="62"/>
        <v>0.26392891606309782</v>
      </c>
      <c r="AA317" s="38">
        <v>9.7788570000000002E-3</v>
      </c>
      <c r="AB317" s="36">
        <f t="shared" si="63"/>
        <v>9.8318130630978533E-3</v>
      </c>
      <c r="AC317" s="38">
        <v>0.16290320000000003</v>
      </c>
      <c r="AD317" s="36">
        <f t="shared" si="64"/>
        <v>0.16295615606309788</v>
      </c>
      <c r="AE317" s="38">
        <v>4.9098490000000002E-2</v>
      </c>
      <c r="AF317" s="36">
        <f t="shared" si="65"/>
        <v>4.9151446063097855E-2</v>
      </c>
    </row>
    <row r="318" spans="2:32" outlineLevel="1" x14ac:dyDescent="0.25">
      <c r="B318" s="38">
        <v>-4.5000000000000005E-3</v>
      </c>
      <c r="C318" s="37">
        <f t="shared" si="55"/>
        <v>-8.6729997926360269E-5</v>
      </c>
      <c r="E318" s="40">
        <v>43980</v>
      </c>
      <c r="F318" s="38">
        <v>0.17470920000000001</v>
      </c>
      <c r="G318" s="38">
        <v>2.9955506E-2</v>
      </c>
      <c r="H318" s="36">
        <f t="shared" si="56"/>
        <v>0.17479592999792637</v>
      </c>
      <c r="I318" s="36">
        <f t="shared" si="57"/>
        <v>3.004223599792636E-2</v>
      </c>
      <c r="O318" s="38">
        <v>7.0927740000000003E-2</v>
      </c>
      <c r="P318" s="36">
        <f t="shared" si="58"/>
        <v>7.1014469997926363E-2</v>
      </c>
      <c r="Q318" s="38">
        <v>1.7869949E-2</v>
      </c>
      <c r="R318" s="36">
        <f t="shared" si="58"/>
        <v>1.795667899792636E-2</v>
      </c>
      <c r="S318" s="38">
        <v>4.9745917000000001E-2</v>
      </c>
      <c r="T318" s="36">
        <f t="shared" si="59"/>
        <v>4.9832646997926361E-2</v>
      </c>
      <c r="U318" s="38">
        <v>5.0319432999999997E-2</v>
      </c>
      <c r="V318" s="36">
        <f t="shared" si="60"/>
        <v>5.0406162997926357E-2</v>
      </c>
      <c r="W318" s="38">
        <v>6.5092564000000006E-2</v>
      </c>
      <c r="X318" s="36">
        <f t="shared" si="61"/>
        <v>6.5179293997926366E-2</v>
      </c>
      <c r="Y318" s="38">
        <v>-1.0549724E-2</v>
      </c>
      <c r="Z318" s="36">
        <f t="shared" si="62"/>
        <v>-1.046299400207364E-2</v>
      </c>
      <c r="AA318" s="38">
        <v>4.9060940000000004E-2</v>
      </c>
      <c r="AB318" s="36">
        <f t="shared" si="63"/>
        <v>4.9147669997926365E-2</v>
      </c>
      <c r="AC318" s="38">
        <v>-2.4715185000000001E-2</v>
      </c>
      <c r="AD318" s="36">
        <f t="shared" si="64"/>
        <v>-2.462845500207364E-2</v>
      </c>
      <c r="AE318" s="38">
        <v>7.772743700000001E-2</v>
      </c>
      <c r="AF318" s="36">
        <f t="shared" si="65"/>
        <v>7.7814166997926371E-2</v>
      </c>
    </row>
    <row r="319" spans="2:32" outlineLevel="1" x14ac:dyDescent="0.25">
      <c r="B319" s="38">
        <v>-4.9199999999999999E-3</v>
      </c>
      <c r="C319" s="37">
        <f t="shared" si="55"/>
        <v>-9.4844406707150775E-5</v>
      </c>
      <c r="E319" s="40">
        <v>43973</v>
      </c>
      <c r="F319" s="38">
        <v>-1.5905677999999999E-2</v>
      </c>
      <c r="G319" s="38">
        <v>3.6345481999999998E-2</v>
      </c>
      <c r="H319" s="36">
        <f t="shared" si="56"/>
        <v>-1.5810833593292849E-2</v>
      </c>
      <c r="I319" s="36">
        <f t="shared" si="57"/>
        <v>3.6440326406707149E-2</v>
      </c>
      <c r="O319" s="38">
        <v>2.9571055999999998E-2</v>
      </c>
      <c r="P319" s="36">
        <f t="shared" si="58"/>
        <v>2.9665900406707149E-2</v>
      </c>
      <c r="Q319" s="38">
        <v>7.2852730000000004E-2</v>
      </c>
      <c r="R319" s="36">
        <f t="shared" si="58"/>
        <v>7.2947574406707155E-2</v>
      </c>
      <c r="S319" s="38">
        <v>1.2121200599999999E-3</v>
      </c>
      <c r="T319" s="36">
        <f t="shared" si="59"/>
        <v>1.3069644667071507E-3</v>
      </c>
      <c r="U319" s="38">
        <v>7.3526262999999994E-2</v>
      </c>
      <c r="V319" s="36">
        <f t="shared" si="60"/>
        <v>7.3621107406707145E-2</v>
      </c>
      <c r="W319" s="38">
        <v>0.11908590000000001</v>
      </c>
      <c r="X319" s="36">
        <f t="shared" si="61"/>
        <v>0.11918074440670716</v>
      </c>
      <c r="Y319" s="38">
        <v>0.14543808</v>
      </c>
      <c r="Z319" s="36">
        <f t="shared" si="62"/>
        <v>0.14553292440670715</v>
      </c>
      <c r="AA319" s="38">
        <v>-1.8339157E-3</v>
      </c>
      <c r="AB319" s="36">
        <f t="shared" si="63"/>
        <v>-1.7390712932928492E-3</v>
      </c>
      <c r="AC319" s="38">
        <v>0.14044369000000001</v>
      </c>
      <c r="AD319" s="36">
        <f t="shared" si="64"/>
        <v>0.14053853440670716</v>
      </c>
      <c r="AE319" s="38">
        <v>2.0120382000000003E-2</v>
      </c>
      <c r="AF319" s="36">
        <f t="shared" si="65"/>
        <v>2.0215226406707153E-2</v>
      </c>
    </row>
    <row r="320" spans="2:32" outlineLevel="1" x14ac:dyDescent="0.25">
      <c r="B320" s="38">
        <v>-5.3700000000000006E-3</v>
      </c>
      <c r="C320" s="37">
        <f t="shared" si="55"/>
        <v>-1.0354214446595122E-4</v>
      </c>
      <c r="E320" s="40">
        <v>43966</v>
      </c>
      <c r="F320" s="38">
        <v>-2.7388333999999997E-3</v>
      </c>
      <c r="G320" s="38">
        <v>-3.7560463000000002E-2</v>
      </c>
      <c r="H320" s="36">
        <f t="shared" si="56"/>
        <v>-2.6352912555340485E-3</v>
      </c>
      <c r="I320" s="36">
        <f t="shared" si="57"/>
        <v>-3.7456920855534051E-2</v>
      </c>
      <c r="O320" s="38">
        <v>-7.2973013000000003E-2</v>
      </c>
      <c r="P320" s="36">
        <f t="shared" si="58"/>
        <v>-7.2869470855534052E-2</v>
      </c>
      <c r="Q320" s="38">
        <v>-6.1870520000000005E-2</v>
      </c>
      <c r="R320" s="36">
        <f t="shared" si="58"/>
        <v>-6.1766977855534054E-2</v>
      </c>
      <c r="S320" s="38">
        <v>5.9598089999999999E-2</v>
      </c>
      <c r="T320" s="36">
        <f t="shared" si="59"/>
        <v>5.9701632144465951E-2</v>
      </c>
      <c r="U320" s="38">
        <v>-9.2765390000000003E-2</v>
      </c>
      <c r="V320" s="36">
        <f t="shared" si="60"/>
        <v>-9.2661847855534052E-2</v>
      </c>
      <c r="W320" s="38">
        <v>-0.11530566</v>
      </c>
      <c r="X320" s="36">
        <f t="shared" si="61"/>
        <v>-0.11520211785553405</v>
      </c>
      <c r="Y320" s="38">
        <v>-6.0217799999999995E-2</v>
      </c>
      <c r="Z320" s="36">
        <f t="shared" si="62"/>
        <v>-6.0114257855534044E-2</v>
      </c>
      <c r="AA320" s="38">
        <v>-4.0514229999999998E-2</v>
      </c>
      <c r="AB320" s="36">
        <f t="shared" si="63"/>
        <v>-4.0410687855534047E-2</v>
      </c>
      <c r="AC320" s="38">
        <v>-4.9604774000000004E-2</v>
      </c>
      <c r="AD320" s="36">
        <f t="shared" si="64"/>
        <v>-4.9501231855534053E-2</v>
      </c>
      <c r="AE320" s="38">
        <v>-3.6587178999999997E-2</v>
      </c>
      <c r="AF320" s="36">
        <f t="shared" si="65"/>
        <v>-3.6483636855534046E-2</v>
      </c>
    </row>
    <row r="321" spans="2:32" outlineLevel="1" x14ac:dyDescent="0.25">
      <c r="B321" s="38">
        <v>-5.3500000000000006E-3</v>
      </c>
      <c r="C321" s="37">
        <f t="shared" si="55"/>
        <v>-1.0315549639716703E-4</v>
      </c>
      <c r="E321" s="40">
        <v>43959</v>
      </c>
      <c r="F321" s="38">
        <v>-3.2033563000000001E-2</v>
      </c>
      <c r="G321" s="38">
        <v>1.0847926000000001E-2</v>
      </c>
      <c r="H321" s="36">
        <f t="shared" si="56"/>
        <v>-3.1930407503602834E-2</v>
      </c>
      <c r="I321" s="36">
        <f t="shared" si="57"/>
        <v>1.0951081496397168E-2</v>
      </c>
      <c r="O321" s="38">
        <v>-3.0688583999999998E-2</v>
      </c>
      <c r="P321" s="36">
        <f t="shared" si="58"/>
        <v>-3.0585428503602831E-2</v>
      </c>
      <c r="Q321" s="38">
        <v>1.9809245999999999E-2</v>
      </c>
      <c r="R321" s="36">
        <f t="shared" si="58"/>
        <v>1.9912401496397166E-2</v>
      </c>
      <c r="S321" s="38">
        <v>1.4983416000000001E-2</v>
      </c>
      <c r="T321" s="36">
        <f t="shared" si="59"/>
        <v>1.5086571496397168E-2</v>
      </c>
      <c r="U321" s="38">
        <v>-4.8658666999999996E-2</v>
      </c>
      <c r="V321" s="36">
        <f t="shared" si="60"/>
        <v>-4.8555511503602829E-2</v>
      </c>
      <c r="W321" s="38">
        <v>3.8053989999999997E-3</v>
      </c>
      <c r="X321" s="36">
        <f t="shared" si="61"/>
        <v>3.9085544963971663E-3</v>
      </c>
      <c r="Y321" s="38">
        <v>7.8362822999999998E-2</v>
      </c>
      <c r="Z321" s="36">
        <f t="shared" si="62"/>
        <v>7.8465978496397165E-2</v>
      </c>
      <c r="AA321" s="38">
        <v>1.6714214999999998E-2</v>
      </c>
      <c r="AB321" s="36">
        <f t="shared" si="63"/>
        <v>1.6817370496397165E-2</v>
      </c>
      <c r="AC321" s="38">
        <v>0.15929817999999998</v>
      </c>
      <c r="AD321" s="36">
        <f t="shared" si="64"/>
        <v>0.15940133549639715</v>
      </c>
      <c r="AE321" s="38">
        <v>5.0983549999999996E-2</v>
      </c>
      <c r="AF321" s="36">
        <f t="shared" si="65"/>
        <v>5.1086705496397163E-2</v>
      </c>
    </row>
    <row r="322" spans="2:32" outlineLevel="1" x14ac:dyDescent="0.25">
      <c r="B322" s="38">
        <v>-5.9199999999999999E-3</v>
      </c>
      <c r="C322" s="37">
        <f t="shared" si="55"/>
        <v>-1.1417795556167842E-4</v>
      </c>
      <c r="E322" s="40">
        <v>43952</v>
      </c>
      <c r="F322" s="38">
        <v>0.131483555</v>
      </c>
      <c r="G322" s="38">
        <v>2.3665786000000001E-2</v>
      </c>
      <c r="H322" s="36">
        <f t="shared" si="56"/>
        <v>0.13159773295556168</v>
      </c>
      <c r="I322" s="36">
        <f t="shared" si="57"/>
        <v>2.377996395556168E-2</v>
      </c>
      <c r="O322" s="38">
        <v>9.0612300000000007E-2</v>
      </c>
      <c r="P322" s="36">
        <f t="shared" si="58"/>
        <v>9.0726477955561685E-2</v>
      </c>
      <c r="Q322" s="38">
        <v>6.4843773999999993E-2</v>
      </c>
      <c r="R322" s="36">
        <f t="shared" si="58"/>
        <v>6.4957951955561671E-2</v>
      </c>
      <c r="S322" s="38">
        <v>-8.6656809999999997E-3</v>
      </c>
      <c r="T322" s="36">
        <f t="shared" si="59"/>
        <v>-8.5515030444383213E-3</v>
      </c>
      <c r="U322" s="38">
        <v>0.11076855999999999</v>
      </c>
      <c r="V322" s="36">
        <f t="shared" si="60"/>
        <v>0.11088273795556167</v>
      </c>
      <c r="W322" s="38">
        <v>0.14423073</v>
      </c>
      <c r="X322" s="36">
        <f t="shared" si="61"/>
        <v>0.14434490795556168</v>
      </c>
      <c r="Y322" s="38">
        <v>-7.7201724000000001E-3</v>
      </c>
      <c r="Z322" s="36">
        <f t="shared" si="62"/>
        <v>-7.6059944444383217E-3</v>
      </c>
      <c r="AA322" s="38">
        <v>-2.0326971999999999E-2</v>
      </c>
      <c r="AB322" s="36">
        <f t="shared" si="63"/>
        <v>-2.021279404443832E-2</v>
      </c>
      <c r="AC322" s="38">
        <v>-6.4788760000000001E-2</v>
      </c>
      <c r="AD322" s="36">
        <f t="shared" si="64"/>
        <v>-6.4674582044438322E-2</v>
      </c>
      <c r="AE322" s="38">
        <v>-9.1021060000000004E-3</v>
      </c>
      <c r="AF322" s="36">
        <f t="shared" si="65"/>
        <v>-8.987928044438322E-3</v>
      </c>
    </row>
    <row r="323" spans="2:32" outlineLevel="1" x14ac:dyDescent="0.25">
      <c r="B323" s="38">
        <v>-4.5900000000000003E-3</v>
      </c>
      <c r="C323" s="37">
        <f t="shared" si="55"/>
        <v>-8.8468517113970968E-5</v>
      </c>
      <c r="E323" s="40">
        <v>43945</v>
      </c>
      <c r="F323" s="38">
        <v>-2.3076832000000002E-2</v>
      </c>
      <c r="G323" s="38">
        <v>-1.1635243999999999E-2</v>
      </c>
      <c r="H323" s="36">
        <f t="shared" si="56"/>
        <v>-2.2988363482886031E-2</v>
      </c>
      <c r="I323" s="36">
        <f t="shared" si="57"/>
        <v>-1.1546775482886028E-2</v>
      </c>
      <c r="O323" s="38">
        <v>3.8241148000000003E-3</v>
      </c>
      <c r="P323" s="36">
        <f t="shared" si="58"/>
        <v>3.9125833171139712E-3</v>
      </c>
      <c r="Q323" s="38">
        <v>-4.8327150000000006E-2</v>
      </c>
      <c r="R323" s="36">
        <f t="shared" si="58"/>
        <v>-4.8238681482886035E-2</v>
      </c>
      <c r="S323" s="38">
        <v>-4.1551349999999994E-2</v>
      </c>
      <c r="T323" s="36">
        <f t="shared" si="59"/>
        <v>-4.1462881482886023E-2</v>
      </c>
      <c r="U323" s="38">
        <v>-6.2608360000000002E-2</v>
      </c>
      <c r="V323" s="36">
        <f t="shared" si="60"/>
        <v>-6.2519891482886031E-2</v>
      </c>
      <c r="W323" s="38">
        <v>-5.0964235999999996E-2</v>
      </c>
      <c r="X323" s="36">
        <f t="shared" si="61"/>
        <v>-5.0875767482886025E-2</v>
      </c>
      <c r="Y323" s="38">
        <v>-4.209852E-2</v>
      </c>
      <c r="Z323" s="36">
        <f t="shared" si="62"/>
        <v>-4.2010051482886029E-2</v>
      </c>
      <c r="AA323" s="38">
        <v>-2.3858427999999997E-2</v>
      </c>
      <c r="AB323" s="36">
        <f t="shared" si="63"/>
        <v>-2.3769959482886027E-2</v>
      </c>
      <c r="AC323" s="38">
        <v>-1.6668200000000001E-2</v>
      </c>
      <c r="AD323" s="36">
        <f t="shared" si="64"/>
        <v>-1.657973148288603E-2</v>
      </c>
      <c r="AE323" s="38">
        <v>-1.4685391999999999E-3</v>
      </c>
      <c r="AF323" s="36">
        <f t="shared" si="65"/>
        <v>-1.3800706828860289E-3</v>
      </c>
    </row>
    <row r="324" spans="2:32" outlineLevel="1" x14ac:dyDescent="0.25">
      <c r="B324" s="38">
        <v>-4.8399999999999997E-3</v>
      </c>
      <c r="C324" s="37">
        <f t="shared" si="55"/>
        <v>-9.3298546093412149E-5</v>
      </c>
      <c r="E324" s="40">
        <v>43938</v>
      </c>
      <c r="F324" s="38">
        <v>-0.1164096</v>
      </c>
      <c r="G324" s="38">
        <v>5.0331353999999995E-3</v>
      </c>
      <c r="H324" s="36">
        <f t="shared" si="56"/>
        <v>-0.11631630145390659</v>
      </c>
      <c r="I324" s="36">
        <f t="shared" si="57"/>
        <v>5.1264339460934116E-3</v>
      </c>
      <c r="O324" s="38">
        <v>-2.0992160000000003E-2</v>
      </c>
      <c r="P324" s="36">
        <f t="shared" si="58"/>
        <v>-2.0898861453906591E-2</v>
      </c>
      <c r="Q324" s="38">
        <v>1.1278272000000001E-2</v>
      </c>
      <c r="R324" s="36">
        <f t="shared" si="58"/>
        <v>1.1371570546093413E-2</v>
      </c>
      <c r="S324" s="38">
        <v>-1.3375699999999999E-2</v>
      </c>
      <c r="T324" s="36">
        <f t="shared" si="59"/>
        <v>-1.3282401453906587E-2</v>
      </c>
      <c r="U324" s="38">
        <v>2.1448254999999999E-2</v>
      </c>
      <c r="V324" s="36">
        <f t="shared" si="60"/>
        <v>2.1541553546093412E-2</v>
      </c>
      <c r="W324" s="38">
        <v>-2.6809573000000003E-2</v>
      </c>
      <c r="X324" s="36">
        <f t="shared" si="61"/>
        <v>-2.6716274453906591E-2</v>
      </c>
      <c r="Y324" s="38">
        <v>-4.2243360000000001E-2</v>
      </c>
      <c r="Z324" s="36">
        <f t="shared" si="62"/>
        <v>-4.2150061453906588E-2</v>
      </c>
      <c r="AA324" s="38">
        <v>3.2163381999999997E-2</v>
      </c>
      <c r="AB324" s="36">
        <f t="shared" si="63"/>
        <v>3.2256680546093409E-2</v>
      </c>
      <c r="AC324" s="38">
        <v>-6.1444044000000003E-2</v>
      </c>
      <c r="AD324" s="36">
        <f t="shared" si="64"/>
        <v>-6.1350745453906591E-2</v>
      </c>
      <c r="AE324" s="38">
        <v>3.7627459000000002E-2</v>
      </c>
      <c r="AF324" s="36">
        <f t="shared" si="65"/>
        <v>3.7720757546093414E-2</v>
      </c>
    </row>
    <row r="325" spans="2:32" outlineLevel="1" x14ac:dyDescent="0.25">
      <c r="B325" s="38">
        <v>-3.5099999999999997E-3</v>
      </c>
      <c r="C325" s="37">
        <f t="shared" si="55"/>
        <v>-6.7616454338503829E-5</v>
      </c>
      <c r="E325" s="40">
        <v>43931</v>
      </c>
      <c r="F325" s="38">
        <v>0.17240069999999999</v>
      </c>
      <c r="G325" s="38">
        <v>7.3577879999999998E-2</v>
      </c>
      <c r="H325" s="36">
        <f t="shared" si="56"/>
        <v>0.17246831645433849</v>
      </c>
      <c r="I325" s="36">
        <f t="shared" si="57"/>
        <v>7.3645496454338502E-2</v>
      </c>
      <c r="O325" s="38">
        <v>0.20629036000000001</v>
      </c>
      <c r="P325" s="36">
        <f t="shared" si="58"/>
        <v>0.20635797645433851</v>
      </c>
      <c r="Q325" s="38">
        <v>0.14952469000000002</v>
      </c>
      <c r="R325" s="36">
        <f t="shared" si="58"/>
        <v>0.14959230645433852</v>
      </c>
      <c r="S325" s="38">
        <v>0.17246628</v>
      </c>
      <c r="T325" s="36">
        <f t="shared" si="59"/>
        <v>0.1725338964543385</v>
      </c>
      <c r="U325" s="38">
        <v>0.13564241000000002</v>
      </c>
      <c r="V325" s="36">
        <f t="shared" si="60"/>
        <v>0.13571002645433852</v>
      </c>
      <c r="W325" s="38">
        <v>0.21696567999999999</v>
      </c>
      <c r="X325" s="36">
        <f t="shared" si="61"/>
        <v>0.2170332964543385</v>
      </c>
      <c r="Y325" s="38">
        <v>0.25032937999999999</v>
      </c>
      <c r="Z325" s="36">
        <f t="shared" si="62"/>
        <v>0.25039699645433849</v>
      </c>
      <c r="AA325" s="38">
        <v>5.7342289999999997E-2</v>
      </c>
      <c r="AB325" s="36">
        <f t="shared" si="63"/>
        <v>5.7409906454338501E-2</v>
      </c>
      <c r="AC325" s="38">
        <v>0.31666422</v>
      </c>
      <c r="AD325" s="36">
        <f t="shared" si="64"/>
        <v>0.3167318364543385</v>
      </c>
      <c r="AE325" s="38">
        <v>0.11527956</v>
      </c>
      <c r="AF325" s="36">
        <f t="shared" si="65"/>
        <v>0.11534717645433851</v>
      </c>
    </row>
    <row r="326" spans="2:32" outlineLevel="1" x14ac:dyDescent="0.25">
      <c r="B326" s="38">
        <v>-4.5000000000000005E-3</v>
      </c>
      <c r="C326" s="37">
        <f t="shared" si="55"/>
        <v>-8.6729997926360269E-5</v>
      </c>
      <c r="E326" s="40">
        <v>43924</v>
      </c>
      <c r="F326" s="38">
        <v>-0.11792928</v>
      </c>
      <c r="G326" s="38">
        <v>-5.9182643999999996E-3</v>
      </c>
      <c r="H326" s="36">
        <f t="shared" si="56"/>
        <v>-0.11784255000207364</v>
      </c>
      <c r="I326" s="36">
        <f t="shared" si="57"/>
        <v>-5.8315344020736393E-3</v>
      </c>
      <c r="O326" s="38">
        <v>-4.2914510000000003E-2</v>
      </c>
      <c r="P326" s="36">
        <f t="shared" si="58"/>
        <v>-4.2827780002073643E-2</v>
      </c>
      <c r="Q326" s="38">
        <v>-3.2608747E-2</v>
      </c>
      <c r="R326" s="36">
        <f t="shared" si="58"/>
        <v>-3.252201700207364E-2</v>
      </c>
      <c r="S326" s="38">
        <v>-0.16629426999999999</v>
      </c>
      <c r="T326" s="36">
        <f t="shared" si="59"/>
        <v>-0.16620754000207363</v>
      </c>
      <c r="U326" s="38">
        <v>-1.6807616000000001E-2</v>
      </c>
      <c r="V326" s="36">
        <f t="shared" si="60"/>
        <v>-1.6720886002073641E-2</v>
      </c>
      <c r="W326" s="38">
        <v>-9.8529339999999993E-2</v>
      </c>
      <c r="X326" s="36">
        <f t="shared" si="61"/>
        <v>-9.8442610002073633E-2</v>
      </c>
      <c r="Y326" s="38">
        <v>-0.1634121</v>
      </c>
      <c r="Z326" s="36">
        <f t="shared" si="62"/>
        <v>-0.16332537000207364</v>
      </c>
      <c r="AA326" s="38">
        <v>-0.10009164</v>
      </c>
      <c r="AB326" s="36">
        <f t="shared" si="63"/>
        <v>-0.10000491000207364</v>
      </c>
      <c r="AC326" s="38">
        <v>-0.13594377499999999</v>
      </c>
      <c r="AD326" s="36">
        <f t="shared" si="64"/>
        <v>-0.13585704500207363</v>
      </c>
      <c r="AE326" s="38">
        <v>-0.14991421000000002</v>
      </c>
      <c r="AF326" s="36">
        <f t="shared" si="65"/>
        <v>-0.14982748000207366</v>
      </c>
    </row>
    <row r="327" spans="2:32" outlineLevel="1" x14ac:dyDescent="0.25">
      <c r="B327" s="38">
        <v>-4.7399999999999994E-3</v>
      </c>
      <c r="C327" s="37">
        <f t="shared" si="55"/>
        <v>-9.1366391711700246E-5</v>
      </c>
      <c r="E327" s="40">
        <v>43917</v>
      </c>
      <c r="F327" s="38">
        <v>0.10996914000000001</v>
      </c>
      <c r="G327" s="38">
        <v>6.0947300000000003E-2</v>
      </c>
      <c r="H327" s="36">
        <f t="shared" si="56"/>
        <v>0.11006050639171171</v>
      </c>
      <c r="I327" s="36">
        <f t="shared" si="57"/>
        <v>6.1038666391711703E-2</v>
      </c>
      <c r="O327" s="38">
        <v>5.4362060000000004E-2</v>
      </c>
      <c r="P327" s="36">
        <f t="shared" si="58"/>
        <v>5.4453426391711704E-2</v>
      </c>
      <c r="Q327" s="38">
        <v>0.15055322999999998</v>
      </c>
      <c r="R327" s="36">
        <f t="shared" si="58"/>
        <v>0.15064459639171168</v>
      </c>
      <c r="S327" s="38">
        <v>-1.5165746000000001E-2</v>
      </c>
      <c r="T327" s="36">
        <f t="shared" si="59"/>
        <v>-1.5074379608288301E-2</v>
      </c>
      <c r="U327" s="38">
        <v>0.10019339000000001</v>
      </c>
      <c r="V327" s="36">
        <f t="shared" si="60"/>
        <v>0.10028475639171171</v>
      </c>
      <c r="W327" s="38">
        <v>0.19955898000000002</v>
      </c>
      <c r="X327" s="36">
        <f t="shared" si="61"/>
        <v>0.19965034639171172</v>
      </c>
      <c r="Y327" s="38">
        <v>0.15861726000000001</v>
      </c>
      <c r="Z327" s="36">
        <f t="shared" si="62"/>
        <v>0.15870862639171171</v>
      </c>
      <c r="AA327" s="38">
        <v>9.3396300000000002E-2</v>
      </c>
      <c r="AB327" s="36">
        <f t="shared" si="63"/>
        <v>9.3487666391711702E-2</v>
      </c>
      <c r="AC327" s="38">
        <v>0.13928115999999999</v>
      </c>
      <c r="AD327" s="36">
        <f t="shared" si="64"/>
        <v>0.13937252639171169</v>
      </c>
      <c r="AE327" s="38">
        <v>0.12454653</v>
      </c>
      <c r="AF327" s="36">
        <f t="shared" si="65"/>
        <v>0.1246378963917117</v>
      </c>
    </row>
    <row r="328" spans="2:32" outlineLevel="1" x14ac:dyDescent="0.25">
      <c r="B328" s="38">
        <v>-3.15E-3</v>
      </c>
      <c r="C328" s="37">
        <f t="shared" si="55"/>
        <v>-6.06706920226463E-5</v>
      </c>
      <c r="E328" s="40">
        <v>43910</v>
      </c>
      <c r="F328" s="38">
        <v>-3.2934190000000002E-2</v>
      </c>
      <c r="G328" s="38">
        <v>-2.0457268000000001E-2</v>
      </c>
      <c r="H328" s="36">
        <f t="shared" si="56"/>
        <v>-3.2873519307977356E-2</v>
      </c>
      <c r="I328" s="36">
        <f t="shared" si="57"/>
        <v>-2.0396597307977354E-2</v>
      </c>
      <c r="O328" s="38">
        <v>-0.26691324</v>
      </c>
      <c r="P328" s="36">
        <f t="shared" si="58"/>
        <v>-0.26685256930797735</v>
      </c>
      <c r="Q328" s="38">
        <v>-0.10465109</v>
      </c>
      <c r="R328" s="36">
        <f t="shared" si="58"/>
        <v>-0.10459041930797736</v>
      </c>
      <c r="S328" s="38">
        <v>1.6466141E-2</v>
      </c>
      <c r="T328" s="36">
        <f t="shared" si="59"/>
        <v>1.6526811692022646E-2</v>
      </c>
      <c r="U328" s="38">
        <v>-8.9167780000000002E-2</v>
      </c>
      <c r="V328" s="36">
        <f t="shared" si="60"/>
        <v>-8.9107109307977356E-2</v>
      </c>
      <c r="W328" s="38">
        <v>-0.11598438</v>
      </c>
      <c r="X328" s="36">
        <f t="shared" si="61"/>
        <v>-0.11592370930797735</v>
      </c>
      <c r="Y328" s="38">
        <v>-0.20356417000000002</v>
      </c>
      <c r="Z328" s="36">
        <f t="shared" si="62"/>
        <v>-0.20350349930797737</v>
      </c>
      <c r="AA328" s="38">
        <v>4.7621010000000005E-2</v>
      </c>
      <c r="AB328" s="36">
        <f t="shared" si="63"/>
        <v>4.7681680692022652E-2</v>
      </c>
      <c r="AC328" s="38">
        <v>-0.23978602999999998</v>
      </c>
      <c r="AD328" s="36">
        <f t="shared" si="64"/>
        <v>-0.23972535930797734</v>
      </c>
      <c r="AE328" s="38">
        <v>-1.2466431E-2</v>
      </c>
      <c r="AF328" s="36">
        <f t="shared" si="65"/>
        <v>-1.2405760307977354E-2</v>
      </c>
    </row>
    <row r="329" spans="2:32" outlineLevel="1" x14ac:dyDescent="0.25">
      <c r="B329" s="38">
        <v>-5.7599999999999995E-3</v>
      </c>
      <c r="C329" s="37">
        <f t="shared" si="55"/>
        <v>-1.1108330628206708E-4</v>
      </c>
      <c r="E329" s="40">
        <v>43903</v>
      </c>
      <c r="F329" s="38">
        <v>-0.28632473000000003</v>
      </c>
      <c r="G329" s="38">
        <v>-0.18440563000000001</v>
      </c>
      <c r="H329" s="36">
        <f t="shared" si="56"/>
        <v>-0.28621364669371796</v>
      </c>
      <c r="I329" s="36">
        <f t="shared" si="57"/>
        <v>-0.18429454669371795</v>
      </c>
      <c r="O329" s="38">
        <v>-0.20317548999999999</v>
      </c>
      <c r="P329" s="36">
        <f t="shared" si="58"/>
        <v>-0.20306440669371792</v>
      </c>
      <c r="Q329" s="38">
        <v>-0.22158902999999999</v>
      </c>
      <c r="R329" s="36">
        <f t="shared" si="58"/>
        <v>-0.22147794669371793</v>
      </c>
      <c r="S329" s="38">
        <v>-9.3547939999999996E-2</v>
      </c>
      <c r="T329" s="36">
        <f t="shared" si="59"/>
        <v>-9.3436856693717929E-2</v>
      </c>
      <c r="U329" s="38">
        <v>-0.20622164000000001</v>
      </c>
      <c r="V329" s="36">
        <f t="shared" si="60"/>
        <v>-0.20611055669371794</v>
      </c>
      <c r="W329" s="38">
        <v>-0.26419972999999997</v>
      </c>
      <c r="X329" s="36">
        <f t="shared" si="61"/>
        <v>-0.2640886466937179</v>
      </c>
      <c r="Y329" s="38">
        <v>-0.11358494000000001</v>
      </c>
      <c r="Z329" s="36">
        <f t="shared" si="62"/>
        <v>-0.11347385669371794</v>
      </c>
      <c r="AA329" s="38">
        <v>-0.10046452499999999</v>
      </c>
      <c r="AB329" s="36">
        <f t="shared" si="63"/>
        <v>-0.10035344169371792</v>
      </c>
      <c r="AC329" s="38">
        <v>-0.11993331</v>
      </c>
      <c r="AD329" s="36">
        <f t="shared" si="64"/>
        <v>-0.11982222669371793</v>
      </c>
      <c r="AE329" s="38">
        <v>-0.14406336</v>
      </c>
      <c r="AF329" s="36">
        <f t="shared" si="65"/>
        <v>-0.14395227669371793</v>
      </c>
    </row>
    <row r="330" spans="2:32" outlineLevel="1" x14ac:dyDescent="0.25">
      <c r="B330" s="38">
        <v>-7.0699999999999999E-3</v>
      </c>
      <c r="C330" s="37">
        <f t="shared" si="55"/>
        <v>-1.3643513180239264E-4</v>
      </c>
      <c r="E330" s="40">
        <v>43896</v>
      </c>
      <c r="F330" s="38">
        <v>-0.11681456000000001</v>
      </c>
      <c r="G330" s="38">
        <v>-2.3559152999999999E-2</v>
      </c>
      <c r="H330" s="36">
        <f t="shared" si="56"/>
        <v>-0.11667812486819762</v>
      </c>
      <c r="I330" s="36">
        <f t="shared" si="57"/>
        <v>-2.3422717868197607E-2</v>
      </c>
      <c r="O330" s="38">
        <v>-6.4401390000000003E-2</v>
      </c>
      <c r="P330" s="36">
        <f t="shared" si="58"/>
        <v>-6.426495486819761E-2</v>
      </c>
      <c r="Q330" s="38">
        <v>-2.0682930000000002E-2</v>
      </c>
      <c r="R330" s="36">
        <f t="shared" si="58"/>
        <v>-2.054649486819761E-2</v>
      </c>
      <c r="S330" s="38">
        <v>-9.0317250000000002E-2</v>
      </c>
      <c r="T330" s="36">
        <f t="shared" si="59"/>
        <v>-9.0180814868197609E-2</v>
      </c>
      <c r="U330" s="38">
        <v>-2.9017447999999998E-2</v>
      </c>
      <c r="V330" s="36">
        <f t="shared" si="60"/>
        <v>-2.8881012868197605E-2</v>
      </c>
      <c r="W330" s="38">
        <v>-7.1390510000000004E-2</v>
      </c>
      <c r="X330" s="36">
        <f t="shared" si="61"/>
        <v>-7.1254074868197612E-2</v>
      </c>
      <c r="Y330" s="38">
        <v>-9.4405119999999995E-2</v>
      </c>
      <c r="Z330" s="36">
        <f t="shared" si="62"/>
        <v>-9.4268684868197603E-2</v>
      </c>
      <c r="AA330" s="38">
        <v>-5.2053330000000002E-2</v>
      </c>
      <c r="AB330" s="36">
        <f t="shared" si="63"/>
        <v>-5.1916894868197609E-2</v>
      </c>
      <c r="AC330" s="38">
        <v>-8.6456480000000002E-2</v>
      </c>
      <c r="AD330" s="36">
        <f t="shared" si="64"/>
        <v>-8.632004486819761E-2</v>
      </c>
      <c r="AE330" s="38">
        <v>-4.5374336000000001E-2</v>
      </c>
      <c r="AF330" s="36">
        <f t="shared" si="65"/>
        <v>-4.5237900868197609E-2</v>
      </c>
    </row>
    <row r="331" spans="2:32" outlineLevel="1" x14ac:dyDescent="0.25">
      <c r="B331" s="38">
        <v>-6.1599999999999997E-3</v>
      </c>
      <c r="C331" s="37">
        <f t="shared" si="55"/>
        <v>-1.1882084556558148E-4</v>
      </c>
      <c r="E331" s="40">
        <v>43889</v>
      </c>
      <c r="F331" s="38">
        <v>-0.16379988000000001</v>
      </c>
      <c r="G331" s="38">
        <v>-0.12245661000000001</v>
      </c>
      <c r="H331" s="36">
        <f t="shared" si="56"/>
        <v>-0.16368105915443443</v>
      </c>
      <c r="I331" s="36">
        <f t="shared" si="57"/>
        <v>-0.12233778915443443</v>
      </c>
      <c r="O331" s="38">
        <v>-6.9370929999999997E-2</v>
      </c>
      <c r="P331" s="36">
        <f t="shared" si="58"/>
        <v>-6.9252109154434416E-2</v>
      </c>
      <c r="Q331" s="38">
        <v>-9.4261054999999996E-2</v>
      </c>
      <c r="R331" s="36">
        <f t="shared" si="58"/>
        <v>-9.4142234154434415E-2</v>
      </c>
      <c r="S331" s="38">
        <v>-5.9089603000000004E-2</v>
      </c>
      <c r="T331" s="36">
        <f t="shared" si="59"/>
        <v>-5.8970782154434423E-2</v>
      </c>
      <c r="U331" s="38">
        <v>-8.6498259999999993E-2</v>
      </c>
      <c r="V331" s="36">
        <f t="shared" si="60"/>
        <v>-8.6379439154434412E-2</v>
      </c>
      <c r="W331" s="38">
        <v>-0.11867589000000001</v>
      </c>
      <c r="X331" s="36">
        <f t="shared" si="61"/>
        <v>-0.11855706915443442</v>
      </c>
      <c r="Y331" s="38">
        <v>-0.12851136999999999</v>
      </c>
      <c r="Z331" s="36">
        <f t="shared" si="62"/>
        <v>-0.1283925491544344</v>
      </c>
      <c r="AA331" s="38">
        <v>-6.9581270000000001E-2</v>
      </c>
      <c r="AB331" s="36">
        <f t="shared" si="63"/>
        <v>-6.9462449154434419E-2</v>
      </c>
      <c r="AC331" s="38">
        <v>-0.13038694000000001</v>
      </c>
      <c r="AD331" s="36">
        <f t="shared" si="64"/>
        <v>-0.13026811915443443</v>
      </c>
      <c r="AE331" s="38">
        <v>-5.7521820000000001E-2</v>
      </c>
      <c r="AF331" s="36">
        <f t="shared" si="65"/>
        <v>-5.740299915443442E-2</v>
      </c>
    </row>
    <row r="332" spans="2:32" outlineLevel="1" x14ac:dyDescent="0.25">
      <c r="B332" s="38">
        <v>-4.45E-3</v>
      </c>
      <c r="C332" s="37">
        <f t="shared" si="55"/>
        <v>-8.576422054074051E-5</v>
      </c>
      <c r="E332" s="40">
        <v>43882</v>
      </c>
      <c r="F332" s="38">
        <v>-8.1594230000000004E-2</v>
      </c>
      <c r="G332" s="38">
        <v>-5.6907534999999995E-3</v>
      </c>
      <c r="H332" s="36">
        <f t="shared" si="56"/>
        <v>-8.1508465779459263E-2</v>
      </c>
      <c r="I332" s="36">
        <f t="shared" si="57"/>
        <v>-5.604989279459259E-3</v>
      </c>
      <c r="O332" s="38">
        <v>-1.4842630000000001E-2</v>
      </c>
      <c r="P332" s="36">
        <f t="shared" si="58"/>
        <v>-1.475686577945926E-2</v>
      </c>
      <c r="Q332" s="38">
        <v>-1.8388808E-2</v>
      </c>
      <c r="R332" s="36">
        <f t="shared" si="58"/>
        <v>-1.8303043779459259E-2</v>
      </c>
      <c r="S332" s="38">
        <v>-3.6352038000000003E-2</v>
      </c>
      <c r="T332" s="36">
        <f t="shared" si="59"/>
        <v>-3.6266273779459263E-2</v>
      </c>
      <c r="U332" s="38">
        <v>-2.0497978E-2</v>
      </c>
      <c r="V332" s="36">
        <f t="shared" si="60"/>
        <v>-2.041221377945926E-2</v>
      </c>
      <c r="W332" s="38">
        <v>-1.091367E-2</v>
      </c>
      <c r="X332" s="36">
        <f t="shared" si="61"/>
        <v>-1.082790577945926E-2</v>
      </c>
      <c r="Y332" s="38">
        <v>-2.6509404E-2</v>
      </c>
      <c r="Z332" s="36">
        <f t="shared" si="62"/>
        <v>-2.642363977945926E-2</v>
      </c>
      <c r="AA332" s="38">
        <v>-4.2786598E-3</v>
      </c>
      <c r="AB332" s="36">
        <f t="shared" si="63"/>
        <v>-4.1928955794592595E-3</v>
      </c>
      <c r="AC332" s="38">
        <v>-3.7615300000000003E-3</v>
      </c>
      <c r="AD332" s="36">
        <f t="shared" si="64"/>
        <v>-3.6757657794592598E-3</v>
      </c>
      <c r="AE332" s="38">
        <v>8.208275000000001E-3</v>
      </c>
      <c r="AF332" s="36">
        <f t="shared" si="65"/>
        <v>8.2940392205407415E-3</v>
      </c>
    </row>
    <row r="333" spans="2:32" outlineLevel="1" x14ac:dyDescent="0.25">
      <c r="B333" s="38">
        <v>-4.0600000000000002E-3</v>
      </c>
      <c r="C333" s="37">
        <f t="shared" si="55"/>
        <v>-7.8232789193277696E-5</v>
      </c>
      <c r="E333" s="40">
        <v>43875</v>
      </c>
      <c r="F333" s="38">
        <v>-1.5832245000000002E-2</v>
      </c>
      <c r="G333" s="38">
        <v>1.4515996E-2</v>
      </c>
      <c r="H333" s="36">
        <f t="shared" si="56"/>
        <v>-1.5754012210806724E-2</v>
      </c>
      <c r="I333" s="36">
        <f t="shared" si="57"/>
        <v>1.4594228789193277E-2</v>
      </c>
      <c r="O333" s="38">
        <v>4.4233800000000002E-3</v>
      </c>
      <c r="P333" s="36">
        <f t="shared" si="58"/>
        <v>4.5016127891932779E-3</v>
      </c>
      <c r="Q333" s="38">
        <v>9.7259282999999988E-3</v>
      </c>
      <c r="R333" s="36">
        <f t="shared" si="58"/>
        <v>9.8041610891932765E-3</v>
      </c>
      <c r="S333" s="38">
        <v>-0.12869686</v>
      </c>
      <c r="T333" s="36">
        <f t="shared" si="59"/>
        <v>-0.12861862721080672</v>
      </c>
      <c r="U333" s="38">
        <v>1.8086194999999999E-2</v>
      </c>
      <c r="V333" s="36">
        <f t="shared" si="60"/>
        <v>1.8164427789193277E-2</v>
      </c>
      <c r="W333" s="38">
        <v>4.1973590000000003E-3</v>
      </c>
      <c r="X333" s="36">
        <f t="shared" si="61"/>
        <v>4.275591789193278E-3</v>
      </c>
      <c r="Y333" s="38">
        <v>9.679794299999999E-3</v>
      </c>
      <c r="Z333" s="36">
        <f t="shared" si="62"/>
        <v>9.7580270891932767E-3</v>
      </c>
      <c r="AA333" s="38">
        <v>-6.0395600000000002E-3</v>
      </c>
      <c r="AB333" s="36">
        <f t="shared" si="63"/>
        <v>-5.9613272108067225E-3</v>
      </c>
      <c r="AC333" s="38">
        <v>4.4894340000000005E-2</v>
      </c>
      <c r="AD333" s="36">
        <f t="shared" si="64"/>
        <v>4.4972572789193282E-2</v>
      </c>
      <c r="AE333" s="38">
        <v>4.7331810000000002E-2</v>
      </c>
      <c r="AF333" s="36">
        <f t="shared" si="65"/>
        <v>4.741004278919328E-2</v>
      </c>
    </row>
    <row r="334" spans="2:32" outlineLevel="1" x14ac:dyDescent="0.25">
      <c r="B334" s="38">
        <v>-3.9100000000000003E-3</v>
      </c>
      <c r="C334" s="37">
        <f t="shared" si="55"/>
        <v>-7.5336855000163183E-5</v>
      </c>
      <c r="E334" s="40">
        <v>43868</v>
      </c>
      <c r="F334" s="38">
        <v>-5.3908230000000003E-3</v>
      </c>
      <c r="G334" s="38">
        <v>3.3235073000000004E-2</v>
      </c>
      <c r="H334" s="36">
        <f t="shared" si="56"/>
        <v>-5.3154861449998371E-3</v>
      </c>
      <c r="I334" s="36">
        <f t="shared" si="57"/>
        <v>3.3310409855000167E-2</v>
      </c>
      <c r="O334" s="38">
        <v>4.0572762000000005E-2</v>
      </c>
      <c r="P334" s="36">
        <f t="shared" si="58"/>
        <v>4.0648098855000168E-2</v>
      </c>
      <c r="Q334" s="38">
        <v>2.4456500000000003E-2</v>
      </c>
      <c r="R334" s="36">
        <f t="shared" si="58"/>
        <v>2.4531836855000166E-2</v>
      </c>
      <c r="S334" s="38">
        <v>-7.6960325E-3</v>
      </c>
      <c r="T334" s="36">
        <f t="shared" si="59"/>
        <v>-7.6206956449998368E-3</v>
      </c>
      <c r="U334" s="38">
        <v>5.4399969999999994E-3</v>
      </c>
      <c r="V334" s="36">
        <f t="shared" si="60"/>
        <v>5.5153338550001626E-3</v>
      </c>
      <c r="W334" s="38">
        <v>2.5834202999999997E-2</v>
      </c>
      <c r="X334" s="36">
        <f t="shared" si="61"/>
        <v>2.590953985500016E-2</v>
      </c>
      <c r="Y334" s="38">
        <v>-7.0602774999999993E-2</v>
      </c>
      <c r="Z334" s="36">
        <f t="shared" si="62"/>
        <v>-7.0527438144999829E-2</v>
      </c>
      <c r="AA334" s="38">
        <v>2.5351762999999999E-2</v>
      </c>
      <c r="AB334" s="36">
        <f t="shared" si="63"/>
        <v>2.5427099855000163E-2</v>
      </c>
      <c r="AC334" s="38">
        <v>1.8027662999999999E-2</v>
      </c>
      <c r="AD334" s="36">
        <f t="shared" si="64"/>
        <v>1.8102999855000163E-2</v>
      </c>
      <c r="AE334" s="38">
        <v>7.3055029999999996E-3</v>
      </c>
      <c r="AF334" s="36">
        <f t="shared" si="65"/>
        <v>7.3808398550001628E-3</v>
      </c>
    </row>
    <row r="335" spans="2:32" outlineLevel="1" x14ac:dyDescent="0.25">
      <c r="B335" s="38">
        <v>-4.3499999999999997E-3</v>
      </c>
      <c r="C335" s="37">
        <f t="shared" si="55"/>
        <v>-8.3832808477013465E-5</v>
      </c>
      <c r="E335" s="40">
        <v>43861</v>
      </c>
      <c r="F335" s="38">
        <v>-2.826029E-2</v>
      </c>
      <c r="G335" s="38">
        <v>-3.0521273999999998E-2</v>
      </c>
      <c r="H335" s="36">
        <f t="shared" si="56"/>
        <v>-2.8176457191522987E-2</v>
      </c>
      <c r="I335" s="36">
        <f t="shared" si="57"/>
        <v>-3.0437441191522984E-2</v>
      </c>
      <c r="O335" s="38">
        <v>-3.3767045000000002E-2</v>
      </c>
      <c r="P335" s="36">
        <f t="shared" si="58"/>
        <v>-3.3683212191522989E-2</v>
      </c>
      <c r="Q335" s="38">
        <v>-5.6141376E-2</v>
      </c>
      <c r="R335" s="36">
        <f t="shared" si="58"/>
        <v>-5.6057543191522986E-2</v>
      </c>
      <c r="S335" s="38">
        <v>-2.2729039999999999E-2</v>
      </c>
      <c r="T335" s="36">
        <f t="shared" si="59"/>
        <v>-2.2645207191522986E-2</v>
      </c>
      <c r="U335" s="38">
        <v>-7.3044357000000004E-2</v>
      </c>
      <c r="V335" s="36">
        <f t="shared" si="60"/>
        <v>-7.2960524191522991E-2</v>
      </c>
      <c r="W335" s="38">
        <v>-4.8589050000000002E-2</v>
      </c>
      <c r="X335" s="36">
        <f t="shared" si="61"/>
        <v>-4.8505217191522988E-2</v>
      </c>
      <c r="Y335" s="38">
        <v>-2.5040626999999999E-2</v>
      </c>
      <c r="Z335" s="36">
        <f t="shared" si="62"/>
        <v>-2.4956794191522986E-2</v>
      </c>
      <c r="AA335" s="38">
        <v>-2.3578286E-2</v>
      </c>
      <c r="AB335" s="36">
        <f t="shared" si="63"/>
        <v>-2.3494453191522987E-2</v>
      </c>
      <c r="AC335" s="38">
        <v>-3.1819939999999998E-2</v>
      </c>
      <c r="AD335" s="36">
        <f t="shared" si="64"/>
        <v>-3.1736107191522984E-2</v>
      </c>
      <c r="AE335" s="38">
        <v>-3.9444685E-2</v>
      </c>
      <c r="AF335" s="36">
        <f t="shared" si="65"/>
        <v>-3.9360852191522987E-2</v>
      </c>
    </row>
    <row r="336" spans="2:32" outlineLevel="1" x14ac:dyDescent="0.25">
      <c r="B336" s="38">
        <v>-3.32E-3</v>
      </c>
      <c r="C336" s="37">
        <f t="shared" si="55"/>
        <v>-6.3950328716977367E-5</v>
      </c>
      <c r="E336" s="40">
        <v>43854</v>
      </c>
      <c r="F336" s="38">
        <v>-7.6158879999999998E-2</v>
      </c>
      <c r="G336" s="38">
        <v>-2.1669268999999999E-3</v>
      </c>
      <c r="H336" s="36">
        <f t="shared" si="56"/>
        <v>-7.6094929671283021E-2</v>
      </c>
      <c r="I336" s="36">
        <f t="shared" si="57"/>
        <v>-2.1029765712830225E-3</v>
      </c>
      <c r="O336" s="38">
        <v>-2.3326932999999998E-2</v>
      </c>
      <c r="P336" s="36">
        <f t="shared" si="58"/>
        <v>-2.326298267128302E-2</v>
      </c>
      <c r="Q336" s="38">
        <v>-2.3650467000000001E-2</v>
      </c>
      <c r="R336" s="36">
        <f t="shared" si="58"/>
        <v>-2.3586516671283024E-2</v>
      </c>
      <c r="S336" s="38">
        <v>-1.6531646000000001E-2</v>
      </c>
      <c r="T336" s="36">
        <f t="shared" si="59"/>
        <v>-1.6467695671283023E-2</v>
      </c>
      <c r="U336" s="38">
        <v>-2.3219705E-2</v>
      </c>
      <c r="V336" s="36">
        <f t="shared" si="60"/>
        <v>-2.3155754671283023E-2</v>
      </c>
      <c r="W336" s="38">
        <v>-5.8899106999999999E-2</v>
      </c>
      <c r="X336" s="36">
        <f t="shared" si="61"/>
        <v>-5.8835156671283022E-2</v>
      </c>
      <c r="Y336" s="38">
        <v>-1.1228978999999998E-2</v>
      </c>
      <c r="Z336" s="36">
        <f t="shared" si="62"/>
        <v>-1.1165028671283021E-2</v>
      </c>
      <c r="AA336" s="38">
        <v>3.6458730000000002E-2</v>
      </c>
      <c r="AB336" s="36">
        <f t="shared" si="63"/>
        <v>3.6522680328716979E-2</v>
      </c>
      <c r="AC336" s="38">
        <v>-3.0116736999999998E-2</v>
      </c>
      <c r="AD336" s="36">
        <f t="shared" si="64"/>
        <v>-3.005278667128302E-2</v>
      </c>
      <c r="AE336" s="38">
        <v>-1.9469380000000001E-2</v>
      </c>
      <c r="AF336" s="36">
        <f t="shared" si="65"/>
        <v>-1.9405429671283024E-2</v>
      </c>
    </row>
    <row r="337" spans="2:32" outlineLevel="1" x14ac:dyDescent="0.25">
      <c r="B337" s="38">
        <v>-2.0699999999999998E-3</v>
      </c>
      <c r="C337" s="37">
        <f t="shared" si="55"/>
        <v>-3.9848156256128142E-5</v>
      </c>
      <c r="E337" s="40">
        <v>43847</v>
      </c>
      <c r="F337" s="38">
        <v>-6.1663509999999998E-2</v>
      </c>
      <c r="G337" s="38">
        <v>1.2931227999999999E-2</v>
      </c>
      <c r="H337" s="36">
        <f t="shared" si="56"/>
        <v>-6.162366184374387E-2</v>
      </c>
      <c r="I337" s="36">
        <f t="shared" si="57"/>
        <v>1.2971076156256128E-2</v>
      </c>
      <c r="O337" s="38">
        <v>-3.1021E-2</v>
      </c>
      <c r="P337" s="36">
        <f t="shared" si="58"/>
        <v>-3.0981151843743872E-2</v>
      </c>
      <c r="Q337" s="38">
        <v>-1.8569112000000002E-2</v>
      </c>
      <c r="R337" s="36">
        <f t="shared" si="58"/>
        <v>-1.8529263843743874E-2</v>
      </c>
      <c r="S337" s="38">
        <v>-7.2084664999999999E-3</v>
      </c>
      <c r="T337" s="36">
        <f t="shared" si="59"/>
        <v>-7.1686183437438718E-3</v>
      </c>
      <c r="U337" s="38">
        <v>-4.7069907000000001E-2</v>
      </c>
      <c r="V337" s="36">
        <f t="shared" si="60"/>
        <v>-4.7030058843743873E-2</v>
      </c>
      <c r="W337" s="38">
        <v>-5.5431899999999999E-2</v>
      </c>
      <c r="X337" s="36">
        <f t="shared" si="61"/>
        <v>-5.5392051843743871E-2</v>
      </c>
      <c r="Y337" s="38">
        <v>-8.0785749999999993E-3</v>
      </c>
      <c r="Z337" s="36">
        <f t="shared" si="62"/>
        <v>-8.0387268437438712E-3</v>
      </c>
      <c r="AA337" s="38">
        <v>4.9650669999999999E-4</v>
      </c>
      <c r="AB337" s="36">
        <f t="shared" si="63"/>
        <v>5.3635485625612813E-4</v>
      </c>
      <c r="AC337" s="38">
        <v>2.9129982000000002E-2</v>
      </c>
      <c r="AD337" s="36">
        <f t="shared" si="64"/>
        <v>2.916983015625613E-2</v>
      </c>
      <c r="AE337" s="38">
        <v>-4.2496323999999999E-3</v>
      </c>
      <c r="AF337" s="36">
        <f t="shared" si="65"/>
        <v>-4.2097842437438717E-3</v>
      </c>
    </row>
    <row r="338" spans="2:32" outlineLevel="1" x14ac:dyDescent="0.25">
      <c r="B338" s="38">
        <v>-2.31E-3</v>
      </c>
      <c r="C338" s="37">
        <f t="shared" si="55"/>
        <v>-4.4473475755091307E-5</v>
      </c>
      <c r="E338" s="40">
        <v>43840</v>
      </c>
      <c r="F338" s="38">
        <v>1.5041232E-2</v>
      </c>
      <c r="G338" s="38">
        <v>1.9363164999999999E-3</v>
      </c>
      <c r="H338" s="36">
        <f t="shared" si="56"/>
        <v>1.5085705475755091E-2</v>
      </c>
      <c r="I338" s="36">
        <f t="shared" si="57"/>
        <v>1.9807899757550915E-3</v>
      </c>
      <c r="O338" s="38">
        <v>-1.8963099000000001E-2</v>
      </c>
      <c r="P338" s="36">
        <f t="shared" si="58"/>
        <v>-1.8918625524244909E-2</v>
      </c>
      <c r="Q338" s="38">
        <v>4.8082469999999995E-2</v>
      </c>
      <c r="R338" s="36">
        <f t="shared" si="58"/>
        <v>4.8126943475755087E-2</v>
      </c>
      <c r="S338" s="38">
        <v>-8.1954599999999999E-3</v>
      </c>
      <c r="T338" s="36">
        <f t="shared" si="59"/>
        <v>-8.1509865242449086E-3</v>
      </c>
      <c r="U338" s="38">
        <v>1.7048597000000002E-2</v>
      </c>
      <c r="V338" s="36">
        <f t="shared" si="60"/>
        <v>1.7093070475755093E-2</v>
      </c>
      <c r="W338" s="38">
        <v>7.3364972999999997E-3</v>
      </c>
      <c r="X338" s="36">
        <f t="shared" si="61"/>
        <v>7.380970775755091E-3</v>
      </c>
      <c r="Y338" s="38">
        <v>8.9973210000000008E-3</v>
      </c>
      <c r="Z338" s="36">
        <f t="shared" si="62"/>
        <v>9.0417944757550921E-3</v>
      </c>
      <c r="AA338" s="38">
        <v>-1.6247153E-2</v>
      </c>
      <c r="AB338" s="36">
        <f t="shared" si="63"/>
        <v>-1.6202679524244909E-2</v>
      </c>
      <c r="AC338" s="38">
        <v>-4.1559220000000001E-2</v>
      </c>
      <c r="AD338" s="36">
        <f t="shared" si="64"/>
        <v>-4.151474652424491E-2</v>
      </c>
      <c r="AE338" s="38">
        <v>-2.190727E-2</v>
      </c>
      <c r="AF338" s="36">
        <f t="shared" si="65"/>
        <v>-2.1862796524244908E-2</v>
      </c>
    </row>
    <row r="339" spans="2:32" outlineLevel="1" x14ac:dyDescent="0.25">
      <c r="B339" s="38">
        <v>-2.7700000000000003E-3</v>
      </c>
      <c r="C339" s="37">
        <f t="shared" si="55"/>
        <v>-5.3341722460409358E-5</v>
      </c>
      <c r="E339" s="40">
        <v>43833</v>
      </c>
      <c r="F339" s="38">
        <v>-4.1395306999999999E-2</v>
      </c>
      <c r="G339" s="38">
        <v>-3.3592582E-3</v>
      </c>
      <c r="H339" s="36">
        <f t="shared" si="56"/>
        <v>-4.134196527753959E-2</v>
      </c>
      <c r="I339" s="36">
        <f t="shared" si="57"/>
        <v>-3.3059164775395907E-3</v>
      </c>
      <c r="O339" s="38">
        <v>-2.6210070000000002E-2</v>
      </c>
      <c r="P339" s="36">
        <f t="shared" si="58"/>
        <v>-2.6156728277539593E-2</v>
      </c>
      <c r="Q339" s="38">
        <v>2.8634070999999998E-4</v>
      </c>
      <c r="R339" s="36">
        <f t="shared" si="58"/>
        <v>3.3968243246040934E-4</v>
      </c>
      <c r="S339" s="38">
        <v>9.6563099999999995E-3</v>
      </c>
      <c r="T339" s="36">
        <f t="shared" si="59"/>
        <v>9.7096517224604089E-3</v>
      </c>
      <c r="U339" s="38">
        <v>-2.5846958E-3</v>
      </c>
      <c r="V339" s="36">
        <f t="shared" si="60"/>
        <v>-2.5313540775395906E-3</v>
      </c>
      <c r="W339" s="38">
        <v>-1.5449405000000001E-2</v>
      </c>
      <c r="X339" s="36">
        <f t="shared" si="61"/>
        <v>-1.5396063277539592E-2</v>
      </c>
      <c r="Y339" s="38">
        <v>-1.6201912999999998E-2</v>
      </c>
      <c r="Z339" s="36">
        <f t="shared" si="62"/>
        <v>-1.6148571277539589E-2</v>
      </c>
      <c r="AA339" s="38">
        <v>1.1767387000000001E-2</v>
      </c>
      <c r="AB339" s="36">
        <f t="shared" si="63"/>
        <v>1.182072872246041E-2</v>
      </c>
      <c r="AC339" s="38">
        <v>-6.7425966000000002E-3</v>
      </c>
      <c r="AD339" s="36">
        <f t="shared" si="64"/>
        <v>-6.6892548775395909E-3</v>
      </c>
      <c r="AE339" s="38">
        <v>2.6123523999999998E-3</v>
      </c>
      <c r="AF339" s="36">
        <f t="shared" si="65"/>
        <v>2.6656941224604091E-3</v>
      </c>
    </row>
    <row r="340" spans="2:32" ht="13" outlineLevel="1" x14ac:dyDescent="0.3">
      <c r="B340" s="1" t="s">
        <v>473</v>
      </c>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4189-FCAC-419D-AD87-CEBA6D5313A8}">
  <sheetPr>
    <tabColor theme="6" tint="0.79998168889431442"/>
  </sheetPr>
  <dimension ref="A2:AM200"/>
  <sheetViews>
    <sheetView showGridLines="0" zoomScale="85" zoomScaleNormal="85" workbookViewId="0">
      <selection activeCell="F45" sqref="F45"/>
    </sheetView>
  </sheetViews>
  <sheetFormatPr defaultColWidth="8.7265625" defaultRowHeight="12.5" x14ac:dyDescent="0.25"/>
  <cols>
    <col min="1" max="1" width="2.26953125" customWidth="1"/>
    <col min="3" max="3" width="14.1796875" customWidth="1"/>
    <col min="4" max="4" width="5.81640625" customWidth="1"/>
    <col min="5" max="5" width="9.453125" customWidth="1"/>
    <col min="6" max="6" width="12.453125" customWidth="1"/>
    <col min="7" max="7" width="15.453125" customWidth="1"/>
    <col min="8" max="8" width="11.81640625" customWidth="1"/>
    <col min="9" max="9" width="11.26953125" bestFit="1" customWidth="1"/>
    <col min="10" max="10" width="12.26953125" bestFit="1" customWidth="1"/>
    <col min="11" max="11" width="11.81640625" customWidth="1"/>
    <col min="12" max="12" width="10.1796875" bestFit="1" customWidth="1"/>
    <col min="13" max="13" width="9.26953125" bestFit="1" customWidth="1"/>
    <col min="14" max="22" width="11.7265625" customWidth="1"/>
    <col min="23" max="23" width="15.26953125" bestFit="1" customWidth="1"/>
    <col min="24" max="24" width="14.453125" bestFit="1" customWidth="1"/>
    <col min="25" max="25" width="9.1796875" bestFit="1" customWidth="1"/>
  </cols>
  <sheetData>
    <row r="2" spans="2:21" ht="13" x14ac:dyDescent="0.3">
      <c r="B2" s="4" t="s">
        <v>474</v>
      </c>
      <c r="C2" s="4"/>
      <c r="D2" s="4"/>
      <c r="E2" s="4"/>
      <c r="F2" s="4"/>
      <c r="G2" s="4"/>
      <c r="H2" s="4"/>
      <c r="I2" s="4"/>
      <c r="J2" s="4"/>
      <c r="K2" s="4"/>
      <c r="L2" s="4"/>
      <c r="M2" s="4"/>
      <c r="N2" s="4"/>
      <c r="O2" s="4"/>
      <c r="P2" s="4"/>
      <c r="Q2" s="4"/>
      <c r="R2" s="4"/>
      <c r="S2" s="4"/>
      <c r="T2" s="4"/>
      <c r="U2" s="4"/>
    </row>
    <row r="3" spans="2:21" ht="13" thickBot="1" x14ac:dyDescent="0.3"/>
    <row r="4" spans="2:21" ht="13" x14ac:dyDescent="0.3">
      <c r="B4" s="503" t="str">
        <f>N87</f>
        <v>Valuation Summary - Renault</v>
      </c>
      <c r="C4" s="504"/>
      <c r="D4" s="504"/>
      <c r="E4" s="505"/>
      <c r="F4" s="284"/>
      <c r="G4" s="505" t="str">
        <f>S87</f>
        <v>Implied Per Share Multiples Value Range</v>
      </c>
      <c r="H4" s="284"/>
      <c r="I4" s="285"/>
      <c r="J4" s="533" t="s">
        <v>475</v>
      </c>
    </row>
    <row r="5" spans="2:21" ht="13" x14ac:dyDescent="0.3">
      <c r="B5" s="506"/>
      <c r="C5" s="193"/>
      <c r="D5" s="193"/>
      <c r="E5" s="4"/>
      <c r="F5" s="268" t="str">
        <f t="shared" ref="F5:F13" si="0">R88</f>
        <v>25th</v>
      </c>
      <c r="G5" s="4"/>
      <c r="H5" s="4" t="str">
        <f t="shared" ref="H5:H13" si="1">T88</f>
        <v>75th</v>
      </c>
      <c r="I5" s="507"/>
    </row>
    <row r="6" spans="2:21" ht="13" x14ac:dyDescent="0.25">
      <c r="B6" s="508" t="str">
        <f>N89</f>
        <v>Comparables</v>
      </c>
      <c r="C6" s="209"/>
      <c r="D6" s="209"/>
      <c r="E6" s="209" t="str">
        <f t="shared" ref="E6:E13" si="2">Q89</f>
        <v>Minimum</v>
      </c>
      <c r="F6" s="209" t="str">
        <f t="shared" si="0"/>
        <v>Percentile</v>
      </c>
      <c r="G6" s="209" t="str">
        <f t="shared" ref="G6:G13" si="3">S89</f>
        <v>Median</v>
      </c>
      <c r="H6" s="209" t="str">
        <f t="shared" si="1"/>
        <v>Percentile</v>
      </c>
      <c r="I6" s="509" t="str">
        <f t="shared" ref="I6:I13" si="4">U89</f>
        <v>Maximum</v>
      </c>
    </row>
    <row r="7" spans="2:21" x14ac:dyDescent="0.25">
      <c r="B7" s="121" t="str">
        <f>N90</f>
        <v>2027E Enterprise Value / Revenue</v>
      </c>
      <c r="E7" s="243" t="str">
        <f t="shared" ca="1" si="2"/>
        <v/>
      </c>
      <c r="F7" s="243" t="str">
        <f t="shared" ca="1" si="0"/>
        <v/>
      </c>
      <c r="G7" s="243">
        <f t="shared" ca="1" si="3"/>
        <v>9.9641177882576493</v>
      </c>
      <c r="H7" s="243">
        <f t="shared" ca="1" si="1"/>
        <v>27.369286606336704</v>
      </c>
      <c r="I7" s="510">
        <f t="shared" ca="1" si="4"/>
        <v>138.58243863461877</v>
      </c>
    </row>
    <row r="8" spans="2:21" x14ac:dyDescent="0.25">
      <c r="B8" s="121" t="str">
        <f>N91</f>
        <v>2026E Enterprise Value / Revenue</v>
      </c>
      <c r="E8" s="243" t="str">
        <f t="shared" ca="1" si="2"/>
        <v/>
      </c>
      <c r="F8" s="243" t="str">
        <f t="shared" ca="1" si="0"/>
        <v/>
      </c>
      <c r="G8" s="243">
        <f t="shared" ca="1" si="3"/>
        <v>5.5871732131582856</v>
      </c>
      <c r="H8" s="243">
        <f t="shared" ca="1" si="1"/>
        <v>26.75349004723353</v>
      </c>
      <c r="I8" s="510">
        <f t="shared" ca="1" si="4"/>
        <v>135.45150866060658</v>
      </c>
    </row>
    <row r="9" spans="2:21" x14ac:dyDescent="0.25">
      <c r="B9" s="121" t="str">
        <f>N92</f>
        <v>2025E Enterprise Value / Revenue</v>
      </c>
      <c r="E9" s="243" t="str">
        <f t="shared" ca="1" si="2"/>
        <v/>
      </c>
      <c r="F9" s="243" t="str">
        <f t="shared" ca="1" si="0"/>
        <v/>
      </c>
      <c r="G9" s="243" t="str">
        <f t="shared" ca="1" si="3"/>
        <v/>
      </c>
      <c r="H9" s="243">
        <f t="shared" ca="1" si="1"/>
        <v>23.417907343641435</v>
      </c>
      <c r="I9" s="510">
        <f t="shared" ca="1" si="4"/>
        <v>130.74176844111477</v>
      </c>
    </row>
    <row r="10" spans="2:21" x14ac:dyDescent="0.25">
      <c r="B10" s="121"/>
      <c r="E10" s="243" t="str">
        <f t="shared" si="2"/>
        <v/>
      </c>
      <c r="F10" s="243" t="str">
        <f t="shared" si="0"/>
        <v/>
      </c>
      <c r="G10" s="243" t="str">
        <f t="shared" si="3"/>
        <v/>
      </c>
      <c r="H10" s="243" t="str">
        <f t="shared" si="1"/>
        <v/>
      </c>
      <c r="I10" s="510" t="str">
        <f t="shared" si="4"/>
        <v/>
      </c>
    </row>
    <row r="11" spans="2:21" x14ac:dyDescent="0.25">
      <c r="B11" s="121" t="str">
        <f>N94</f>
        <v>2027E Enterprise Value / EBITDA</v>
      </c>
      <c r="E11" s="243" t="str">
        <f t="shared" ca="1" si="2"/>
        <v/>
      </c>
      <c r="F11" s="243" t="str">
        <f t="shared" ca="1" si="0"/>
        <v/>
      </c>
      <c r="G11" s="243">
        <f t="shared" ca="1" si="3"/>
        <v>32.812612394206838</v>
      </c>
      <c r="H11" s="243">
        <f t="shared" ca="1" si="1"/>
        <v>114.06220304175868</v>
      </c>
      <c r="I11" s="510">
        <f t="shared" ca="1" si="4"/>
        <v>167.98164342129604</v>
      </c>
    </row>
    <row r="12" spans="2:21" x14ac:dyDescent="0.25">
      <c r="B12" s="121" t="str">
        <f>N95</f>
        <v>2026E Enterprise Value / EBITDA</v>
      </c>
      <c r="E12" s="243" t="str">
        <f t="shared" ca="1" si="2"/>
        <v/>
      </c>
      <c r="F12" s="243" t="str">
        <f t="shared" ca="1" si="0"/>
        <v/>
      </c>
      <c r="G12" s="243">
        <f t="shared" ca="1" si="3"/>
        <v>29.976955132763177</v>
      </c>
      <c r="H12" s="243">
        <f t="shared" ca="1" si="1"/>
        <v>122.18452008530463</v>
      </c>
      <c r="I12" s="510">
        <f t="shared" ca="1" si="4"/>
        <v>230.62290424479576</v>
      </c>
    </row>
    <row r="13" spans="2:21" x14ac:dyDescent="0.25">
      <c r="B13" s="121" t="str">
        <f>N96</f>
        <v>2025E Enterprise Value / EBITDA</v>
      </c>
      <c r="E13" s="243" t="str">
        <f t="shared" ca="1" si="2"/>
        <v/>
      </c>
      <c r="F13" s="243" t="str">
        <f t="shared" ca="1" si="0"/>
        <v/>
      </c>
      <c r="G13" s="243">
        <f t="shared" ca="1" si="3"/>
        <v>48.711798410408164</v>
      </c>
      <c r="H13" s="243">
        <f t="shared" ca="1" si="1"/>
        <v>140.50702548405559</v>
      </c>
      <c r="I13" s="510">
        <f t="shared" ca="1" si="4"/>
        <v>630.11649300891975</v>
      </c>
    </row>
    <row r="14" spans="2:21" x14ac:dyDescent="0.25">
      <c r="B14" s="121"/>
      <c r="E14" s="243"/>
      <c r="F14" s="243"/>
      <c r="G14" s="243"/>
      <c r="H14" s="243"/>
      <c r="I14" s="510"/>
    </row>
    <row r="15" spans="2:21" x14ac:dyDescent="0.25">
      <c r="B15" s="121" t="str">
        <f>N98</f>
        <v>2027E P/E Ratio</v>
      </c>
      <c r="E15" s="243">
        <f t="shared" ref="E15:I17" ca="1" si="5">Q98</f>
        <v>26.000422887734299</v>
      </c>
      <c r="F15" s="243">
        <f t="shared" ca="1" si="5"/>
        <v>42.575906989383348</v>
      </c>
      <c r="G15" s="243">
        <f t="shared" ca="1" si="5"/>
        <v>51.979337216434672</v>
      </c>
      <c r="H15" s="243">
        <f t="shared" ca="1" si="5"/>
        <v>63.193527171913445</v>
      </c>
      <c r="I15" s="510">
        <f t="shared" ca="1" si="5"/>
        <v>76.030699511288589</v>
      </c>
    </row>
    <row r="16" spans="2:21" x14ac:dyDescent="0.25">
      <c r="B16" s="121" t="str">
        <f>N99</f>
        <v>2026E P/E Ratio</v>
      </c>
      <c r="E16" s="243">
        <f t="shared" ca="1" si="5"/>
        <v>31.233210525510771</v>
      </c>
      <c r="F16" s="243">
        <f t="shared" ca="1" si="5"/>
        <v>45.010506225049994</v>
      </c>
      <c r="G16" s="243">
        <f t="shared" ca="1" si="5"/>
        <v>60.326446277471028</v>
      </c>
      <c r="H16" s="243">
        <f t="shared" ca="1" si="5"/>
        <v>70.319049991674959</v>
      </c>
      <c r="I16" s="510">
        <f t="shared" ca="1" si="5"/>
        <v>683.35122751731103</v>
      </c>
    </row>
    <row r="17" spans="2:9" x14ac:dyDescent="0.25">
      <c r="B17" s="121" t="str">
        <f>N100</f>
        <v>2025E P/E Ratio</v>
      </c>
      <c r="E17" s="243">
        <f t="shared" si="5"/>
        <v>0</v>
      </c>
      <c r="F17" s="243">
        <f t="shared" si="5"/>
        <v>0</v>
      </c>
      <c r="G17" s="243">
        <f t="shared" si="5"/>
        <v>0</v>
      </c>
      <c r="H17" s="243">
        <f t="shared" si="5"/>
        <v>0</v>
      </c>
      <c r="I17" s="510">
        <f t="shared" si="5"/>
        <v>0</v>
      </c>
    </row>
    <row r="18" spans="2:9" x14ac:dyDescent="0.25">
      <c r="B18" s="121"/>
      <c r="E18" s="243"/>
      <c r="F18" s="243"/>
      <c r="G18" s="243"/>
      <c r="H18" s="243"/>
      <c r="I18" s="510"/>
    </row>
    <row r="19" spans="2:9" x14ac:dyDescent="0.25">
      <c r="B19" s="121" t="str">
        <f>N102</f>
        <v>2027E Price / Sales</v>
      </c>
      <c r="E19" s="243">
        <f t="shared" ref="E19:I21" ca="1" si="6">Q102</f>
        <v>22.739119489962224</v>
      </c>
      <c r="F19" s="243">
        <f t="shared" ca="1" si="6"/>
        <v>34.774634133192357</v>
      </c>
      <c r="G19" s="243">
        <f t="shared" ca="1" si="6"/>
        <v>65.680217040441718</v>
      </c>
      <c r="H19" s="243">
        <f t="shared" ca="1" si="6"/>
        <v>77.538196493191307</v>
      </c>
      <c r="I19" s="510">
        <f t="shared" ca="1" si="6"/>
        <v>180.59821776399338</v>
      </c>
    </row>
    <row r="20" spans="2:9" x14ac:dyDescent="0.25">
      <c r="B20" s="121" t="str">
        <f>N103</f>
        <v>2026E Price / Sales</v>
      </c>
      <c r="E20" s="243">
        <f t="shared" ca="1" si="6"/>
        <v>22.362180677977953</v>
      </c>
      <c r="F20" s="243">
        <f t="shared" ca="1" si="6"/>
        <v>34.787437229646699</v>
      </c>
      <c r="G20" s="243">
        <f t="shared" ca="1" si="6"/>
        <v>65.505590515553763</v>
      </c>
      <c r="H20" s="243">
        <f t="shared" ca="1" si="6"/>
        <v>75.931121521504153</v>
      </c>
      <c r="I20" s="510">
        <f t="shared" ca="1" si="6"/>
        <v>178.85444283797469</v>
      </c>
    </row>
    <row r="21" spans="2:9" ht="13" thickBot="1" x14ac:dyDescent="0.3">
      <c r="B21" s="124" t="str">
        <f>N104</f>
        <v>2025E Price / Sales</v>
      </c>
      <c r="C21" s="119"/>
      <c r="D21" s="119"/>
      <c r="E21" s="511">
        <f t="shared" ca="1" si="6"/>
        <v>21.910685305855601</v>
      </c>
      <c r="F21" s="511">
        <f t="shared" ca="1" si="6"/>
        <v>35.008505475399041</v>
      </c>
      <c r="G21" s="511">
        <f t="shared" ca="1" si="6"/>
        <v>63.892517102992251</v>
      </c>
      <c r="H21" s="511">
        <f t="shared" ca="1" si="6"/>
        <v>74.738867109277791</v>
      </c>
      <c r="I21" s="512">
        <f t="shared" ca="1" si="6"/>
        <v>176.23134779241954</v>
      </c>
    </row>
    <row r="22" spans="2:9" ht="13" thickBot="1" x14ac:dyDescent="0.3"/>
    <row r="23" spans="2:9" ht="13" x14ac:dyDescent="0.3">
      <c r="B23" s="503" t="s">
        <v>476</v>
      </c>
      <c r="C23" s="504"/>
      <c r="D23" s="504"/>
      <c r="E23" s="505"/>
      <c r="F23" s="284"/>
      <c r="G23" s="505" t="s">
        <v>477</v>
      </c>
      <c r="H23" s="284"/>
      <c r="I23" s="285"/>
    </row>
    <row r="24" spans="2:9" ht="13" x14ac:dyDescent="0.3">
      <c r="B24" s="506"/>
      <c r="C24" s="193"/>
      <c r="D24" s="193"/>
      <c r="E24" s="4"/>
      <c r="F24" s="268" t="s">
        <v>478</v>
      </c>
      <c r="G24" s="4"/>
      <c r="H24" s="4" t="s">
        <v>479</v>
      </c>
      <c r="I24" s="507"/>
    </row>
    <row r="25" spans="2:9" ht="13" x14ac:dyDescent="0.25">
      <c r="B25" s="508" t="s">
        <v>480</v>
      </c>
      <c r="C25" s="209"/>
      <c r="D25" s="209"/>
      <c r="E25" s="209" t="s">
        <v>481</v>
      </c>
      <c r="F25" s="209" t="s">
        <v>482</v>
      </c>
      <c r="G25" s="209" t="s">
        <v>443</v>
      </c>
      <c r="H25" s="209" t="s">
        <v>482</v>
      </c>
      <c r="I25" s="509" t="s">
        <v>483</v>
      </c>
    </row>
    <row r="26" spans="2:9" x14ac:dyDescent="0.25">
      <c r="B26" s="121" t="s">
        <v>484</v>
      </c>
      <c r="E26" s="243" t="str">
        <f t="shared" ref="E26:I29" ca="1" si="7">F126</f>
        <v/>
      </c>
      <c r="F26" s="243" t="str">
        <f t="shared" ca="1" si="7"/>
        <v/>
      </c>
      <c r="G26" s="243">
        <f t="shared" ca="1" si="7"/>
        <v>8.5051362632245286</v>
      </c>
      <c r="H26" s="243">
        <f t="shared" ca="1" si="7"/>
        <v>25.846894665737224</v>
      </c>
      <c r="I26" s="510">
        <f t="shared" ca="1" si="7"/>
        <v>134.92523857878004</v>
      </c>
    </row>
    <row r="27" spans="2:9" x14ac:dyDescent="0.25">
      <c r="B27" s="121" t="s">
        <v>485</v>
      </c>
      <c r="E27" s="243" t="str">
        <f t="shared" ca="1" si="7"/>
        <v/>
      </c>
      <c r="F27" s="243" t="str">
        <f t="shared" ca="1" si="7"/>
        <v/>
      </c>
      <c r="G27" s="243">
        <f t="shared" ca="1" si="7"/>
        <v>37.167121979126058</v>
      </c>
      <c r="H27" s="243">
        <f t="shared" ca="1" si="7"/>
        <v>125.58458287037296</v>
      </c>
      <c r="I27" s="510">
        <f t="shared" ca="1" si="7"/>
        <v>342.90701355833721</v>
      </c>
    </row>
    <row r="28" spans="2:9" x14ac:dyDescent="0.25">
      <c r="B28" s="121" t="s">
        <v>486</v>
      </c>
      <c r="E28" s="243">
        <f t="shared" ca="1" si="7"/>
        <v>28.616816706622537</v>
      </c>
      <c r="F28" s="243">
        <f t="shared" ca="1" si="7"/>
        <v>43.793206607216675</v>
      </c>
      <c r="G28" s="243">
        <f t="shared" ca="1" si="7"/>
        <v>56.152891746952847</v>
      </c>
      <c r="H28" s="243">
        <f t="shared" ca="1" si="7"/>
        <v>66.756288581794195</v>
      </c>
      <c r="I28" s="510">
        <f t="shared" ca="1" si="7"/>
        <v>379.69096351429982</v>
      </c>
    </row>
    <row r="29" spans="2:9" x14ac:dyDescent="0.25">
      <c r="B29" s="121" t="s">
        <v>487</v>
      </c>
      <c r="E29" s="243">
        <f t="shared" ca="1" si="7"/>
        <v>22.337328491265257</v>
      </c>
      <c r="F29" s="243">
        <f t="shared" ca="1" si="7"/>
        <v>34.85685894607937</v>
      </c>
      <c r="G29" s="243">
        <f t="shared" ca="1" si="7"/>
        <v>65.026108219662589</v>
      </c>
      <c r="H29" s="243">
        <f t="shared" ca="1" si="7"/>
        <v>76.069395041324412</v>
      </c>
      <c r="I29" s="510">
        <f t="shared" ca="1" si="7"/>
        <v>178.56133613146253</v>
      </c>
    </row>
    <row r="30" spans="2:9" x14ac:dyDescent="0.25">
      <c r="B30" s="121"/>
      <c r="E30" s="243"/>
      <c r="F30" s="243"/>
      <c r="G30" s="243"/>
      <c r="H30" s="243"/>
      <c r="I30" s="510"/>
    </row>
    <row r="31" spans="2:9" x14ac:dyDescent="0.25">
      <c r="B31" s="121" t="s">
        <v>488</v>
      </c>
      <c r="E31" s="243">
        <f t="shared" ref="E31:I33" si="8">F131</f>
        <v>20.860420390898511</v>
      </c>
      <c r="F31" s="243">
        <f t="shared" si="8"/>
        <v>25.10299470384556</v>
      </c>
      <c r="G31" s="243">
        <f t="shared" si="8"/>
        <v>29.93388056793075</v>
      </c>
      <c r="H31" s="243">
        <f t="shared" si="8"/>
        <v>35.690848016491245</v>
      </c>
      <c r="I31" s="510">
        <f t="shared" si="8"/>
        <v>42.393803885119198</v>
      </c>
    </row>
    <row r="32" spans="2:9" x14ac:dyDescent="0.25">
      <c r="B32" s="121" t="s">
        <v>489</v>
      </c>
      <c r="E32" s="243">
        <f t="shared" ca="1" si="8"/>
        <v>33.627649819072758</v>
      </c>
      <c r="F32" s="243">
        <f t="shared" ca="1" si="8"/>
        <v>40.073925049514457</v>
      </c>
      <c r="G32" s="243">
        <f t="shared" ca="1" si="8"/>
        <v>47.649077545082513</v>
      </c>
      <c r="H32" s="243">
        <f t="shared" ca="1" si="8"/>
        <v>57.111045395797277</v>
      </c>
      <c r="I32" s="510">
        <f t="shared" ca="1" si="8"/>
        <v>68.63710085567584</v>
      </c>
    </row>
    <row r="33" spans="1:39" x14ac:dyDescent="0.25">
      <c r="B33" s="121" t="s">
        <v>490</v>
      </c>
      <c r="E33" s="243">
        <f t="shared" si="8"/>
        <v>51.522007979182234</v>
      </c>
      <c r="F33" s="243">
        <f t="shared" si="8"/>
        <v>61.420805135672964</v>
      </c>
      <c r="G33" s="243">
        <f t="shared" si="8"/>
        <v>73.488656239082815</v>
      </c>
      <c r="H33" s="243">
        <f t="shared" si="8"/>
        <v>89.453925403933852</v>
      </c>
      <c r="I33" s="510">
        <f t="shared" si="8"/>
        <v>110.0647576900179</v>
      </c>
    </row>
    <row r="34" spans="1:39" x14ac:dyDescent="0.25">
      <c r="B34" s="121"/>
      <c r="E34" s="243"/>
      <c r="F34" s="243"/>
      <c r="G34" s="243"/>
      <c r="H34" s="243"/>
      <c r="I34" s="510"/>
    </row>
    <row r="35" spans="1:39" x14ac:dyDescent="0.25">
      <c r="B35" s="121" t="s">
        <v>491</v>
      </c>
      <c r="E35" s="243">
        <f t="shared" ref="E35:I36" ca="1" si="9">F135</f>
        <v>24.84912377740817</v>
      </c>
      <c r="F35" s="243">
        <f t="shared" ca="1" si="9"/>
        <v>38.431398010534288</v>
      </c>
      <c r="G35" s="243">
        <f t="shared" ca="1" si="9"/>
        <v>40.400080261813201</v>
      </c>
      <c r="H35" s="243">
        <f t="shared" ca="1" si="9"/>
        <v>74.183199535990198</v>
      </c>
      <c r="I35" s="510">
        <f t="shared" ca="1" si="9"/>
        <v>248.05115380312171</v>
      </c>
    </row>
    <row r="36" spans="1:39" ht="13" thickBot="1" x14ac:dyDescent="0.3">
      <c r="B36" s="124" t="s">
        <v>492</v>
      </c>
      <c r="C36" s="119"/>
      <c r="D36" s="119"/>
      <c r="E36" s="511">
        <f t="shared" ca="1" si="9"/>
        <v>35.336692729717832</v>
      </c>
      <c r="F36" s="511">
        <f t="shared" ca="1" si="9"/>
        <v>42.199241629677658</v>
      </c>
      <c r="G36" s="511">
        <f t="shared" ca="1" si="9"/>
        <v>50.357204784032028</v>
      </c>
      <c r="H36" s="511">
        <f t="shared" ca="1" si="9"/>
        <v>60.751939605407451</v>
      </c>
      <c r="I36" s="512">
        <f t="shared" ca="1" si="9"/>
        <v>73.698554143604312</v>
      </c>
      <c r="L36" s="573" t="s">
        <v>493</v>
      </c>
    </row>
    <row r="38" spans="1:39" ht="13" thickBot="1" x14ac:dyDescent="0.3"/>
    <row r="39" spans="1:39" ht="13" x14ac:dyDescent="0.3">
      <c r="B39" s="4" t="s">
        <v>494</v>
      </c>
      <c r="C39" s="4"/>
      <c r="D39" s="4"/>
      <c r="E39" s="4"/>
      <c r="F39" s="4"/>
      <c r="G39" s="4"/>
      <c r="H39" s="4"/>
      <c r="I39" s="4"/>
      <c r="J39" s="4"/>
      <c r="K39" s="4"/>
      <c r="L39" s="4"/>
      <c r="M39" s="4"/>
      <c r="N39" s="4"/>
      <c r="O39" s="4"/>
      <c r="P39" s="4"/>
      <c r="Q39" s="4"/>
      <c r="R39" s="4"/>
      <c r="S39" s="4"/>
      <c r="T39" s="4"/>
      <c r="U39" s="4"/>
      <c r="V39" s="4"/>
      <c r="W39" s="4"/>
      <c r="X39" s="4"/>
      <c r="Y39" s="4"/>
      <c r="Z39" s="4"/>
      <c r="AA39" s="4"/>
      <c r="AC39" s="283" t="s">
        <v>495</v>
      </c>
      <c r="AD39" s="284"/>
      <c r="AE39" s="284"/>
      <c r="AF39" s="284"/>
      <c r="AG39" s="284"/>
      <c r="AH39" s="284"/>
      <c r="AI39" s="284"/>
      <c r="AJ39" s="284"/>
      <c r="AK39" s="284"/>
      <c r="AL39" s="284"/>
      <c r="AM39" s="285"/>
    </row>
    <row r="40" spans="1:39" ht="13" x14ac:dyDescent="0.3">
      <c r="AC40" s="304" t="s">
        <v>496</v>
      </c>
      <c r="AD40" s="303"/>
      <c r="AE40" s="303"/>
      <c r="AF40" s="303">
        <v>2017</v>
      </c>
      <c r="AG40" s="303">
        <f t="shared" ref="AG40:AM40" si="10">+AF40+1</f>
        <v>2018</v>
      </c>
      <c r="AH40" s="303">
        <f t="shared" si="10"/>
        <v>2019</v>
      </c>
      <c r="AI40" s="303">
        <f t="shared" si="10"/>
        <v>2020</v>
      </c>
      <c r="AJ40" s="303">
        <f t="shared" si="10"/>
        <v>2021</v>
      </c>
      <c r="AK40" s="303">
        <f t="shared" si="10"/>
        <v>2022</v>
      </c>
      <c r="AL40" s="303">
        <f t="shared" si="10"/>
        <v>2023</v>
      </c>
      <c r="AM40" s="305">
        <f t="shared" si="10"/>
        <v>2024</v>
      </c>
    </row>
    <row r="41" spans="1:39" ht="13.5" customHeight="1" x14ac:dyDescent="0.3">
      <c r="A41" t="s">
        <v>22</v>
      </c>
      <c r="B41" s="211" t="s">
        <v>497</v>
      </c>
      <c r="C41" s="193"/>
      <c r="D41" s="193"/>
      <c r="E41" s="209" t="s">
        <v>498</v>
      </c>
      <c r="F41" s="209"/>
      <c r="G41" s="209"/>
      <c r="H41" s="209"/>
      <c r="I41" s="209"/>
      <c r="J41" s="209"/>
      <c r="K41" s="209"/>
      <c r="L41" s="209"/>
      <c r="M41" s="209"/>
      <c r="N41" s="209" t="s">
        <v>499</v>
      </c>
      <c r="O41" s="209"/>
      <c r="P41" s="209"/>
      <c r="Q41" s="209" t="s">
        <v>63</v>
      </c>
      <c r="R41" s="209"/>
      <c r="S41" s="209"/>
      <c r="T41" s="209" t="s">
        <v>500</v>
      </c>
      <c r="U41" s="209"/>
      <c r="V41" s="209"/>
      <c r="W41" s="212"/>
      <c r="X41" s="212"/>
      <c r="Y41" s="209" t="s">
        <v>501</v>
      </c>
      <c r="Z41" s="209"/>
      <c r="AA41" s="209"/>
      <c r="AC41" s="121" t="s">
        <v>434</v>
      </c>
      <c r="AF41" s="306" cm="1">
        <f t="array" aca="1" ref="AF41" ca="1">INDIRECT($AC41&amp;"!E26")/INDIRECT($AC41&amp;"!E16")</f>
        <v>0.1241369526151518</v>
      </c>
      <c r="AG41" s="306" cm="1">
        <f t="array" aca="1" ref="AG41" ca="1">INDIRECT($AC41&amp;"!F26")/INDIRECT($AC41&amp;"!F16")</f>
        <v>0.11832952939897837</v>
      </c>
      <c r="AH41" s="306" cm="1">
        <f t="array" aca="1" ref="AH41" ca="1">INDIRECT($AC41&amp;"!G26")/INDIRECT($AC41&amp;"!G16")</f>
        <v>0.14497120726150092</v>
      </c>
      <c r="AI41" s="306" cm="1">
        <f t="array" aca="1" ref="AI41" ca="1">INDIRECT($AC41&amp;"!H26")/INDIRECT($AC41&amp;"!H16")</f>
        <v>0.5</v>
      </c>
      <c r="AJ41" s="306" cm="1">
        <f t="array" aca="1" ref="AJ41" ca="1">INDIRECT($AC41&amp;"!I26")/INDIRECT($AC41&amp;"!I16")</f>
        <v>0.34444749329067925</v>
      </c>
      <c r="AK41" s="306" cm="1">
        <f t="array" aca="1" ref="AK41" ca="1">INDIRECT($AC41&amp;"!J26")/INDIRECT($AC41&amp;"!J16")</f>
        <v>0.2800069045391777</v>
      </c>
      <c r="AL41" s="306" cm="1">
        <f t="array" aca="1" ref="AL41" ca="1">INDIRECT($AC41&amp;"!K26")/INDIRECT($AC41&amp;"!K16")</f>
        <v>0.2557506436500232</v>
      </c>
      <c r="AM41" s="307" cm="1">
        <f t="array" aca="1" ref="AM41" ca="1">INDIRECT($AC41&amp;"!L26")/INDIRECT($AC41&amp;"!L16")</f>
        <v>0.23702494932367826</v>
      </c>
    </row>
    <row r="42" spans="1:39" ht="13.5" customHeight="1" x14ac:dyDescent="0.3">
      <c r="B42" s="211"/>
      <c r="C42" s="193"/>
      <c r="D42" s="193"/>
      <c r="E42" s="209"/>
      <c r="F42" s="209"/>
      <c r="G42" s="209"/>
      <c r="H42" s="208" t="s">
        <v>502</v>
      </c>
      <c r="I42" s="209"/>
      <c r="J42" s="209"/>
      <c r="K42" s="208" t="s">
        <v>503</v>
      </c>
      <c r="L42" s="209"/>
      <c r="M42" s="209"/>
      <c r="N42" s="209"/>
      <c r="O42" s="209"/>
      <c r="P42" s="209"/>
      <c r="Q42" s="209"/>
      <c r="R42" s="209"/>
      <c r="S42" s="209"/>
      <c r="T42" s="209"/>
      <c r="U42" s="209"/>
      <c r="V42" s="209"/>
      <c r="W42" s="572" t="s">
        <v>504</v>
      </c>
      <c r="X42" s="572" t="s">
        <v>504</v>
      </c>
      <c r="Y42" s="209"/>
      <c r="Z42" s="209"/>
      <c r="AA42" s="209"/>
      <c r="AC42" s="121" t="s">
        <v>435</v>
      </c>
      <c r="AF42" s="306" cm="1">
        <f t="array" aca="1" ref="AF42" ca="1">INDIRECT($AC42&amp;"!E26")/INDIRECT($AC42&amp;"!E16")</f>
        <v>0.16223480723153996</v>
      </c>
      <c r="AG42" s="306" cm="1">
        <f t="array" aca="1" ref="AG42" ca="1">INDIRECT($AC42&amp;"!F26")/INDIRECT($AC42&amp;"!F16")</f>
        <v>0.20379564891095575</v>
      </c>
      <c r="AH42" s="306" cm="1">
        <f t="array" aca="1" ref="AH42" ca="1">INDIRECT($AC42&amp;"!G26")/INDIRECT($AC42&amp;"!G16")</f>
        <v>0.16898888501852496</v>
      </c>
      <c r="AI42" s="306" cm="1">
        <f t="array" aca="1" ref="AI42" ca="1">INDIRECT($AC42&amp;"!H26")/INDIRECT($AC42&amp;"!H16")</f>
        <v>0.2470836847867052</v>
      </c>
      <c r="AJ42" s="306" cm="1">
        <f t="array" aca="1" ref="AJ42" ca="1">INDIRECT($AC42&amp;"!I26")/INDIRECT($AC42&amp;"!I16")</f>
        <v>0.24882094324540369</v>
      </c>
      <c r="AK42" s="306" cm="1">
        <f t="array" aca="1" ref="AK42" ca="1">INDIRECT($AC42&amp;"!J26")/INDIRECT($AC42&amp;"!J16")</f>
        <v>0.23787134922056979</v>
      </c>
      <c r="AL42" s="306" cm="1">
        <f t="array" aca="1" ref="AL42" ca="1">INDIRECT($AC42&amp;"!K26")/INDIRECT($AC42&amp;"!K16")</f>
        <v>0.21788546747589083</v>
      </c>
      <c r="AM42" s="307" cm="1">
        <f t="array" aca="1" ref="AM42" ca="1">INDIRECT($AC42&amp;"!L26")/INDIRECT($AC42&amp;"!L16")</f>
        <v>0.20828815731112316</v>
      </c>
    </row>
    <row r="43" spans="1:39" ht="13.5" customHeight="1" x14ac:dyDescent="0.25">
      <c r="B43" s="209" t="s">
        <v>505</v>
      </c>
      <c r="C43" s="209"/>
      <c r="D43" s="209"/>
      <c r="E43" s="209" t="s">
        <v>506</v>
      </c>
      <c r="F43" s="209"/>
      <c r="G43" s="210" t="s">
        <v>507</v>
      </c>
      <c r="H43" s="210" t="s">
        <v>508</v>
      </c>
      <c r="I43" s="209" t="s">
        <v>509</v>
      </c>
      <c r="J43" s="209" t="s">
        <v>510</v>
      </c>
      <c r="K43" s="210" t="s">
        <v>511</v>
      </c>
      <c r="L43" s="209" t="s">
        <v>512</v>
      </c>
      <c r="M43" s="209" t="s">
        <v>513</v>
      </c>
      <c r="N43" s="209" t="s">
        <v>514</v>
      </c>
      <c r="O43" s="209" t="s">
        <v>515</v>
      </c>
      <c r="P43" s="209" t="s">
        <v>516</v>
      </c>
      <c r="Q43" s="209" t="s">
        <v>514</v>
      </c>
      <c r="R43" s="209" t="s">
        <v>515</v>
      </c>
      <c r="S43" s="209" t="s">
        <v>516</v>
      </c>
      <c r="T43" s="209" t="s">
        <v>514</v>
      </c>
      <c r="U43" s="209" t="s">
        <v>515</v>
      </c>
      <c r="V43" s="208" t="s">
        <v>516</v>
      </c>
      <c r="W43" s="209" t="s">
        <v>517</v>
      </c>
      <c r="X43" s="209" t="s">
        <v>518</v>
      </c>
      <c r="Y43" s="209" t="s">
        <v>514</v>
      </c>
      <c r="Z43" s="209" t="s">
        <v>515</v>
      </c>
      <c r="AA43" s="209" t="s">
        <v>516</v>
      </c>
      <c r="AC43" s="121" t="s">
        <v>96</v>
      </c>
      <c r="AF43" s="306" cm="1">
        <f t="array" aca="1" ref="AF43" ca="1">INDIRECT($AC43&amp;"!E26")/INDIRECT($AC43&amp;"!E16")</f>
        <v>9.9928232239752127E-2</v>
      </c>
      <c r="AG43" s="306" cm="1">
        <f t="array" aca="1" ref="AG43" ca="1">INDIRECT($AC43&amp;"!F26")/INDIRECT($AC43&amp;"!F16")</f>
        <v>0.12126318568598841</v>
      </c>
      <c r="AH43" s="306" cm="1">
        <f t="array" aca="1" ref="AH43" ca="1">INDIRECT($AC43&amp;"!G26")/INDIRECT($AC43&amp;"!G16")</f>
        <v>0.16960048452121995</v>
      </c>
      <c r="AI43" s="306" cm="1">
        <f t="array" aca="1" ref="AI43" ca="1">INDIRECT($AC43&amp;"!H26")/INDIRECT($AC43&amp;"!H16")</f>
        <v>0.24617634274283134</v>
      </c>
      <c r="AJ43" s="306" cm="1">
        <f t="array" aca="1" ref="AJ43" ca="1">INDIRECT($AC43&amp;"!I26")/INDIRECT($AC43&amp;"!I16")</f>
        <v>0.20564118298794323</v>
      </c>
      <c r="AK43" s="306" cm="1">
        <f t="array" aca="1" ref="AK43" ca="1">INDIRECT($AC43&amp;"!J26")/INDIRECT($AC43&amp;"!J16")</f>
        <v>0.18528059158099966</v>
      </c>
      <c r="AL43" s="306" cm="1">
        <f t="array" aca="1" ref="AL43" ca="1">INDIRECT($AC43&amp;"!K26")/INDIRECT($AC43&amp;"!K16")</f>
        <v>0.1612106519432614</v>
      </c>
      <c r="AM43" s="307" cm="1">
        <f t="array" aca="1" ref="AM43" ca="1">INDIRECT($AC43&amp;"!L26")/INDIRECT($AC43&amp;"!L16")</f>
        <v>0.17624228325486793</v>
      </c>
    </row>
    <row r="44" spans="1:39" ht="12.75" customHeight="1" x14ac:dyDescent="0.25">
      <c r="B44" t="s">
        <v>434</v>
      </c>
      <c r="F44" s="243" cm="1">
        <f t="array" aca="1" ref="F44" ca="1">INDIRECT(B44&amp;"!F9")</f>
        <v>8.7780000000000005</v>
      </c>
      <c r="G44" s="190" cm="1">
        <f t="array" aca="1" ref="G44" ca="1">INDIRECT(B44&amp;"!R29")</f>
        <v>2888.7240120000001</v>
      </c>
      <c r="H44" s="244">
        <f ca="1">G44*F44</f>
        <v>25357.219377336001</v>
      </c>
      <c r="I44" s="244" cm="1">
        <f t="array" aca="1" ref="I44" ca="1">INDIRECT(B44&amp;"!R26")</f>
        <v>32836</v>
      </c>
      <c r="J44" s="244" cm="1">
        <f t="array" aca="1" ref="J44" ca="1">INDIRECT(B44&amp;"!R27")</f>
        <v>40799</v>
      </c>
      <c r="K44" s="244">
        <f ca="1">H44-I44+J44</f>
        <v>33320.219377336005</v>
      </c>
      <c r="L44" s="189" cm="1">
        <f t="array" aca="1" ref="L44" ca="1">INDIRECT(B44&amp;"!R30")</f>
        <v>-5.8291179999999998E-2</v>
      </c>
      <c r="M44" s="189" cm="1">
        <f t="array" aca="1" ref="M44" ca="1">INDIRECT(B44&amp;"!R31")</f>
        <v>1.0051859999999999E-2</v>
      </c>
      <c r="N44" s="244" cm="1">
        <f t="array" aca="1" ref="N44" ca="1">INDIRECT($B44&amp;"!M16")</f>
        <v>152552.69</v>
      </c>
      <c r="O44" s="244" cm="1">
        <f t="array" aca="1" ref="O44" ca="1">INDIRECT($B44&amp;"!N16")</f>
        <v>160481.22</v>
      </c>
      <c r="P44" s="244" cm="1">
        <f t="array" aca="1" ref="P44" ca="1">INDIRECT($B44&amp;"!O16")</f>
        <v>166401.67000000001</v>
      </c>
      <c r="Q44" s="244" cm="1">
        <f t="array" aca="1" ref="Q44" ca="1">INDIRECT($B44&amp;"!M18")</f>
        <v>8945.5205000000005</v>
      </c>
      <c r="R44" s="244" cm="1">
        <f t="array" aca="1" ref="R44" ca="1">INDIRECT($B44&amp;"!N18")</f>
        <v>13659.609</v>
      </c>
      <c r="S44" s="244" cm="1">
        <f t="array" aca="1" ref="S44" ca="1">INDIRECT($B44&amp;"!O18")</f>
        <v>16062.637000000001</v>
      </c>
      <c r="T44" s="244" cm="1">
        <f t="array" aca="1" ref="T44" ca="1">INDIRECT($B44&amp;"!M22")</f>
        <v>2086.0841999999998</v>
      </c>
      <c r="U44" s="244" cm="1">
        <f t="array" aca="1" ref="U44" ca="1">INDIRECT($B44&amp;"!N22")</f>
        <v>4879.009</v>
      </c>
      <c r="V44" s="244" cm="1">
        <f t="array" aca="1" ref="V44" ca="1">INDIRECT($B44&amp;"!O22")</f>
        <v>6472.0326999999997</v>
      </c>
      <c r="W44" s="217">
        <f t="shared" ref="W44:W52" ca="1" si="11">SQRT(P44/N44)-1</f>
        <v>4.4404910852822166E-2</v>
      </c>
      <c r="X44" s="217">
        <f t="shared" ref="X44:X52" ca="1" si="12">IFERROR(SQRT(S44/Q44)-1,"N/A")</f>
        <v>0.34000251898540013</v>
      </c>
      <c r="Y44" s="217">
        <f t="shared" ref="Y44:Y51" ca="1" si="13">Q44/N44</f>
        <v>5.8638890602322385E-2</v>
      </c>
      <c r="Z44" s="217">
        <f t="shared" ref="Z44:Z52" ca="1" si="14">R44/O44</f>
        <v>8.5116557563557904E-2</v>
      </c>
      <c r="AA44" s="217">
        <f t="shared" ref="AA44:AA52" ca="1" si="15">S44/P44</f>
        <v>9.6529301659051853E-2</v>
      </c>
      <c r="AC44" s="121" t="s">
        <v>436</v>
      </c>
      <c r="AF44" s="306" cm="1">
        <f t="array" aca="1" ref="AF44" ca="1">INDIRECT($AC44&amp;"!E26")/INDIRECT($AC44&amp;"!E16")</f>
        <v>9.1970045379621904E-2</v>
      </c>
      <c r="AG44" s="306" cm="1">
        <f t="array" aca="1" ref="AG44" ca="1">INDIRECT($AC44&amp;"!F26")/INDIRECT($AC44&amp;"!F16")</f>
        <v>0.11335501522895049</v>
      </c>
      <c r="AH44" s="306" cm="1">
        <f t="array" aca="1" ref="AH44" ca="1">INDIRECT($AC44&amp;"!G26")/INDIRECT($AC44&amp;"!G16")</f>
        <v>0.11549755301794454</v>
      </c>
      <c r="AI44" s="306" cm="1">
        <f t="array" aca="1" ref="AI44" ca="1">INDIRECT($AC44&amp;"!H26")/INDIRECT($AC44&amp;"!H16")</f>
        <v>0.13675118698858471</v>
      </c>
      <c r="AJ44" s="306" cm="1">
        <f t="array" aca="1" ref="AJ44" ca="1">INDIRECT($AC44&amp;"!I26")/INDIRECT($AC44&amp;"!I16")</f>
        <v>0.14391535342820413</v>
      </c>
      <c r="AK44" s="306" cm="1">
        <f t="array" aca="1" ref="AK44" ca="1">INDIRECT($AC44&amp;"!J26")/INDIRECT($AC44&amp;"!J16")</f>
        <v>0.11829464974405722</v>
      </c>
      <c r="AL44" s="306" cm="1">
        <f t="array" aca="1" ref="AL44" ca="1">INDIRECT($AC44&amp;"!K26")/INDIRECT($AC44&amp;"!K16")</f>
        <v>0.11142908590464186</v>
      </c>
      <c r="AM44" s="307" cm="1">
        <f t="array" aca="1" ref="AM44" ca="1">INDIRECT($AC44&amp;"!L26")/INDIRECT($AC44&amp;"!L16")</f>
        <v>0.13546144121365361</v>
      </c>
    </row>
    <row r="45" spans="1:39" x14ac:dyDescent="0.25">
      <c r="B45" t="s">
        <v>435</v>
      </c>
      <c r="F45" s="243" cm="1">
        <f t="array" aca="1" ref="F45" ca="1">INDIRECT(B45&amp;"!F9")</f>
        <v>91.35</v>
      </c>
      <c r="G45" s="190" cm="1">
        <f t="array" aca="1" ref="G45" ca="1">INDIRECT(B45&amp;"!R29")</f>
        <v>501.29526299999998</v>
      </c>
      <c r="H45" s="244">
        <f ca="1">G45*F45</f>
        <v>45793.322275049992</v>
      </c>
      <c r="I45" s="244" cm="1">
        <f t="array" aca="1" ref="I45" ca="1">INDIRECT(B45&amp;"!R26")</f>
        <v>65550</v>
      </c>
      <c r="J45" s="244" cm="1">
        <f t="array" aca="1" ref="J45" ca="1">INDIRECT(B45&amp;"!R27")</f>
        <v>271470</v>
      </c>
      <c r="K45" s="244">
        <f t="shared" ref="K45:K52" ca="1" si="16">H45-I45+J45</f>
        <v>251713.32227504998</v>
      </c>
      <c r="L45" s="189" cm="1">
        <f t="array" aca="1" ref="L45" ca="1">INDIRECT(B45&amp;"!R30")</f>
        <v>4.0037059096022801E-2</v>
      </c>
      <c r="M45" s="189" cm="1">
        <f t="array" aca="1" ref="M45" ca="1">INDIRECT(B45&amp;"!R31")</f>
        <v>2.13667667314144E-2</v>
      </c>
      <c r="N45" s="244" cm="1">
        <f t="array" aca="1" ref="N45" ca="1">INDIRECT($B45&amp;"!M16")</f>
        <v>324823.84000000003</v>
      </c>
      <c r="O45" s="244" cm="1">
        <f t="array" aca="1" ref="O45" ca="1">INDIRECT($B45&amp;"!N16")</f>
        <v>331772.65999999997</v>
      </c>
      <c r="P45" s="244" cm="1">
        <f t="array" aca="1" ref="P45" ca="1">INDIRECT($B45&amp;"!O16")</f>
        <v>340765.84</v>
      </c>
      <c r="Q45" s="244" cm="1">
        <f t="array" aca="1" ref="Q45" ca="1">INDIRECT($B45&amp;"!M18")</f>
        <v>38573.105000000003</v>
      </c>
      <c r="R45" s="244" cm="1">
        <f t="array" aca="1" ref="R45" ca="1">INDIRECT($B45&amp;"!N18")</f>
        <v>46299.425999999999</v>
      </c>
      <c r="S45" s="244" cm="1">
        <f t="array" aca="1" ref="S45" ca="1">INDIRECT($B45&amp;"!O18")</f>
        <v>50404.945</v>
      </c>
      <c r="T45" s="244" cm="1">
        <f t="array" aca="1" ref="T45" ca="1">INDIRECT($B45&amp;"!M22")</f>
        <v>4917.4870000000001</v>
      </c>
      <c r="U45" s="244" cm="1">
        <f t="array" aca="1" ref="U45" ca="1">INDIRECT($B45&amp;"!N22")</f>
        <v>10889.342000000001</v>
      </c>
      <c r="V45" s="244" cm="1">
        <f t="array" aca="1" ref="V45" ca="1">INDIRECT($B45&amp;"!O22")</f>
        <v>13216.16</v>
      </c>
      <c r="W45" s="217">
        <f t="shared" ca="1" si="11"/>
        <v>2.4245532073063458E-2</v>
      </c>
      <c r="X45" s="217">
        <f t="shared" ca="1" si="12"/>
        <v>0.14312644780084827</v>
      </c>
      <c r="Y45" s="217">
        <f t="shared" ca="1" si="13"/>
        <v>0.11875084353414454</v>
      </c>
      <c r="Z45" s="217">
        <f t="shared" ca="1" si="14"/>
        <v>0.13955166167097677</v>
      </c>
      <c r="AA45" s="217">
        <f t="shared" ca="1" si="15"/>
        <v>0.14791666030843936</v>
      </c>
      <c r="AC45" s="121" t="s">
        <v>437</v>
      </c>
      <c r="AF45" s="306" cm="1">
        <f t="array" aca="1" ref="AF45" ca="1">INDIRECT($AC45&amp;"!E26")/INDIRECT($AC45&amp;"!E16")</f>
        <v>0.1288119692483887</v>
      </c>
      <c r="AG45" s="306" cm="1">
        <f t="array" aca="1" ref="AG45" ca="1">INDIRECT($AC45&amp;"!F26")/INDIRECT($AC45&amp;"!F16")</f>
        <v>0.14763207896655153</v>
      </c>
      <c r="AH45" s="306" cm="1">
        <f t="array" aca="1" ref="AH45" ca="1">INDIRECT($AC45&amp;"!G26")/INDIRECT($AC45&amp;"!G16")</f>
        <v>0.15495672812527136</v>
      </c>
      <c r="AI45" s="306" cm="1">
        <f t="array" aca="1" ref="AI45" ca="1">INDIRECT($AC45&amp;"!H26")/INDIRECT($AC45&amp;"!H16")</f>
        <v>0.23324409991952569</v>
      </c>
      <c r="AJ45" s="306" cm="1">
        <f t="array" aca="1" ref="AJ45" ca="1">INDIRECT($AC45&amp;"!I26")/INDIRECT($AC45&amp;"!I16")</f>
        <v>0.22275996504671641</v>
      </c>
      <c r="AK45" s="306" cm="1">
        <f t="array" aca="1" ref="AK45" ca="1">INDIRECT($AC45&amp;"!J26")/INDIRECT($AC45&amp;"!J16")</f>
        <v>0.15942193218101949</v>
      </c>
      <c r="AL45" s="306" cm="1">
        <f t="array" aca="1" ref="AL45" ca="1">INDIRECT($AC45&amp;"!K26")/INDIRECT($AC45&amp;"!K16")</f>
        <v>0.14516044359866134</v>
      </c>
      <c r="AM45" s="307" cm="1">
        <f t="array" aca="1" ref="AM45" ca="1">INDIRECT($AC45&amp;"!L26")/INDIRECT($AC45&amp;"!L16")</f>
        <v>0.14833715675096501</v>
      </c>
    </row>
    <row r="46" spans="1:39" x14ac:dyDescent="0.25">
      <c r="B46" t="s">
        <v>96</v>
      </c>
      <c r="F46" s="243" cm="1">
        <f t="array" aca="1" ref="F46" ca="1">INDIRECT(B46&amp;"!F9")</f>
        <v>1.9880741</v>
      </c>
      <c r="G46" s="190" cm="1">
        <f t="array" aca="1" ref="G46" ca="1">INDIRECT(B46&amp;"!R29")</f>
        <v>3495.7389119999998</v>
      </c>
      <c r="H46" s="244">
        <f t="shared" ref="H46:H52" ca="1" si="17">F46*G46</f>
        <v>6949.7879913093784</v>
      </c>
      <c r="I46" s="244" cm="1">
        <f t="array" aca="1" ref="I46" ca="1">INDIRECT(B46&amp;"!R26")</f>
        <v>13094.4374790285</v>
      </c>
      <c r="J46" s="244" cm="1">
        <f t="array" aca="1" ref="J46" ca="1">INDIRECT(B46&amp;"!R27")</f>
        <v>51122.824736912298</v>
      </c>
      <c r="K46" s="244">
        <f t="shared" ca="1" si="16"/>
        <v>44978.175249193177</v>
      </c>
      <c r="L46" s="189" cm="1">
        <f t="array" aca="1" ref="L46" ca="1">INDIRECT(B46&amp;"!R30")</f>
        <v>-0.173378748109104</v>
      </c>
      <c r="M46" s="189" cm="1">
        <f t="array" aca="1" ref="M46" ca="1">INDIRECT(B46&amp;"!R31")</f>
        <v>-8.8023497330993697E-2</v>
      </c>
      <c r="N46" s="244" cm="1">
        <f t="array" aca="1" ref="N46" ca="1">INDIRECT($B46&amp;"!M16")</f>
        <v>66804.759999999995</v>
      </c>
      <c r="O46" s="244" cm="1">
        <f t="array" aca="1" ref="O46" ca="1">INDIRECT($B46&amp;"!N16")</f>
        <v>68423.05</v>
      </c>
      <c r="P46" s="244" cm="1">
        <f t="array" aca="1" ref="P46" ca="1">INDIRECT($B46&amp;"!O16")</f>
        <v>69745.554999999993</v>
      </c>
      <c r="Q46" s="244" cm="1">
        <f t="array" aca="1" ref="Q46" ca="1">INDIRECT($B46&amp;"!M18")</f>
        <v>1382.472</v>
      </c>
      <c r="R46" s="244" cm="1">
        <f t="array" aca="1" ref="R46" ca="1">INDIRECT($B46&amp;"!N18")</f>
        <v>2853.2570000000001</v>
      </c>
      <c r="S46" s="244" cm="1">
        <f t="array" aca="1" ref="S46" ca="1">INDIRECT($B46&amp;"!O18")</f>
        <v>3462.0365999999999</v>
      </c>
      <c r="T46" s="244" cm="1">
        <f t="array" aca="1" ref="T46" ca="1">INDIRECT($B46&amp;"!M22")</f>
        <v>-1686.8341</v>
      </c>
      <c r="U46" s="244" cm="1">
        <f t="array" aca="1" ref="U46" ca="1">INDIRECT($B46&amp;"!N22")</f>
        <v>75.534210000000002</v>
      </c>
      <c r="V46" s="244" cm="1">
        <f t="array" aca="1" ref="V46" ca="1">INDIRECT($B46&amp;"!O22")</f>
        <v>773.16309999999999</v>
      </c>
      <c r="W46" s="217">
        <f t="shared" ca="1" si="11"/>
        <v>2.1773331242431748E-2</v>
      </c>
      <c r="X46" s="217">
        <f t="shared" ca="1" si="12"/>
        <v>0.58247790647989395</v>
      </c>
      <c r="Y46" s="217">
        <f t="shared" ca="1" si="13"/>
        <v>2.0694214005109818E-2</v>
      </c>
      <c r="Z46" s="217">
        <f t="shared" ca="1" si="14"/>
        <v>4.170023113556031E-2</v>
      </c>
      <c r="AA46" s="217">
        <f t="shared" ca="1" si="15"/>
        <v>4.9638096650030245E-2</v>
      </c>
      <c r="AC46" s="121" t="s">
        <v>438</v>
      </c>
      <c r="AF46" s="306" cm="1">
        <f t="array" aca="1" ref="AF46" ca="1">INDIRECT($AC46&amp;"!E26")/INDIRECT($AC46&amp;"!E16")</f>
        <v>0.23323009786827714</v>
      </c>
      <c r="AG46" s="306" cm="1">
        <f t="array" aca="1" ref="AG46" ca="1">INDIRECT($AC46&amp;"!F26")/INDIRECT($AC46&amp;"!F16")</f>
        <v>0.21852582258219386</v>
      </c>
      <c r="AH46" s="306" cm="1">
        <f t="array" aca="1" ref="AH46" ca="1">INDIRECT($AC46&amp;"!G26")/INDIRECT($AC46&amp;"!G16")</f>
        <v>0.22162047911204524</v>
      </c>
      <c r="AI46" s="306" cm="1">
        <f t="array" aca="1" ref="AI46" ca="1">INDIRECT($AC46&amp;"!H26")/INDIRECT($AC46&amp;"!H16")</f>
        <v>0.36610751967193117</v>
      </c>
      <c r="AJ46" s="306" cm="1">
        <f t="array" aca="1" ref="AJ46" ca="1">INDIRECT($AC46&amp;"!I26")/INDIRECT($AC46&amp;"!I16")</f>
        <v>0.37806592410234469</v>
      </c>
      <c r="AK46" s="306" cm="1">
        <f t="array" aca="1" ref="AK46" ca="1">INDIRECT($AC46&amp;"!J26")/INDIRECT($AC46&amp;"!J16")</f>
        <v>0.27457137304073825</v>
      </c>
      <c r="AL46" s="306" cm="1">
        <f t="array" aca="1" ref="AL46" ca="1">INDIRECT($AC46&amp;"!K26")/INDIRECT($AC46&amp;"!K16")</f>
        <v>0.22313946198679732</v>
      </c>
      <c r="AM46" s="307" cm="1">
        <f t="array" aca="1" ref="AM46" ca="1">INDIRECT($AC46&amp;"!L26")/INDIRECT($AC46&amp;"!L16")</f>
        <v>0.21654231205816651</v>
      </c>
    </row>
    <row r="47" spans="1:39" x14ac:dyDescent="0.25">
      <c r="B47" t="s">
        <v>436</v>
      </c>
      <c r="F47" s="243" cm="1">
        <f t="array" aca="1" ref="F47" ca="1">INDIRECT(B47&amp;"!F9")</f>
        <v>80.72</v>
      </c>
      <c r="G47" s="190" cm="1">
        <f t="array" aca="1" ref="G47" ca="1">INDIRECT(B47&amp;"!R29")</f>
        <v>609.81512449114996</v>
      </c>
      <c r="H47" s="244">
        <f t="shared" ca="1" si="17"/>
        <v>49224.276848925627</v>
      </c>
      <c r="I47" s="244" cm="1">
        <f t="array" aca="1" ref="I47" ca="1">INDIRECT(B47&amp;"!R26")</f>
        <v>19257</v>
      </c>
      <c r="J47" s="244" cm="1">
        <f t="array" aca="1" ref="J47" ca="1">INDIRECT(B47&amp;"!R27")</f>
        <v>107748</v>
      </c>
      <c r="K47" s="244">
        <f t="shared" ca="1" si="16"/>
        <v>137715.27684892563</v>
      </c>
      <c r="L47" s="189" cm="1">
        <f t="array" aca="1" ref="L47" ca="1">INDIRECT(B47&amp;"!R30")</f>
        <v>7.6269943449422298E-2</v>
      </c>
      <c r="M47" s="189" cm="1">
        <f t="array" aca="1" ref="M47" ca="1">INDIRECT(B47&amp;"!R31")</f>
        <v>4.5064563653696196E-2</v>
      </c>
      <c r="N47" s="244" cm="1">
        <f t="array" aca="1" ref="N47" ca="1">INDIRECT($B47&amp;"!M16")</f>
        <v>138715.39000000001</v>
      </c>
      <c r="O47" s="244" cm="1">
        <f t="array" aca="1" ref="O47" ca="1">INDIRECT($B47&amp;"!N16")</f>
        <v>142726.48000000001</v>
      </c>
      <c r="P47" s="244" cm="1">
        <f t="array" aca="1" ref="P47" ca="1">INDIRECT($B47&amp;"!O16")</f>
        <v>147509.85999999999</v>
      </c>
      <c r="Q47" s="244" cm="1">
        <f t="array" aca="1" ref="Q47" ca="1">INDIRECT($B47&amp;"!M18")</f>
        <v>19217.615000000002</v>
      </c>
      <c r="R47" s="244" cm="1">
        <f t="array" aca="1" ref="R47" ca="1">INDIRECT($B47&amp;"!N18")</f>
        <v>20805.013999999999</v>
      </c>
      <c r="S47" s="244" cm="1">
        <f t="array" aca="1" ref="S47" ca="1">INDIRECT($B47&amp;"!O18")</f>
        <v>22766.3</v>
      </c>
      <c r="T47" s="244" cm="1">
        <f t="array" aca="1" ref="T47" ca="1">INDIRECT($B47&amp;"!M22")</f>
        <v>6489.7209999999995</v>
      </c>
      <c r="U47" s="244" cm="1">
        <f t="array" aca="1" ref="U47" ca="1">INDIRECT($B47&amp;"!N22")</f>
        <v>6961.9530000000004</v>
      </c>
      <c r="V47" s="244" cm="1">
        <f t="array" aca="1" ref="V47" ca="1">INDIRECT($B47&amp;"!O22")</f>
        <v>7871.9750000000004</v>
      </c>
      <c r="W47" s="217">
        <f t="shared" ca="1" si="11"/>
        <v>3.121257847293557E-2</v>
      </c>
      <c r="X47" s="217">
        <f t="shared" ca="1" si="12"/>
        <v>8.8419923428951552E-2</v>
      </c>
      <c r="Y47" s="217">
        <f t="shared" ca="1" si="13"/>
        <v>0.13853989092342242</v>
      </c>
      <c r="Z47" s="217">
        <f t="shared" ca="1" si="14"/>
        <v>0.14576842363098982</v>
      </c>
      <c r="AA47" s="217">
        <f t="shared" ca="1" si="15"/>
        <v>0.15433747954204555</v>
      </c>
      <c r="AC47" s="121" t="s">
        <v>439</v>
      </c>
      <c r="AF47" s="306" cm="1">
        <f t="array" aca="1" ref="AF47" ca="1">INDIRECT($AC47&amp;"!E26")/INDIRECT($AC47&amp;"!E16")</f>
        <v>0.19282518707892715</v>
      </c>
      <c r="AG47" s="306" cm="1">
        <f t="array" aca="1" ref="AG47" ca="1">INDIRECT($AC47&amp;"!F26")/INDIRECT($AC47&amp;"!F16")</f>
        <v>0.19914120593323911</v>
      </c>
      <c r="AH47" s="306" cm="1">
        <f t="array" aca="1" ref="AH47" ca="1">INDIRECT($AC47&amp;"!G26")/INDIRECT($AC47&amp;"!G16")</f>
        <v>0.13993819517659573</v>
      </c>
      <c r="AI47" s="306" cm="1">
        <f t="array" aca="1" ref="AI47" ca="1">INDIRECT($AC47&amp;"!H26")/INDIRECT($AC47&amp;"!H16")</f>
        <v>0.17835929195142053</v>
      </c>
      <c r="AJ47" s="306" cm="1">
        <f t="array" aca="1" ref="AJ47" ca="1">INDIRECT($AC47&amp;"!I26")/INDIRECT($AC47&amp;"!I16")</f>
        <v>0.18828153956397192</v>
      </c>
      <c r="AK47" s="306" cm="1">
        <f t="array" aca="1" ref="AK47" ca="1">INDIRECT($AC47&amp;"!J26")/INDIRECT($AC47&amp;"!J16")</f>
        <v>0.19719276602919147</v>
      </c>
      <c r="AL47" s="306" cm="1">
        <f t="array" aca="1" ref="AL47" ca="1">INDIRECT($AC47&amp;"!K26")/INDIRECT($AC47&amp;"!K16")</f>
        <v>0.20019118237835914</v>
      </c>
      <c r="AM47" s="307" cm="1">
        <f t="array" aca="1" ref="AM47" ca="1">INDIRECT($AC47&amp;"!L26")/INDIRECT($AC47&amp;"!L16")</f>
        <v>0.18945753998440229</v>
      </c>
    </row>
    <row r="48" spans="1:39" x14ac:dyDescent="0.25">
      <c r="B48" t="s">
        <v>519</v>
      </c>
      <c r="F48" s="243">
        <f>MercedesBenz!F9</f>
        <v>56.21</v>
      </c>
      <c r="G48" s="190">
        <f>MercedesBenz!R29</f>
        <v>962.90370299999995</v>
      </c>
      <c r="H48" s="244">
        <f t="shared" si="17"/>
        <v>54124.817145629997</v>
      </c>
      <c r="I48" s="244">
        <f>MercedesBenz!R26</f>
        <v>22496</v>
      </c>
      <c r="J48" s="244">
        <f>MercedesBenz!R27</f>
        <v>102343</v>
      </c>
      <c r="K48" s="244">
        <f t="shared" si="16"/>
        <v>133971.81714562999</v>
      </c>
      <c r="L48" s="189">
        <f>MercedesBenz!R30</f>
        <v>6.8815546808334904E-2</v>
      </c>
      <c r="M48" s="189">
        <f>MercedesBenz!R31</f>
        <v>3.9276433825493201E-2</v>
      </c>
      <c r="N48" s="244">
        <f>MercedesBenz!M16</f>
        <v>134542.76999999999</v>
      </c>
      <c r="O48" s="244">
        <f>MercedesBenz!N16</f>
        <v>135827.06</v>
      </c>
      <c r="P48" s="244">
        <f>MercedesBenz!O16</f>
        <v>140007.01999999999</v>
      </c>
      <c r="Q48" s="244">
        <f>MercedesBenz!M18</f>
        <v>14753.084000000001</v>
      </c>
      <c r="R48" s="244">
        <f>MercedesBenz!N18</f>
        <v>16532.469000000001</v>
      </c>
      <c r="S48" s="244">
        <f>MercedesBenz!O18</f>
        <v>18476.857</v>
      </c>
      <c r="T48" s="244">
        <f>MercedesBenz!M22</f>
        <v>5118.2974000000004</v>
      </c>
      <c r="U48" s="244">
        <f>MercedesBenz!N22</f>
        <v>6663.5370000000003</v>
      </c>
      <c r="V48" s="244">
        <f>MercedesBenz!O22</f>
        <v>7813.5654000000004</v>
      </c>
      <c r="W48" s="217">
        <f t="shared" si="11"/>
        <v>2.0104641332248985E-2</v>
      </c>
      <c r="X48" s="217">
        <f t="shared" si="12"/>
        <v>0.11910965151327901</v>
      </c>
      <c r="Y48" s="217">
        <f t="shared" si="13"/>
        <v>0.10965348788344406</v>
      </c>
      <c r="Z48" s="217">
        <f t="shared" si="14"/>
        <v>0.12171704960705181</v>
      </c>
      <c r="AA48" s="217">
        <f t="shared" si="15"/>
        <v>0.13197093260037962</v>
      </c>
      <c r="AC48" s="121" t="s">
        <v>440</v>
      </c>
      <c r="AF48" s="306" cm="1">
        <f t="array" aca="1" ref="AF48" ca="1">INDIRECT($AC48&amp;"!E26")/INDIRECT($AC48&amp;"!E16")</f>
        <v>0.16497509498099139</v>
      </c>
      <c r="AG48" s="306" cm="1">
        <f t="array" aca="1" ref="AG48" ca="1">INDIRECT($AC48&amp;"!F26")/INDIRECT($AC48&amp;"!F16")</f>
        <v>0.20277631070530522</v>
      </c>
      <c r="AH48" s="306" cm="1">
        <f t="array" aca="1" ref="AH48" ca="1">INDIRECT($AC48&amp;"!G26")/INDIRECT($AC48&amp;"!G16")</f>
        <v>0.19322753380507765</v>
      </c>
      <c r="AI48" s="306" cm="1">
        <f t="array" aca="1" ref="AI48" ca="1">INDIRECT($AC48&amp;"!H26")/INDIRECT($AC48&amp;"!H16")</f>
        <v>0.24051303638016511</v>
      </c>
      <c r="AJ48" s="306" cm="1">
        <f t="array" aca="1" ref="AJ48" ca="1">INDIRECT($AC48&amp;"!I26")/INDIRECT($AC48&amp;"!I16")</f>
        <v>0.25869883032726965</v>
      </c>
      <c r="AK48" s="306" cm="1">
        <f t="array" aca="1" ref="AK48" ca="1">INDIRECT($AC48&amp;"!J26")/INDIRECT($AC48&amp;"!J16")</f>
        <v>0.21147603558767117</v>
      </c>
      <c r="AL48" s="306" cm="1">
        <f t="array" aca="1" ref="AL48" ca="1">INDIRECT($AC48&amp;"!K26")/INDIRECT($AC48&amp;"!K16")</f>
        <v>0.16556295616323646</v>
      </c>
      <c r="AM48" s="307" cm="1">
        <f t="array" aca="1" ref="AM48" ca="1">INDIRECT($AC48&amp;"!L26")/INDIRECT($AC48&amp;"!L16")</f>
        <v>0.16576775744052244</v>
      </c>
    </row>
    <row r="49" spans="1:39" x14ac:dyDescent="0.25">
      <c r="B49" t="s">
        <v>439</v>
      </c>
      <c r="F49" s="243" cm="1">
        <f t="array" aca="1" ref="F49" ca="1">INDIRECT(B49&amp;"!F9")</f>
        <v>17.648023999999999</v>
      </c>
      <c r="G49" s="190" cm="1">
        <f t="array" aca="1" ref="G49" ca="1">INDIRECT(B49&amp;"!R29")</f>
        <v>13033.389219000001</v>
      </c>
      <c r="H49" s="244">
        <f t="shared" ca="1" si="17"/>
        <v>230013.56573825327</v>
      </c>
      <c r="I49" s="244" cm="1">
        <f t="array" aca="1" ref="I49" ca="1">INDIRECT(B49&amp;"!R26")</f>
        <v>46752.309095037199</v>
      </c>
      <c r="J49" s="244" cm="1">
        <f t="array" aca="1" ref="J49" ca="1">INDIRECT(B49&amp;"!R27")</f>
        <v>229725.73878488899</v>
      </c>
      <c r="K49" s="244">
        <f t="shared" ca="1" si="16"/>
        <v>412986.99542810506</v>
      </c>
      <c r="L49" s="189" cm="1">
        <f t="array" aca="1" ref="L49" ca="1">INDIRECT(B49&amp;"!R30")</f>
        <v>0.128899450814738</v>
      </c>
      <c r="M49" s="189" cm="1">
        <f t="array" aca="1" ref="M49" ca="1">INDIRECT(B49&amp;"!R31")</f>
        <v>7.9094678577610197E-2</v>
      </c>
      <c r="N49" s="244" cm="1">
        <f t="array" aca="1" ref="N49" ca="1">INDIRECT(B49&amp;"!M16")</f>
        <v>274892</v>
      </c>
      <c r="O49" s="244" cm="1">
        <f t="array" aca="1" ref="O49" ca="1">INDIRECT($B49&amp;"!N16")</f>
        <v>283138.38</v>
      </c>
      <c r="P49" s="244" cm="1">
        <f t="array" aca="1" ref="P49" ca="1">INDIRECT($B49&amp;"!O16")</f>
        <v>290642.15999999997</v>
      </c>
      <c r="Q49" s="244" cm="1">
        <f t="array" aca="1" ref="Q49" ca="1">INDIRECT($B49&amp;"!M18")</f>
        <v>31747.256000000001</v>
      </c>
      <c r="R49" s="244" cm="1">
        <f t="array" aca="1" ref="R49" ca="1">INDIRECT($B49&amp;"!N18")</f>
        <v>35426.26</v>
      </c>
      <c r="S49" s="244" cm="1">
        <f t="array" aca="1" ref="S49" ca="1">INDIRECT($B49&amp;"!O18")</f>
        <v>37506.480000000003</v>
      </c>
      <c r="T49" s="244" cm="1">
        <f t="array" aca="1" ref="T49" ca="1">INDIRECT($B49&amp;"!M22")</f>
        <v>18217.3</v>
      </c>
      <c r="U49" s="244" cm="1">
        <f t="array" aca="1" ref="U49" ca="1">INDIRECT($B49&amp;"!N22")</f>
        <v>21142.232</v>
      </c>
      <c r="V49" s="244" cm="1">
        <f t="array" aca="1" ref="V49" ca="1">INDIRECT($B49&amp;"!O22")</f>
        <v>22701.157999999999</v>
      </c>
      <c r="W49" s="217">
        <f t="shared" ca="1" si="11"/>
        <v>2.8248905041182715E-2</v>
      </c>
      <c r="X49" s="217">
        <f t="shared" ca="1" si="12"/>
        <v>8.6926198120316656E-2</v>
      </c>
      <c r="Y49" s="217">
        <f t="shared" ca="1" si="13"/>
        <v>0.11548992331533839</v>
      </c>
      <c r="Z49" s="217">
        <f t="shared" ca="1" si="14"/>
        <v>0.12511995018125061</v>
      </c>
      <c r="AA49" s="217">
        <f t="shared" ca="1" si="15"/>
        <v>0.12904693524160435</v>
      </c>
      <c r="AC49" s="308" t="s">
        <v>441</v>
      </c>
      <c r="AD49" s="274"/>
      <c r="AE49" s="274"/>
      <c r="AF49" s="300" cm="1">
        <f t="array" aca="1" ref="AF49" ca="1">INDIRECT($AC49&amp;"!E26")/INDIRECT($AC49&amp;"!E16")</f>
        <v>0.14546114840041358</v>
      </c>
      <c r="AG49" s="300" cm="1">
        <f t="array" aca="1" ref="AG49" ca="1">INDIRECT($AC49&amp;"!F26")/INDIRECT($AC49&amp;"!F16")</f>
        <v>0.16211199517633398</v>
      </c>
      <c r="AH49" s="300" cm="1">
        <f t="array" aca="1" ref="AH49" ca="1">INDIRECT($AC49&amp;"!G26")/INDIRECT($AC49&amp;"!G16")</f>
        <v>0.18251825577770653</v>
      </c>
      <c r="AI49" s="300" cm="1">
        <f t="array" aca="1" ref="AI49" ca="1">INDIRECT($AC49&amp;"!H26")/INDIRECT($AC49&amp;"!H16")</f>
        <v>0.1992732357505699</v>
      </c>
      <c r="AJ49" s="300" cm="1">
        <f t="array" aca="1" ref="AJ49" ca="1">INDIRECT($AC49&amp;"!I26")/INDIRECT($AC49&amp;"!I16")</f>
        <v>0.24403867685974953</v>
      </c>
      <c r="AK49" s="300" cm="1">
        <f t="array" aca="1" ref="AK49" ca="1">INDIRECT($AC49&amp;"!J26")/INDIRECT($AC49&amp;"!J16")</f>
        <v>0.21923010999118792</v>
      </c>
      <c r="AL49" s="300" cm="1">
        <f t="array" aca="1" ref="AL49" ca="1">INDIRECT($AC49&amp;"!K26")/INDIRECT($AC49&amp;"!K16")</f>
        <v>0.23262394150312823</v>
      </c>
      <c r="AM49" s="309" cm="1">
        <f t="array" aca="1" ref="AM49" ca="1">INDIRECT($AC49&amp;"!L26")/INDIRECT($AC49&amp;"!L16")</f>
        <v>0.21156328885731021</v>
      </c>
    </row>
    <row r="50" spans="1:39" ht="13" x14ac:dyDescent="0.3">
      <c r="B50" t="s">
        <v>441</v>
      </c>
      <c r="F50" s="243" cm="1">
        <f t="array" aca="1" ref="F50" ca="1">INDIRECT(B50&amp;"!F9")</f>
        <v>8.7733965000000005</v>
      </c>
      <c r="G50" s="190" cm="1">
        <f t="array" aca="1" ref="G50" ca="1">INDIRECT(B50&amp;"!R29")</f>
        <v>3892.5506140000002</v>
      </c>
      <c r="H50" s="244">
        <f t="shared" ca="1" si="17"/>
        <v>34150.889932940452</v>
      </c>
      <c r="I50" s="244" cm="1">
        <f t="array" aca="1" ref="I50" ca="1">INDIRECT(B50&amp;"!R26")</f>
        <v>26711.6725682658</v>
      </c>
      <c r="J50" s="244" cm="1">
        <f t="array" aca="1" ref="J50" ca="1">INDIRECT(B50&amp;"!R27")</f>
        <v>72636.763835538193</v>
      </c>
      <c r="K50" s="244">
        <f t="shared" ca="1" si="16"/>
        <v>80075.981200212846</v>
      </c>
      <c r="L50" s="189" cm="1">
        <f t="array" aca="1" ref="L50" ca="1">INDIRECT(B50&amp;"!R30")</f>
        <v>5.36348473278822E-2</v>
      </c>
      <c r="M50" s="189" cm="1">
        <f t="array" aca="1" ref="M50" ca="1">INDIRECT(B50&amp;"!R31")</f>
        <v>3.3711155045742701E-2</v>
      </c>
      <c r="N50" s="244" cm="1">
        <f t="array" aca="1" ref="N50" ca="1">INDIRECT(B50&amp;"!M16")</f>
        <v>117737.17</v>
      </c>
      <c r="O50" s="244" cm="1">
        <f t="array" aca="1" ref="O50" ca="1">INDIRECT($B50&amp;"!N16")</f>
        <v>120500.61</v>
      </c>
      <c r="P50" s="244" cm="1">
        <f t="array" aca="1" ref="P50" ca="1">INDIRECT($B50&amp;"!O16")</f>
        <v>124229.94500000001</v>
      </c>
      <c r="Q50" s="244" cm="1">
        <f t="array" aca="1" ref="Q50" ca="1">INDIRECT($B50&amp;"!M18")</f>
        <v>7197.0063</v>
      </c>
      <c r="R50" s="244" cm="1">
        <f t="array" aca="1" ref="R50" ca="1">INDIRECT($B50&amp;"!N18")</f>
        <v>8883.0849999999991</v>
      </c>
      <c r="S50" s="244" cm="1">
        <f t="array" aca="1" ref="S50" ca="1">INDIRECT($B50&amp;"!O18")</f>
        <v>9717.5259999999998</v>
      </c>
      <c r="T50" s="244" cm="1">
        <f t="array" aca="1" ref="T50" ca="1">INDIRECT($B50&amp;"!M22")</f>
        <v>3089.569</v>
      </c>
      <c r="U50" s="244" cm="1">
        <f t="array" aca="1" ref="U50" ca="1">INDIRECT($B50&amp;"!N22")</f>
        <v>4107.7304999999997</v>
      </c>
      <c r="V50" s="244" cm="1">
        <f t="array" aca="1" ref="V50" ca="1">INDIRECT($B50&amp;"!O22")</f>
        <v>4521.1166999999996</v>
      </c>
      <c r="W50" s="217">
        <f t="shared" ca="1" si="11"/>
        <v>2.7203168039386272E-2</v>
      </c>
      <c r="X50" s="217">
        <f t="shared" ca="1" si="12"/>
        <v>0.16198872550363608</v>
      </c>
      <c r="Y50" s="217">
        <f t="shared" ca="1" si="13"/>
        <v>6.1127733068494852E-2</v>
      </c>
      <c r="Z50" s="217">
        <f t="shared" ca="1" si="14"/>
        <v>7.3718174538701498E-2</v>
      </c>
      <c r="AA50" s="217">
        <f t="shared" ca="1" si="15"/>
        <v>7.8222090495170066E-2</v>
      </c>
      <c r="AC50" s="293" t="s">
        <v>520</v>
      </c>
      <c r="AD50" s="207"/>
      <c r="AE50" s="207"/>
      <c r="AF50" s="301">
        <f t="shared" ref="AF50:AM50" ca="1" si="18">AVERAGE(AF41:AF49)</f>
        <v>0.1492859483381182</v>
      </c>
      <c r="AG50" s="301">
        <f t="shared" ca="1" si="18"/>
        <v>0.16521453250983295</v>
      </c>
      <c r="AH50" s="301">
        <f t="shared" ca="1" si="18"/>
        <v>0.16570214686843188</v>
      </c>
      <c r="AI50" s="301">
        <f t="shared" ca="1" si="18"/>
        <v>0.2608342664657482</v>
      </c>
      <c r="AJ50" s="301">
        <f t="shared" ca="1" si="18"/>
        <v>0.24829665653914251</v>
      </c>
      <c r="AK50" s="301">
        <f t="shared" ca="1" si="18"/>
        <v>0.2092606346571792</v>
      </c>
      <c r="AL50" s="301">
        <f t="shared" ca="1" si="18"/>
        <v>0.19032820384488883</v>
      </c>
      <c r="AM50" s="310">
        <f t="shared" ca="1" si="18"/>
        <v>0.18763165402163218</v>
      </c>
    </row>
    <row r="51" spans="1:39" x14ac:dyDescent="0.25">
      <c r="B51" t="s">
        <v>438</v>
      </c>
      <c r="F51" s="243" cm="1">
        <f t="array" aca="1" ref="F51" ca="1">INDIRECT(B51&amp;"!F9")</f>
        <v>11.375845</v>
      </c>
      <c r="G51" s="190" cm="1">
        <f t="array" aca="1" ref="G51" ca="1">INDIRECT(B51&amp;"!R29")</f>
        <v>4203</v>
      </c>
      <c r="H51" s="244">
        <f t="shared" ca="1" si="17"/>
        <v>47812.676534999999</v>
      </c>
      <c r="I51" s="244" cm="1">
        <f t="array" aca="1" ref="I51" ca="1">INDIRECT(B51&amp;"!R26")</f>
        <v>35904.681600093798</v>
      </c>
      <c r="J51" s="244" cm="1">
        <f t="array" aca="1" ref="J51" ca="1">INDIRECT(B51&amp;"!R27")</f>
        <v>139899.57738661801</v>
      </c>
      <c r="K51" s="244">
        <f t="shared" ca="1" si="16"/>
        <v>151807.5723215242</v>
      </c>
      <c r="L51" s="189" cm="1">
        <f t="array" aca="1" ref="L51" ca="1">INDIRECT(B51&amp;"!R30")</f>
        <v>0.10263120590576501</v>
      </c>
      <c r="M51" s="189" cm="1">
        <f t="array" aca="1" ref="M51" ca="1">INDIRECT(B51&amp;"!R31")</f>
        <v>3.1048975040741097E-2</v>
      </c>
      <c r="N51" s="244" cm="1">
        <f t="array" aca="1" ref="N51" ca="1">INDIRECT(B51&amp;"!M16")</f>
        <v>157610.4</v>
      </c>
      <c r="O51" s="244" cm="1">
        <f t="array" aca="1" ref="O51" ca="1">INDIRECT($B51&amp;"!N16")</f>
        <v>160697.72</v>
      </c>
      <c r="P51" s="244" cm="1">
        <f t="array" aca="1" ref="P51" ca="1">INDIRECT($B51&amp;"!O16")</f>
        <v>166121.98000000001</v>
      </c>
      <c r="Q51" s="244" cm="1">
        <f t="array" aca="1" ref="Q51" ca="1">INDIRECT($B51&amp;"!M18")</f>
        <v>10222.398999999999</v>
      </c>
      <c r="R51" s="244" cm="1">
        <f t="array" aca="1" ref="R51" ca="1">INDIRECT($B51&amp;"!N18")</f>
        <v>10873.805</v>
      </c>
      <c r="S51" s="244" cm="1">
        <f t="array" aca="1" ref="S51" ca="1">INDIRECT($B51&amp;"!O18")</f>
        <v>11867.49</v>
      </c>
      <c r="T51" s="244" cm="1">
        <f t="array" aca="1" ref="T51" ca="1">INDIRECT($B51&amp;"!M22")</f>
        <v>3627.7937000000002</v>
      </c>
      <c r="U51" s="244" cm="1">
        <f t="array" aca="1" ref="U51" ca="1">INDIRECT($B51&amp;"!N22")</f>
        <v>5049.9395000000004</v>
      </c>
      <c r="V51" s="244" cm="1">
        <f t="array" aca="1" ref="V51" ca="1">INDIRECT($B51&amp;"!O22")</f>
        <v>5677.4589999999998</v>
      </c>
      <c r="W51" s="217">
        <f t="shared" ca="1" si="11"/>
        <v>2.6646932299001502E-2</v>
      </c>
      <c r="X51" s="217">
        <f t="shared" ca="1" si="12"/>
        <v>7.7464631520393956E-2</v>
      </c>
      <c r="Y51" s="217">
        <f t="shared" ca="1" si="13"/>
        <v>6.4858657804307329E-2</v>
      </c>
      <c r="Z51" s="217">
        <f t="shared" ca="1" si="14"/>
        <v>6.7666205842870697E-2</v>
      </c>
      <c r="AA51" s="217">
        <f t="shared" ca="1" si="15"/>
        <v>7.1438409294182492E-2</v>
      </c>
      <c r="AC51" s="121"/>
      <c r="AM51" s="120"/>
    </row>
    <row r="52" spans="1:39" ht="13" x14ac:dyDescent="0.3">
      <c r="B52" t="s">
        <v>463</v>
      </c>
      <c r="F52" s="243">
        <f>GeneralMotors!F9</f>
        <v>59.859639999999999</v>
      </c>
      <c r="G52" s="190">
        <f>GeneralMotors!R29</f>
        <v>933</v>
      </c>
      <c r="H52" s="244">
        <f t="shared" si="17"/>
        <v>55849.044119999999</v>
      </c>
      <c r="I52" s="244">
        <f>GeneralMotors!R26</f>
        <v>27699.5750459433</v>
      </c>
      <c r="J52" s="244">
        <f>GeneralMotors!R27</f>
        <v>112768.51299083199</v>
      </c>
      <c r="K52" s="244">
        <f t="shared" si="16"/>
        <v>140917.9820648887</v>
      </c>
      <c r="L52" s="189">
        <f>GeneralMotors!R30</f>
        <v>4.4367084459139602E-2</v>
      </c>
      <c r="M52" s="189">
        <f>GeneralMotors!R31</f>
        <v>1.8743231269075501E-2</v>
      </c>
      <c r="N52" s="244">
        <f>GeneralMotors!M16</f>
        <v>160977.54999999999</v>
      </c>
      <c r="O52" s="244">
        <f>GeneralMotors!N16</f>
        <v>162207.69</v>
      </c>
      <c r="P52" s="244">
        <f>GeneralMotors!O16</f>
        <v>164368.53</v>
      </c>
      <c r="Q52" s="244">
        <f>GeneralMotors!M18</f>
        <v>15075.114</v>
      </c>
      <c r="R52" s="244">
        <f>GeneralMotors!N18</f>
        <v>17256.456999999999</v>
      </c>
      <c r="S52" s="244">
        <f>GeneralMotors!O18</f>
        <v>17556.89</v>
      </c>
      <c r="T52" s="244">
        <f>GeneralMotors!M22</f>
        <v>8722.8729999999996</v>
      </c>
      <c r="U52" s="244">
        <f>GeneralMotors!N22</f>
        <v>9215.48</v>
      </c>
      <c r="V52" s="244">
        <f>GeneralMotors!O22</f>
        <v>9843.1790000000001</v>
      </c>
      <c r="W52" s="217">
        <f t="shared" si="11"/>
        <v>1.0477572681205416E-2</v>
      </c>
      <c r="X52" s="217">
        <f t="shared" si="12"/>
        <v>7.9179014546852944E-2</v>
      </c>
      <c r="Y52" s="217">
        <f>Q52/N52</f>
        <v>9.3647306720719761E-2</v>
      </c>
      <c r="Z52" s="217">
        <f t="shared" si="14"/>
        <v>0.10638495006001256</v>
      </c>
      <c r="AA52" s="217">
        <f t="shared" si="15"/>
        <v>0.10681418152246053</v>
      </c>
      <c r="AC52" s="293" t="s">
        <v>521</v>
      </c>
      <c r="AF52" s="302">
        <f ca="1">(AF50+AG50+AH50+AL50+AM50)/5</f>
        <v>0.1716324971165808</v>
      </c>
      <c r="AM52" s="120"/>
    </row>
    <row r="53" spans="1:39" ht="13" thickBot="1" x14ac:dyDescent="0.3">
      <c r="E53" s="216"/>
      <c r="G53" s="190"/>
      <c r="H53" s="191"/>
      <c r="I53" s="190"/>
      <c r="J53" s="190"/>
      <c r="K53" s="191"/>
      <c r="L53" s="189"/>
      <c r="M53" s="189"/>
      <c r="N53" s="191"/>
      <c r="O53" s="191"/>
      <c r="P53" s="191"/>
      <c r="Q53" s="191"/>
      <c r="R53" s="191"/>
      <c r="S53" s="191"/>
      <c r="T53" s="192"/>
      <c r="U53" s="192"/>
      <c r="V53" s="192"/>
      <c r="Z53" s="191"/>
      <c r="AC53" s="124"/>
      <c r="AD53" s="119"/>
      <c r="AE53" s="119"/>
      <c r="AF53" s="119"/>
      <c r="AG53" s="119"/>
      <c r="AH53" s="119"/>
      <c r="AI53" s="119"/>
      <c r="AJ53" s="119"/>
      <c r="AK53" s="119"/>
      <c r="AL53" s="119"/>
      <c r="AM53" s="125"/>
    </row>
    <row r="54" spans="1:39" ht="13" thickBot="1" x14ac:dyDescent="0.3">
      <c r="B54" s="559" t="s">
        <v>522</v>
      </c>
      <c r="C54" s="560"/>
      <c r="D54" s="560"/>
      <c r="E54" s="561"/>
      <c r="F54" s="562">
        <v>33.79</v>
      </c>
      <c r="G54" s="563">
        <v>273.45999999999998</v>
      </c>
      <c r="H54" s="564">
        <f>G54*F54</f>
        <v>9240.2133999999987</v>
      </c>
      <c r="I54" s="565">
        <v>19302</v>
      </c>
      <c r="J54" s="565">
        <f>64053+6025</f>
        <v>70078</v>
      </c>
      <c r="K54" s="564">
        <f>H54+J54-I54</f>
        <v>60016.213399999993</v>
      </c>
      <c r="L54" s="566"/>
      <c r="M54" s="566"/>
      <c r="N54" s="567">
        <f>'Main Financials'!O8</f>
        <v>57595.111393800573</v>
      </c>
      <c r="O54" s="567">
        <f>'Main Financials'!P8</f>
        <v>60205.869717830421</v>
      </c>
      <c r="P54" s="567">
        <f>'Main Financials'!Q8</f>
        <v>62404.000476570101</v>
      </c>
      <c r="Q54" s="564">
        <f>'Main Financials'!O12</f>
        <v>6856.9353137007784</v>
      </c>
      <c r="R54" s="564">
        <f>'Main Financials'!P12</f>
        <v>7221.7443087347947</v>
      </c>
      <c r="S54" s="564">
        <f>'Main Financials'!Q12</f>
        <v>7444.0855517300442</v>
      </c>
      <c r="T54" s="565">
        <v>-9811</v>
      </c>
      <c r="U54" s="565">
        <v>2031</v>
      </c>
      <c r="V54" s="565">
        <v>2052</v>
      </c>
      <c r="W54" s="568">
        <f>SQRT(P54/N54)-1</f>
        <v>4.0910536032008782E-2</v>
      </c>
      <c r="X54" s="568">
        <f>IFERROR(SQRT(S54/Q54)-1,"N/A")</f>
        <v>4.1935059435532329E-2</v>
      </c>
      <c r="Y54" s="568">
        <f>Q54/N54</f>
        <v>0.11905412018074238</v>
      </c>
      <c r="Z54" s="568">
        <f>R54/O54</f>
        <v>0.11995083440503843</v>
      </c>
      <c r="AA54" s="569">
        <f>S54/P54</f>
        <v>0.11928859520031836</v>
      </c>
    </row>
    <row r="55" spans="1:39" ht="13" x14ac:dyDescent="0.3">
      <c r="E55" s="216"/>
      <c r="G55" s="190"/>
      <c r="H55" s="191"/>
      <c r="I55" s="190"/>
      <c r="J55" s="190"/>
      <c r="K55" s="191"/>
      <c r="L55" s="189"/>
      <c r="M55" s="189"/>
      <c r="N55" s="191"/>
      <c r="O55" s="191"/>
      <c r="P55" s="191"/>
      <c r="Q55" s="191"/>
      <c r="R55" s="191"/>
      <c r="S55" s="191"/>
      <c r="T55" s="192"/>
      <c r="U55" s="192"/>
      <c r="V55" s="192"/>
      <c r="Z55" s="191"/>
      <c r="AC55" s="283" t="s">
        <v>523</v>
      </c>
      <c r="AD55" s="284"/>
      <c r="AE55" s="284"/>
      <c r="AF55" s="284"/>
      <c r="AG55" s="284"/>
      <c r="AH55" s="284"/>
      <c r="AI55" s="284"/>
      <c r="AJ55" s="284"/>
      <c r="AK55" s="284"/>
      <c r="AL55" s="284"/>
      <c r="AM55" s="285"/>
    </row>
    <row r="56" spans="1:39" ht="13" x14ac:dyDescent="0.3">
      <c r="D56" s="2" t="s">
        <v>524</v>
      </c>
      <c r="AC56" s="304" t="s">
        <v>525</v>
      </c>
      <c r="AD56" s="303"/>
      <c r="AE56" s="303"/>
      <c r="AF56" s="303">
        <v>2017</v>
      </c>
      <c r="AG56" s="303">
        <f t="shared" ref="AG56" si="19">+AF56+1</f>
        <v>2018</v>
      </c>
      <c r="AH56" s="303">
        <f t="shared" ref="AH56" si="20">+AG56+1</f>
        <v>2019</v>
      </c>
      <c r="AI56" s="303">
        <f t="shared" ref="AI56" si="21">+AH56+1</f>
        <v>2020</v>
      </c>
      <c r="AJ56" s="303">
        <f t="shared" ref="AJ56" si="22">+AI56+1</f>
        <v>2021</v>
      </c>
      <c r="AK56" s="303">
        <f t="shared" ref="AK56" si="23">+AJ56+1</f>
        <v>2022</v>
      </c>
      <c r="AL56" s="303">
        <f t="shared" ref="AL56" si="24">+AK56+1</f>
        <v>2023</v>
      </c>
      <c r="AM56" s="305">
        <f t="shared" ref="AM56" si="25">+AL56+1</f>
        <v>2024</v>
      </c>
    </row>
    <row r="57" spans="1:39" x14ac:dyDescent="0.25">
      <c r="C57" s="218" t="s">
        <v>483</v>
      </c>
      <c r="D57" s="219">
        <v>4</v>
      </c>
      <c r="E57" s="220"/>
      <c r="F57" s="245">
        <f ca="1">_xlfn.QUARTILE.INC(F$44:F$52,$D57)</f>
        <v>91.35</v>
      </c>
      <c r="G57" s="221">
        <f t="shared" ref="G57:V61" ca="1" si="26">_xlfn.QUARTILE.INC(G$44:G$52,$D57)</f>
        <v>13033.389219000001</v>
      </c>
      <c r="H57" s="248">
        <f t="shared" ca="1" si="26"/>
        <v>230013.56573825327</v>
      </c>
      <c r="I57" s="248">
        <f t="shared" ca="1" si="26"/>
        <v>65550</v>
      </c>
      <c r="J57" s="248">
        <f t="shared" ca="1" si="26"/>
        <v>271470</v>
      </c>
      <c r="K57" s="248">
        <f t="shared" ca="1" si="26"/>
        <v>412986.99542810506</v>
      </c>
      <c r="L57" s="222">
        <f t="shared" ca="1" si="26"/>
        <v>0.128899450814738</v>
      </c>
      <c r="M57" s="222">
        <f t="shared" ca="1" si="26"/>
        <v>7.9094678577610197E-2</v>
      </c>
      <c r="N57" s="248">
        <f t="shared" ca="1" si="26"/>
        <v>324823.84000000003</v>
      </c>
      <c r="O57" s="248">
        <f t="shared" ca="1" si="26"/>
        <v>331772.65999999997</v>
      </c>
      <c r="P57" s="248">
        <f t="shared" ca="1" si="26"/>
        <v>340765.84</v>
      </c>
      <c r="Q57" s="248">
        <f t="shared" ca="1" si="26"/>
        <v>38573.105000000003</v>
      </c>
      <c r="R57" s="248">
        <f t="shared" ca="1" si="26"/>
        <v>46299.425999999999</v>
      </c>
      <c r="S57" s="248">
        <f t="shared" ca="1" si="26"/>
        <v>50404.945</v>
      </c>
      <c r="T57" s="248">
        <f t="shared" ca="1" si="26"/>
        <v>18217.3</v>
      </c>
      <c r="U57" s="248">
        <f t="shared" ca="1" si="26"/>
        <v>21142.232</v>
      </c>
      <c r="V57" s="248">
        <f t="shared" ca="1" si="26"/>
        <v>22701.157999999999</v>
      </c>
      <c r="W57" s="223">
        <f t="shared" ref="W57:AA61" ca="1" si="27">_xlfn.QUARTILE.INC(W$44:W$52,$D57)</f>
        <v>4.4404910852822166E-2</v>
      </c>
      <c r="X57" s="223">
        <f t="shared" ca="1" si="27"/>
        <v>0.58247790647989395</v>
      </c>
      <c r="Y57" s="223">
        <f t="shared" ca="1" si="27"/>
        <v>0.13853989092342242</v>
      </c>
      <c r="Z57" s="223">
        <f t="shared" ca="1" si="27"/>
        <v>0.14576842363098982</v>
      </c>
      <c r="AA57" s="224">
        <f t="shared" ca="1" si="27"/>
        <v>0.15433747954204555</v>
      </c>
      <c r="AC57" s="121" t="s">
        <v>434</v>
      </c>
      <c r="AF57" s="397">
        <v>1.10297026754407</v>
      </c>
      <c r="AG57" s="397">
        <v>0.79608663266132296</v>
      </c>
      <c r="AH57" s="397">
        <v>0.72473805936153102</v>
      </c>
      <c r="AI57" s="397">
        <v>1.0837878175926401</v>
      </c>
      <c r="AJ57" s="397">
        <v>0.93456103886812003</v>
      </c>
      <c r="AK57" s="397">
        <v>0.57924811455714698</v>
      </c>
      <c r="AL57" s="397">
        <v>0.78266861297785595</v>
      </c>
      <c r="AM57" s="398">
        <v>0.45335059736571498</v>
      </c>
    </row>
    <row r="58" spans="1:39" x14ac:dyDescent="0.25">
      <c r="C58" s="225" t="s">
        <v>526</v>
      </c>
      <c r="D58" s="2">
        <f>D57-1</f>
        <v>3</v>
      </c>
      <c r="E58" s="257"/>
      <c r="F58" s="243">
        <f ca="1">_xlfn.QUARTILE.INC(F$44:F$52,$D58)</f>
        <v>59.859639999999999</v>
      </c>
      <c r="G58" s="190">
        <f t="shared" ca="1" si="26"/>
        <v>3892.5506140000002</v>
      </c>
      <c r="H58" s="244">
        <f t="shared" ca="1" si="26"/>
        <v>54124.817145629997</v>
      </c>
      <c r="I58" s="244">
        <f t="shared" ca="1" si="26"/>
        <v>35904.681600093798</v>
      </c>
      <c r="J58" s="244">
        <f t="shared" ca="1" si="26"/>
        <v>139899.57738661801</v>
      </c>
      <c r="K58" s="244">
        <f t="shared" ca="1" si="26"/>
        <v>151807.5723215242</v>
      </c>
      <c r="L58" s="188">
        <f t="shared" ca="1" si="26"/>
        <v>7.6269943449422298E-2</v>
      </c>
      <c r="M58" s="188">
        <f t="shared" ca="1" si="26"/>
        <v>3.9276433825493201E-2</v>
      </c>
      <c r="N58" s="244">
        <f t="shared" ca="1" si="26"/>
        <v>160977.54999999999</v>
      </c>
      <c r="O58" s="244">
        <f t="shared" ca="1" si="26"/>
        <v>162207.69</v>
      </c>
      <c r="P58" s="244">
        <f t="shared" ca="1" si="26"/>
        <v>166401.67000000001</v>
      </c>
      <c r="Q58" s="244">
        <f t="shared" ca="1" si="26"/>
        <v>19217.615000000002</v>
      </c>
      <c r="R58" s="244">
        <f t="shared" ca="1" si="26"/>
        <v>20805.013999999999</v>
      </c>
      <c r="S58" s="244">
        <f t="shared" ca="1" si="26"/>
        <v>22766.3</v>
      </c>
      <c r="T58" s="244">
        <f t="shared" ca="1" si="26"/>
        <v>6489.7209999999995</v>
      </c>
      <c r="U58" s="244">
        <f t="shared" ca="1" si="26"/>
        <v>9215.48</v>
      </c>
      <c r="V58" s="244">
        <f t="shared" ca="1" si="26"/>
        <v>9843.1790000000001</v>
      </c>
      <c r="W58" s="226">
        <f t="shared" ca="1" si="27"/>
        <v>2.8248905041182715E-2</v>
      </c>
      <c r="X58" s="226">
        <f t="shared" ca="1" si="27"/>
        <v>0.16198872550363608</v>
      </c>
      <c r="Y58" s="226">
        <f t="shared" ca="1" si="27"/>
        <v>0.11548992331533839</v>
      </c>
      <c r="Z58" s="226">
        <f t="shared" ca="1" si="27"/>
        <v>0.12511995018125061</v>
      </c>
      <c r="AA58" s="227">
        <f t="shared" ca="1" si="27"/>
        <v>0.13197093260037962</v>
      </c>
      <c r="AC58" s="121" t="s">
        <v>435</v>
      </c>
      <c r="AF58" s="397">
        <v>0.865053651251522</v>
      </c>
      <c r="AG58" s="397">
        <v>0.66714028759770805</v>
      </c>
      <c r="AH58" s="397">
        <v>0.79592193771880004</v>
      </c>
      <c r="AI58" s="397">
        <v>0.76588282316591205</v>
      </c>
      <c r="AJ58" s="397">
        <v>0.99634408891623705</v>
      </c>
      <c r="AK58" s="397">
        <v>0.48934739347459599</v>
      </c>
      <c r="AL58" s="397">
        <v>0.37154937333007998</v>
      </c>
      <c r="AM58" s="398">
        <v>0.27430678606208903</v>
      </c>
    </row>
    <row r="59" spans="1:39" ht="13" x14ac:dyDescent="0.3">
      <c r="C59" s="235" t="s">
        <v>443</v>
      </c>
      <c r="D59" s="236">
        <f>D58-1</f>
        <v>2</v>
      </c>
      <c r="E59" s="237"/>
      <c r="F59" s="246">
        <f ca="1">_xlfn.QUARTILE.INC(F$44:F$52,$D59)</f>
        <v>17.648023999999999</v>
      </c>
      <c r="G59" s="238">
        <f t="shared" ca="1" si="26"/>
        <v>2888.7240120000001</v>
      </c>
      <c r="H59" s="249">
        <f t="shared" ca="1" si="26"/>
        <v>47812.676534999999</v>
      </c>
      <c r="I59" s="249">
        <f t="shared" ca="1" si="26"/>
        <v>27699.5750459433</v>
      </c>
      <c r="J59" s="249">
        <f t="shared" ca="1" si="26"/>
        <v>107748</v>
      </c>
      <c r="K59" s="249">
        <f t="shared" ca="1" si="26"/>
        <v>137715.27684892563</v>
      </c>
      <c r="L59" s="239">
        <f t="shared" ca="1" si="26"/>
        <v>5.36348473278822E-2</v>
      </c>
      <c r="M59" s="239">
        <f t="shared" ca="1" si="26"/>
        <v>3.1048975040741097E-2</v>
      </c>
      <c r="N59" s="249">
        <f t="shared" ca="1" si="26"/>
        <v>152552.69</v>
      </c>
      <c r="O59" s="249">
        <f t="shared" ca="1" si="26"/>
        <v>160481.22</v>
      </c>
      <c r="P59" s="249">
        <f t="shared" ca="1" si="26"/>
        <v>164368.53</v>
      </c>
      <c r="Q59" s="249">
        <f t="shared" ca="1" si="26"/>
        <v>14753.084000000001</v>
      </c>
      <c r="R59" s="249">
        <f t="shared" ca="1" si="26"/>
        <v>16532.469000000001</v>
      </c>
      <c r="S59" s="249">
        <f t="shared" ca="1" si="26"/>
        <v>17556.89</v>
      </c>
      <c r="T59" s="249">
        <f t="shared" ca="1" si="26"/>
        <v>4917.4870000000001</v>
      </c>
      <c r="U59" s="249">
        <f t="shared" ca="1" si="26"/>
        <v>6663.5370000000003</v>
      </c>
      <c r="V59" s="249">
        <f t="shared" ca="1" si="26"/>
        <v>7813.5654000000004</v>
      </c>
      <c r="W59" s="240">
        <f t="shared" ca="1" si="27"/>
        <v>2.6646932299001502E-2</v>
      </c>
      <c r="X59" s="240">
        <f t="shared" ca="1" si="27"/>
        <v>0.11910965151327901</v>
      </c>
      <c r="Y59" s="240">
        <f t="shared" ca="1" si="27"/>
        <v>9.3647306720719761E-2</v>
      </c>
      <c r="Z59" s="240">
        <f t="shared" ca="1" si="27"/>
        <v>0.10638495006001256</v>
      </c>
      <c r="AA59" s="241">
        <f t="shared" ca="1" si="27"/>
        <v>0.10681418152246053</v>
      </c>
      <c r="AC59" s="121" t="s">
        <v>96</v>
      </c>
      <c r="AF59" s="397">
        <v>0.79977705412759703</v>
      </c>
      <c r="AG59" s="397">
        <v>0.67017110860251705</v>
      </c>
      <c r="AH59" s="397">
        <v>0.343230642581484</v>
      </c>
      <c r="AI59" s="397">
        <v>0.61113332411732901</v>
      </c>
      <c r="AJ59" s="397">
        <v>0.46813572590298702</v>
      </c>
      <c r="AK59" s="397">
        <v>0.38228178471925101</v>
      </c>
      <c r="AL59" s="397">
        <v>0.38033835006105499</v>
      </c>
      <c r="AM59" s="398">
        <v>0.266716143732038</v>
      </c>
    </row>
    <row r="60" spans="1:39" x14ac:dyDescent="0.25">
      <c r="C60" s="225" t="s">
        <v>527</v>
      </c>
      <c r="D60" s="2">
        <f>D59-1</f>
        <v>1</v>
      </c>
      <c r="E60" s="257"/>
      <c r="F60" s="243">
        <f ca="1">_xlfn.QUARTILE.INC(F$44:F$52,$D60)</f>
        <v>8.7780000000000005</v>
      </c>
      <c r="G60" s="190">
        <f t="shared" ca="1" si="26"/>
        <v>933</v>
      </c>
      <c r="H60" s="244">
        <f t="shared" ca="1" si="26"/>
        <v>34150.889932940452</v>
      </c>
      <c r="I60" s="244">
        <f t="shared" ca="1" si="26"/>
        <v>22496</v>
      </c>
      <c r="J60" s="244">
        <f t="shared" ca="1" si="26"/>
        <v>72636.763835538193</v>
      </c>
      <c r="K60" s="244">
        <f t="shared" ca="1" si="26"/>
        <v>80075.981200212846</v>
      </c>
      <c r="L60" s="188">
        <f t="shared" ca="1" si="26"/>
        <v>4.0037059096022801E-2</v>
      </c>
      <c r="M60" s="188">
        <f t="shared" ca="1" si="26"/>
        <v>1.8743231269075501E-2</v>
      </c>
      <c r="N60" s="244">
        <f t="shared" ca="1" si="26"/>
        <v>134542.76999999999</v>
      </c>
      <c r="O60" s="244">
        <f t="shared" ca="1" si="26"/>
        <v>135827.06</v>
      </c>
      <c r="P60" s="244">
        <f t="shared" ca="1" si="26"/>
        <v>140007.01999999999</v>
      </c>
      <c r="Q60" s="244">
        <f t="shared" ca="1" si="26"/>
        <v>8945.5205000000005</v>
      </c>
      <c r="R60" s="244">
        <f t="shared" ca="1" si="26"/>
        <v>10873.805</v>
      </c>
      <c r="S60" s="244">
        <f t="shared" ca="1" si="26"/>
        <v>11867.49</v>
      </c>
      <c r="T60" s="244">
        <f t="shared" ca="1" si="26"/>
        <v>3089.569</v>
      </c>
      <c r="U60" s="244">
        <f t="shared" ca="1" si="26"/>
        <v>4879.009</v>
      </c>
      <c r="V60" s="244">
        <f t="shared" ca="1" si="26"/>
        <v>5677.4589999999998</v>
      </c>
      <c r="W60" s="226">
        <f t="shared" ca="1" si="27"/>
        <v>2.1773331242431748E-2</v>
      </c>
      <c r="X60" s="226">
        <f t="shared" ca="1" si="27"/>
        <v>8.6926198120316656E-2</v>
      </c>
      <c r="Y60" s="226">
        <f t="shared" ca="1" si="27"/>
        <v>6.1127733068494852E-2</v>
      </c>
      <c r="Z60" s="226">
        <f t="shared" ca="1" si="27"/>
        <v>7.3718174538701498E-2</v>
      </c>
      <c r="AA60" s="227">
        <f t="shared" ca="1" si="27"/>
        <v>7.8222090495170066E-2</v>
      </c>
      <c r="AC60" s="121" t="s">
        <v>436</v>
      </c>
      <c r="AF60" s="397">
        <v>1.06387918987908</v>
      </c>
      <c r="AG60" s="397">
        <v>0.80773397731023799</v>
      </c>
      <c r="AH60" s="397">
        <v>0.81139247184950403</v>
      </c>
      <c r="AI60" s="397">
        <v>0.781554581136785</v>
      </c>
      <c r="AJ60" s="397">
        <v>0.78569796681279103</v>
      </c>
      <c r="AK60" s="397">
        <v>0.61844104447632697</v>
      </c>
      <c r="AL60" s="397">
        <v>0.71285696906111895</v>
      </c>
      <c r="AM60" s="398">
        <v>0.53247478741266296</v>
      </c>
    </row>
    <row r="61" spans="1:39" x14ac:dyDescent="0.25">
      <c r="C61" s="228" t="s">
        <v>481</v>
      </c>
      <c r="D61" s="229">
        <f>D60-1</f>
        <v>0</v>
      </c>
      <c r="E61" s="230"/>
      <c r="F61" s="247">
        <f ca="1">_xlfn.QUARTILE.INC(F$44:F$52,$D61)</f>
        <v>1.9880741</v>
      </c>
      <c r="G61" s="231">
        <f t="shared" ca="1" si="26"/>
        <v>501.29526299999998</v>
      </c>
      <c r="H61" s="250">
        <f t="shared" ca="1" si="26"/>
        <v>6949.7879913093784</v>
      </c>
      <c r="I61" s="250">
        <f t="shared" ca="1" si="26"/>
        <v>13094.4374790285</v>
      </c>
      <c r="J61" s="250">
        <f t="shared" ca="1" si="26"/>
        <v>40799</v>
      </c>
      <c r="K61" s="250">
        <f t="shared" ca="1" si="26"/>
        <v>33320.219377336005</v>
      </c>
      <c r="L61" s="232">
        <f t="shared" ca="1" si="26"/>
        <v>-0.173378748109104</v>
      </c>
      <c r="M61" s="232">
        <f t="shared" ca="1" si="26"/>
        <v>-8.8023497330993697E-2</v>
      </c>
      <c r="N61" s="250">
        <f t="shared" ca="1" si="26"/>
        <v>66804.759999999995</v>
      </c>
      <c r="O61" s="250">
        <f t="shared" ca="1" si="26"/>
        <v>68423.05</v>
      </c>
      <c r="P61" s="250">
        <f t="shared" ca="1" si="26"/>
        <v>69745.554999999993</v>
      </c>
      <c r="Q61" s="250">
        <f t="shared" ca="1" si="26"/>
        <v>1382.472</v>
      </c>
      <c r="R61" s="250">
        <f t="shared" ca="1" si="26"/>
        <v>2853.2570000000001</v>
      </c>
      <c r="S61" s="250">
        <f t="shared" ca="1" si="26"/>
        <v>3462.0365999999999</v>
      </c>
      <c r="T61" s="250">
        <f t="shared" ca="1" si="26"/>
        <v>-1686.8341</v>
      </c>
      <c r="U61" s="250">
        <f t="shared" ca="1" si="26"/>
        <v>75.534210000000002</v>
      </c>
      <c r="V61" s="250">
        <f t="shared" ca="1" si="26"/>
        <v>773.16309999999999</v>
      </c>
      <c r="W61" s="233">
        <f t="shared" ca="1" si="27"/>
        <v>1.0477572681205416E-2</v>
      </c>
      <c r="X61" s="233">
        <f t="shared" ca="1" si="27"/>
        <v>7.7464631520393956E-2</v>
      </c>
      <c r="Y61" s="233">
        <f t="shared" ca="1" si="27"/>
        <v>2.0694214005109818E-2</v>
      </c>
      <c r="Z61" s="233">
        <f t="shared" ca="1" si="27"/>
        <v>4.170023113556031E-2</v>
      </c>
      <c r="AA61" s="234">
        <f t="shared" ca="1" si="27"/>
        <v>4.9638096650030245E-2</v>
      </c>
      <c r="AC61" s="121" t="s">
        <v>437</v>
      </c>
      <c r="AF61" s="397">
        <v>1.1859351171929999</v>
      </c>
      <c r="AG61" s="397">
        <v>0.75949897165478497</v>
      </c>
      <c r="AH61" s="397">
        <v>0.86098113914971297</v>
      </c>
      <c r="AI61" s="397">
        <v>1.0186641511921</v>
      </c>
      <c r="AJ61" s="397">
        <v>1.0049586524162299</v>
      </c>
      <c r="AK61" s="397">
        <v>0.76904543698413597</v>
      </c>
      <c r="AL61" s="397">
        <v>0.70947490002506197</v>
      </c>
      <c r="AM61" s="398">
        <v>0.60461471524966304</v>
      </c>
    </row>
    <row r="62" spans="1:39" ht="13" thickBot="1" x14ac:dyDescent="0.3">
      <c r="H62" s="191"/>
      <c r="K62" s="191"/>
      <c r="L62" s="191"/>
      <c r="M62" s="191"/>
      <c r="N62" s="191"/>
      <c r="O62" s="191"/>
      <c r="P62" s="191"/>
      <c r="Q62" s="191"/>
      <c r="R62" s="192"/>
      <c r="S62" s="191"/>
      <c r="T62" s="191"/>
      <c r="AC62" s="121" t="s">
        <v>438</v>
      </c>
      <c r="AF62" s="397">
        <v>1.42459993869955</v>
      </c>
      <c r="AG62" s="397">
        <v>0.86672465309287405</v>
      </c>
      <c r="AH62" s="397">
        <v>1.1408860231192</v>
      </c>
      <c r="AI62" s="397">
        <v>1.1731456372981099</v>
      </c>
      <c r="AJ62" s="397">
        <v>1.71413719387283</v>
      </c>
      <c r="AK62" s="397">
        <v>1.0720867902356199</v>
      </c>
      <c r="AL62" s="397">
        <v>1.13245453676343</v>
      </c>
      <c r="AM62" s="398">
        <v>0.87528934008172599</v>
      </c>
    </row>
    <row r="63" spans="1:39" ht="13" x14ac:dyDescent="0.3">
      <c r="A63" t="s">
        <v>22</v>
      </c>
      <c r="B63" s="193" t="s">
        <v>528</v>
      </c>
      <c r="C63" s="193"/>
      <c r="D63" s="193"/>
      <c r="E63" s="193"/>
      <c r="F63" s="193"/>
      <c r="G63" s="193"/>
      <c r="H63" s="4"/>
      <c r="I63" s="4" t="s">
        <v>529</v>
      </c>
      <c r="J63" s="4"/>
      <c r="K63" s="4"/>
      <c r="L63" s="4" t="s">
        <v>530</v>
      </c>
      <c r="M63" s="4"/>
      <c r="N63" s="4"/>
      <c r="O63" s="4" t="s">
        <v>531</v>
      </c>
      <c r="P63" s="209"/>
      <c r="Q63" s="209"/>
      <c r="R63" s="209" t="s">
        <v>532</v>
      </c>
      <c r="S63" s="209"/>
      <c r="T63" s="213"/>
      <c r="U63" s="194"/>
      <c r="W63" s="582" t="s">
        <v>433</v>
      </c>
      <c r="X63" s="583"/>
      <c r="Y63" s="584"/>
      <c r="AC63" s="121" t="s">
        <v>439</v>
      </c>
      <c r="AF63" s="397">
        <v>1.0328830414472701</v>
      </c>
      <c r="AG63" s="397">
        <v>0.92582003973289995</v>
      </c>
      <c r="AH63" s="397">
        <v>0.87214971638012395</v>
      </c>
      <c r="AI63" s="397">
        <v>1.02928262978601</v>
      </c>
      <c r="AJ63" s="397">
        <v>1.1667420540929001</v>
      </c>
      <c r="AK63" s="397">
        <v>0.89991896603703203</v>
      </c>
      <c r="AL63" s="397">
        <v>1.4930619288645299</v>
      </c>
      <c r="AM63" s="398">
        <v>0.95020650569588705</v>
      </c>
    </row>
    <row r="64" spans="1:39" ht="13.5" customHeight="1" x14ac:dyDescent="0.3">
      <c r="B64" s="193"/>
      <c r="C64" s="193"/>
      <c r="D64" s="193"/>
      <c r="E64" s="193"/>
      <c r="F64" s="193" t="s">
        <v>502</v>
      </c>
      <c r="G64" s="193"/>
      <c r="H64" s="4"/>
      <c r="I64" s="4"/>
      <c r="J64" s="4"/>
      <c r="K64" s="4"/>
      <c r="L64" s="4"/>
      <c r="M64" s="4"/>
      <c r="N64" s="4"/>
      <c r="O64" s="4"/>
      <c r="P64" s="209"/>
      <c r="Q64" s="209"/>
      <c r="R64" s="209"/>
      <c r="S64" s="209"/>
      <c r="T64" s="213"/>
      <c r="U64" s="194"/>
      <c r="W64" s="508" t="s">
        <v>533</v>
      </c>
      <c r="X64" s="209"/>
      <c r="Y64" s="509"/>
      <c r="AC64" s="121" t="s">
        <v>440</v>
      </c>
      <c r="AF64" s="397">
        <v>1.6395532500060199</v>
      </c>
      <c r="AG64" s="397">
        <v>1.20509527315169</v>
      </c>
      <c r="AH64" s="397">
        <v>1.22607191430311</v>
      </c>
      <c r="AI64" s="397">
        <v>1.2946036616904699</v>
      </c>
      <c r="AJ64" s="397">
        <v>1.4720308031299301</v>
      </c>
      <c r="AK64" s="397">
        <v>0.69471324027352699</v>
      </c>
      <c r="AL64" s="397">
        <v>0.67050366164818798</v>
      </c>
      <c r="AM64" s="398">
        <v>0.84459031719984401</v>
      </c>
    </row>
    <row r="65" spans="2:39" ht="13.5" customHeight="1" x14ac:dyDescent="0.25">
      <c r="B65" s="209" t="s">
        <v>505</v>
      </c>
      <c r="C65" s="209"/>
      <c r="D65" s="209"/>
      <c r="E65" s="210"/>
      <c r="F65" s="210" t="s">
        <v>534</v>
      </c>
      <c r="G65" s="210" t="s">
        <v>535</v>
      </c>
      <c r="H65" s="210"/>
      <c r="I65" s="265">
        <v>2025</v>
      </c>
      <c r="J65" s="265">
        <v>2026</v>
      </c>
      <c r="K65" s="265">
        <v>2027</v>
      </c>
      <c r="L65" s="265">
        <v>2025</v>
      </c>
      <c r="M65" s="265">
        <v>2026</v>
      </c>
      <c r="N65" s="265">
        <v>2027</v>
      </c>
      <c r="O65" s="265">
        <v>2025</v>
      </c>
      <c r="P65" s="265">
        <v>2026</v>
      </c>
      <c r="Q65" s="265">
        <v>2027</v>
      </c>
      <c r="R65" s="265">
        <v>2025</v>
      </c>
      <c r="S65" s="265">
        <v>2026</v>
      </c>
      <c r="T65" s="265">
        <v>2027</v>
      </c>
      <c r="U65" s="209" t="s">
        <v>42</v>
      </c>
      <c r="W65" s="508" t="s">
        <v>536</v>
      </c>
      <c r="X65" s="209" t="s">
        <v>509</v>
      </c>
      <c r="Y65" s="509" t="s">
        <v>510</v>
      </c>
      <c r="AC65" s="308" t="s">
        <v>441</v>
      </c>
      <c r="AD65" s="274"/>
      <c r="AE65" s="274"/>
      <c r="AF65" s="399">
        <v>0.82037761191970804</v>
      </c>
      <c r="AG65" s="399">
        <v>0.63740503933342296</v>
      </c>
      <c r="AH65" s="399">
        <v>0.52365527632436504</v>
      </c>
      <c r="AI65" s="399">
        <v>0.63098167128786897</v>
      </c>
      <c r="AJ65" s="399">
        <v>0.56955634790648002</v>
      </c>
      <c r="AK65" s="399">
        <v>0.52232694387270096</v>
      </c>
      <c r="AL65" s="399">
        <v>0.719183069985881</v>
      </c>
      <c r="AM65" s="400">
        <v>0.47338461942704202</v>
      </c>
    </row>
    <row r="66" spans="2:39" ht="12.75" customHeight="1" thickBot="1" x14ac:dyDescent="0.35">
      <c r="B66" t="s">
        <v>434</v>
      </c>
      <c r="E66" s="242"/>
      <c r="F66" s="244">
        <f t="shared" ref="F66:F73" ca="1" si="28">H44</f>
        <v>25357.219377336001</v>
      </c>
      <c r="H66" s="244">
        <f t="shared" ref="H66:H73" ca="1" si="29">K44</f>
        <v>33320.219377336005</v>
      </c>
      <c r="I66" s="252">
        <f ca="1">IF($H66/N44&lt;0,"NM",$H66/N44)</f>
        <v>0.21841777668644194</v>
      </c>
      <c r="J66" s="252">
        <f t="shared" ref="J66:N66" ca="1" si="30">IF($H66/O44&lt;0,"NM",$H66/O44)</f>
        <v>0.20762690723148794</v>
      </c>
      <c r="K66" s="252">
        <f t="shared" ca="1" si="30"/>
        <v>0.20023969337168313</v>
      </c>
      <c r="L66" s="252">
        <f t="shared" ca="1" si="30"/>
        <v>3.7247938090730441</v>
      </c>
      <c r="M66" s="252">
        <f t="shared" ca="1" si="30"/>
        <v>2.4393245353755004</v>
      </c>
      <c r="N66" s="252">
        <f t="shared" ca="1" si="30"/>
        <v>2.0743928520165151</v>
      </c>
      <c r="O66" s="252">
        <f ca="1">IF($F66/T44&lt;0,"MN",$F66/T44)</f>
        <v>12.155415096541168</v>
      </c>
      <c r="P66" s="252">
        <f t="shared" ref="P66:Q66" ca="1" si="31">IF($F66/U44&lt;0,"MN",$F66/U44)</f>
        <v>5.1972069281561071</v>
      </c>
      <c r="Q66" s="252">
        <f t="shared" ca="1" si="31"/>
        <v>3.9179683652302937</v>
      </c>
      <c r="R66" s="252">
        <f ca="1">IF($F66/N44&lt;0,"MN",$F66/N44)</f>
        <v>0.16621941820452987</v>
      </c>
      <c r="S66" s="252">
        <f t="shared" ref="S66:T66" ca="1" si="32">IF($F66/O44&lt;0,"MN",$F66/O44)</f>
        <v>0.15800739411961101</v>
      </c>
      <c r="T66" s="252">
        <f t="shared" ca="1" si="32"/>
        <v>0.15238560633036916</v>
      </c>
      <c r="U66" s="217">
        <f t="shared" ref="U66:U74" ca="1" si="33">F66/SUM(F$66:F$74)</f>
        <v>4.6164838523643517E-2</v>
      </c>
      <c r="W66" s="585">
        <f>G54</f>
        <v>273.45999999999998</v>
      </c>
      <c r="X66" s="576">
        <f>I54</f>
        <v>19302</v>
      </c>
      <c r="Y66" s="577">
        <f>J54</f>
        <v>70078</v>
      </c>
      <c r="AC66" s="293" t="s">
        <v>520</v>
      </c>
      <c r="AD66" s="207"/>
      <c r="AE66" s="207"/>
      <c r="AF66" s="401">
        <f t="shared" ref="AF66:AM66" si="34">AVERAGE(AF57:AF65)</f>
        <v>1.1038921246742019</v>
      </c>
      <c r="AG66" s="401">
        <f t="shared" si="34"/>
        <v>0.81507510923749527</v>
      </c>
      <c r="AH66" s="401">
        <f t="shared" si="34"/>
        <v>0.81100302008753666</v>
      </c>
      <c r="AI66" s="401">
        <f t="shared" si="34"/>
        <v>0.93211514414080276</v>
      </c>
      <c r="AJ66" s="401">
        <f t="shared" si="34"/>
        <v>1.0124626524353895</v>
      </c>
      <c r="AK66" s="401">
        <f t="shared" si="34"/>
        <v>0.66971219051448172</v>
      </c>
      <c r="AL66" s="401">
        <f t="shared" si="34"/>
        <v>0.77467682252413339</v>
      </c>
      <c r="AM66" s="402">
        <f t="shared" si="34"/>
        <v>0.58610375691407413</v>
      </c>
    </row>
    <row r="67" spans="2:39" ht="12.75" customHeight="1" x14ac:dyDescent="0.25">
      <c r="B67" t="s">
        <v>435</v>
      </c>
      <c r="F67" s="244">
        <f t="shared" ca="1" si="28"/>
        <v>45793.322275049992</v>
      </c>
      <c r="H67" s="244">
        <f t="shared" ca="1" si="29"/>
        <v>251713.32227504998</v>
      </c>
      <c r="I67" s="252">
        <f t="shared" ref="I67:N67" ca="1" si="35">IF($H67/N45&lt;0,"NM",$H67/N45)</f>
        <v>0.77492256194942455</v>
      </c>
      <c r="J67" s="252">
        <f t="shared" ca="1" si="35"/>
        <v>0.75869217878004169</v>
      </c>
      <c r="K67" s="252">
        <f t="shared" ca="1" si="35"/>
        <v>0.73866946955437185</v>
      </c>
      <c r="L67" s="252">
        <f t="shared" ca="1" si="35"/>
        <v>6.5256173252075493</v>
      </c>
      <c r="M67" s="252">
        <f t="shared" ca="1" si="35"/>
        <v>5.436640235562531</v>
      </c>
      <c r="N67" s="252">
        <f t="shared" ca="1" si="35"/>
        <v>4.993821980661818</v>
      </c>
      <c r="O67" s="252">
        <f t="shared" ref="O67:Q67" ca="1" si="36">IF($F67/T45&lt;0,"MN",$F67/T45)</f>
        <v>9.3123423153025087</v>
      </c>
      <c r="P67" s="252">
        <f t="shared" ca="1" si="36"/>
        <v>4.2053341951285939</v>
      </c>
      <c r="Q67" s="252">
        <f t="shared" ca="1" si="36"/>
        <v>3.4649491437036168</v>
      </c>
      <c r="R67" s="252">
        <f t="shared" ref="R67:T67" ca="1" si="37">IF($F67/N45&lt;0,"MN",$F67/N45)</f>
        <v>0.14097894500308225</v>
      </c>
      <c r="S67" s="252">
        <f t="shared" ca="1" si="37"/>
        <v>0.13802620829290152</v>
      </c>
      <c r="T67" s="252">
        <f t="shared" ca="1" si="37"/>
        <v>0.13438354699828478</v>
      </c>
      <c r="U67" s="217">
        <f t="shared" ca="1" si="33"/>
        <v>8.3370392345872013E-2</v>
      </c>
      <c r="AC67" s="121"/>
      <c r="AF67" s="122"/>
      <c r="AG67" s="122"/>
      <c r="AH67" s="122"/>
      <c r="AI67" s="122"/>
      <c r="AJ67" s="122"/>
      <c r="AK67" s="122"/>
      <c r="AL67" s="122"/>
      <c r="AM67" s="273"/>
    </row>
    <row r="68" spans="2:39" ht="12.75" customHeight="1" x14ac:dyDescent="0.3">
      <c r="B68" t="s">
        <v>96</v>
      </c>
      <c r="F68" s="244">
        <f t="shared" ca="1" si="28"/>
        <v>6949.7879913093784</v>
      </c>
      <c r="H68" s="244">
        <f t="shared" ca="1" si="29"/>
        <v>44978.175249193177</v>
      </c>
      <c r="I68" s="252">
        <f t="shared" ref="I68:N68" ca="1" si="38">IF($H68/N46&lt;0,"NM",$H68/N46)</f>
        <v>0.67327800068727406</v>
      </c>
      <c r="J68" s="252">
        <f t="shared" ca="1" si="38"/>
        <v>0.65735414088078759</v>
      </c>
      <c r="K68" s="252">
        <f t="shared" ca="1" si="38"/>
        <v>0.64488948792784262</v>
      </c>
      <c r="L68" s="252">
        <f t="shared" ca="1" si="38"/>
        <v>32.534601242696546</v>
      </c>
      <c r="M68" s="252">
        <f t="shared" ca="1" si="38"/>
        <v>15.763800894624346</v>
      </c>
      <c r="N68" s="252">
        <f t="shared" ca="1" si="38"/>
        <v>12.991825461693033</v>
      </c>
      <c r="O68" s="484" t="str">
        <f t="shared" ref="O68:Q68" ca="1" si="39">IF($F68/T46&lt;0,"MN",$F68/T46)</f>
        <v>MN</v>
      </c>
      <c r="P68" s="252">
        <f t="shared" ca="1" si="39"/>
        <v>92.008481869465214</v>
      </c>
      <c r="Q68" s="252">
        <f t="shared" ca="1" si="39"/>
        <v>8.9887735088616854</v>
      </c>
      <c r="R68" s="252">
        <f t="shared" ref="R68:T68" ca="1" si="40">IF($F68/N46&lt;0,"MN",$F68/N46)</f>
        <v>0.10403132937397543</v>
      </c>
      <c r="S68" s="252">
        <f t="shared" ca="1" si="40"/>
        <v>0.10157085940058765</v>
      </c>
      <c r="T68" s="252">
        <f t="shared" ca="1" si="40"/>
        <v>9.9644887639210547E-2</v>
      </c>
      <c r="U68" s="217">
        <f t="shared" ca="1" si="33"/>
        <v>1.2652642847705684E-2</v>
      </c>
      <c r="AC68" s="293" t="s">
        <v>537</v>
      </c>
      <c r="AF68" s="403">
        <f>AVERAGE(AF66:AM66)</f>
        <v>0.8381301025660145</v>
      </c>
      <c r="AG68" s="122"/>
      <c r="AH68" s="122"/>
      <c r="AI68" s="122"/>
      <c r="AJ68" s="122"/>
      <c r="AK68" s="122"/>
      <c r="AL68" s="122"/>
      <c r="AM68" s="273"/>
    </row>
    <row r="69" spans="2:39" ht="13" thickBot="1" x14ac:dyDescent="0.3">
      <c r="B69" t="s">
        <v>436</v>
      </c>
      <c r="F69" s="244">
        <f t="shared" ca="1" si="28"/>
        <v>49224.276848925627</v>
      </c>
      <c r="H69" s="244">
        <f t="shared" ca="1" si="29"/>
        <v>137715.27684892563</v>
      </c>
      <c r="I69" s="252">
        <f t="shared" ref="I69:N69" ca="1" si="41">IF($H69/N47&lt;0,"NM",$H69/N47)</f>
        <v>0.99279017886137666</v>
      </c>
      <c r="J69" s="252">
        <f t="shared" ca="1" si="41"/>
        <v>0.96488946444223678</v>
      </c>
      <c r="K69" s="252">
        <f t="shared" ca="1" si="41"/>
        <v>0.93360048507215476</v>
      </c>
      <c r="L69" s="252">
        <f t="shared" ca="1" si="41"/>
        <v>7.1660961492321293</v>
      </c>
      <c r="M69" s="252">
        <f t="shared" ca="1" si="41"/>
        <v>6.6193311308959286</v>
      </c>
      <c r="N69" s="252">
        <f t="shared" ca="1" si="41"/>
        <v>6.049084693117706</v>
      </c>
      <c r="O69" s="252">
        <f t="shared" ref="O69:Q69" ca="1" si="42">IF($F69/T47&lt;0,"MN",$F69/T47)</f>
        <v>7.5849604087642026</v>
      </c>
      <c r="P69" s="252">
        <f t="shared" ca="1" si="42"/>
        <v>7.0704695721050719</v>
      </c>
      <c r="Q69" s="252">
        <f t="shared" ca="1" si="42"/>
        <v>6.253103807992991</v>
      </c>
      <c r="R69" s="252">
        <f t="shared" ref="R69:T69" ca="1" si="43">IF($F69/N47&lt;0,"MN",$F69/N47)</f>
        <v>0.35485807918591888</v>
      </c>
      <c r="S69" s="252">
        <f t="shared" ca="1" si="43"/>
        <v>0.34488538391001883</v>
      </c>
      <c r="T69" s="252">
        <f t="shared" ca="1" si="43"/>
        <v>0.33370160373635793</v>
      </c>
      <c r="U69" s="217">
        <f t="shared" ca="1" si="33"/>
        <v>8.9616718550964175E-2</v>
      </c>
      <c r="AC69" s="124"/>
      <c r="AD69" s="119"/>
      <c r="AE69" s="119"/>
      <c r="AF69" s="119"/>
      <c r="AG69" s="119"/>
      <c r="AH69" s="119"/>
      <c r="AI69" s="119"/>
      <c r="AJ69" s="119"/>
      <c r="AK69" s="119"/>
      <c r="AL69" s="119"/>
      <c r="AM69" s="125"/>
    </row>
    <row r="70" spans="2:39" ht="13" x14ac:dyDescent="0.3">
      <c r="B70" t="s">
        <v>519</v>
      </c>
      <c r="F70" s="244">
        <f t="shared" si="28"/>
        <v>54124.817145629997</v>
      </c>
      <c r="H70" s="244">
        <f t="shared" si="29"/>
        <v>133971.81714562999</v>
      </c>
      <c r="I70" s="252">
        <f t="shared" ref="I70:N70" si="44">IF($H70/N48&lt;0,"NM",$H70/N48)</f>
        <v>0.99575634681544023</v>
      </c>
      <c r="J70" s="252">
        <f t="shared" si="44"/>
        <v>0.98634113957579583</v>
      </c>
      <c r="K70" s="252">
        <f t="shared" si="44"/>
        <v>0.95689356966264982</v>
      </c>
      <c r="L70" s="252">
        <f t="shared" si="44"/>
        <v>9.0809363754473296</v>
      </c>
      <c r="M70" s="252">
        <f t="shared" si="44"/>
        <v>8.1035577411716293</v>
      </c>
      <c r="N70" s="252">
        <f t="shared" si="44"/>
        <v>7.2507903885184577</v>
      </c>
      <c r="O70" s="252">
        <f t="shared" ref="O70:Q70" si="45">IF($F70/T48&lt;0,"MN",$F70/T48)</f>
        <v>10.574769872815518</v>
      </c>
      <c r="P70" s="252">
        <f t="shared" si="45"/>
        <v>8.1225356962270929</v>
      </c>
      <c r="Q70" s="252">
        <f t="shared" si="45"/>
        <v>6.9270319469815913</v>
      </c>
      <c r="R70" s="252">
        <f t="shared" ref="R70:T70" si="46">IF($F70/N48&lt;0,"MN",$F70/N48)</f>
        <v>0.40228707306702544</v>
      </c>
      <c r="S70" s="252">
        <f t="shared" si="46"/>
        <v>0.39848331507455143</v>
      </c>
      <c r="T70" s="252">
        <f t="shared" si="46"/>
        <v>0.38658645220525373</v>
      </c>
      <c r="U70" s="217">
        <f t="shared" ca="1" si="33"/>
        <v>9.8538542671718118E-2</v>
      </c>
      <c r="AC70" s="1" t="s">
        <v>538</v>
      </c>
    </row>
    <row r="71" spans="2:39" x14ac:dyDescent="0.25">
      <c r="B71" t="s">
        <v>439</v>
      </c>
      <c r="F71" s="244">
        <f t="shared" ca="1" si="28"/>
        <v>230013.56573825327</v>
      </c>
      <c r="H71" s="244">
        <f t="shared" ca="1" si="29"/>
        <v>412986.99542810506</v>
      </c>
      <c r="I71" s="252">
        <f t="shared" ref="I71:N71" ca="1" si="47">IF($H71/N49&lt;0,"NM",$H71/N49)</f>
        <v>1.5023609105688964</v>
      </c>
      <c r="J71" s="252">
        <f t="shared" ca="1" si="47"/>
        <v>1.4586047833857956</v>
      </c>
      <c r="K71" s="252">
        <f t="shared" ca="1" si="47"/>
        <v>1.4209466218806834</v>
      </c>
      <c r="L71" s="252">
        <f t="shared" ca="1" si="47"/>
        <v>13.00858869277096</v>
      </c>
      <c r="M71" s="252">
        <f t="shared" ca="1" si="47"/>
        <v>11.657651567738311</v>
      </c>
      <c r="N71" s="252">
        <f t="shared" ca="1" si="47"/>
        <v>11.011083829463736</v>
      </c>
      <c r="O71" s="252">
        <f t="shared" ref="O71:Q71" ca="1" si="48">IF($F71/T49&lt;0,"MN",$F71/T49)</f>
        <v>12.626106269219548</v>
      </c>
      <c r="P71" s="252">
        <f t="shared" ca="1" si="48"/>
        <v>10.879341676803721</v>
      </c>
      <c r="Q71" s="252">
        <f t="shared" ca="1" si="48"/>
        <v>10.132239321811392</v>
      </c>
      <c r="R71" s="252">
        <f t="shared" ref="R71:T71" ca="1" si="49">IF($F71/N49&lt;0,"MN",$F71/N49)</f>
        <v>0.83674157755865308</v>
      </c>
      <c r="S71" s="252">
        <f t="shared" ca="1" si="49"/>
        <v>0.81237155393152016</v>
      </c>
      <c r="T71" s="252">
        <f t="shared" ca="1" si="49"/>
        <v>0.79139779906071883</v>
      </c>
      <c r="U71" s="217">
        <f t="shared" ca="1" si="33"/>
        <v>0.41875802557612674</v>
      </c>
    </row>
    <row r="72" spans="2:39" x14ac:dyDescent="0.25">
      <c r="B72" t="s">
        <v>441</v>
      </c>
      <c r="F72" s="244">
        <f t="shared" ca="1" si="28"/>
        <v>34150.889932940452</v>
      </c>
      <c r="H72" s="244">
        <f t="shared" ca="1" si="29"/>
        <v>80075.981200212846</v>
      </c>
      <c r="I72" s="252">
        <f t="shared" ref="I72:N72" ca="1" si="50">IF($H72/N50&lt;0,"NM",$H72/N50)</f>
        <v>0.68012490193379749</v>
      </c>
      <c r="J72" s="252">
        <f t="shared" ca="1" si="50"/>
        <v>0.66452760031847846</v>
      </c>
      <c r="K72" s="252">
        <f t="shared" ca="1" si="50"/>
        <v>0.64457873824393019</v>
      </c>
      <c r="L72" s="252">
        <f t="shared" ca="1" si="50"/>
        <v>11.126290274362111</v>
      </c>
      <c r="M72" s="252">
        <f t="shared" ca="1" si="50"/>
        <v>9.0144337468585363</v>
      </c>
      <c r="N72" s="252">
        <f t="shared" ca="1" si="50"/>
        <v>8.2403670646430829</v>
      </c>
      <c r="O72" s="252">
        <f t="shared" ref="O72:Q72" ca="1" si="51">IF($F72/T50&lt;0,"MN",$F72/T50)</f>
        <v>11.053609721271949</v>
      </c>
      <c r="P72" s="252">
        <f t="shared" ca="1" si="51"/>
        <v>8.3138097625782539</v>
      </c>
      <c r="Q72" s="252">
        <f t="shared" ca="1" si="51"/>
        <v>7.5536404386421729</v>
      </c>
      <c r="R72" s="252">
        <f t="shared" ref="R72:T72" ca="1" si="52">IF($F72/N50&lt;0,"MN",$F72/N50)</f>
        <v>0.29006039412141854</v>
      </c>
      <c r="S72" s="252">
        <f t="shared" ca="1" si="52"/>
        <v>0.28340844028043055</v>
      </c>
      <c r="T72" s="252">
        <f t="shared" ca="1" si="52"/>
        <v>0.27490062829006684</v>
      </c>
      <c r="U72" s="217">
        <f t="shared" ca="1" si="33"/>
        <v>6.2174416513588238E-2</v>
      </c>
    </row>
    <row r="73" spans="2:39" x14ac:dyDescent="0.25">
      <c r="B73" t="s">
        <v>438</v>
      </c>
      <c r="F73" s="244">
        <f t="shared" ca="1" si="28"/>
        <v>47812.676534999999</v>
      </c>
      <c r="H73" s="244">
        <f t="shared" ca="1" si="29"/>
        <v>151807.5723215242</v>
      </c>
      <c r="I73" s="252">
        <f t="shared" ref="I73:N73" ca="1" si="53">IF($H73/N51&lt;0,"NM",$H73/N51)</f>
        <v>0.96318245700489435</v>
      </c>
      <c r="J73" s="252">
        <f t="shared" ca="1" si="53"/>
        <v>0.94467782319204152</v>
      </c>
      <c r="K73" s="252">
        <f t="shared" ca="1" si="53"/>
        <v>0.91383194638978049</v>
      </c>
      <c r="L73" s="252">
        <f t="shared" ca="1" si="53"/>
        <v>14.850483954062467</v>
      </c>
      <c r="M73" s="252">
        <f t="shared" ca="1" si="53"/>
        <v>13.960851084006398</v>
      </c>
      <c r="N73" s="252">
        <f t="shared" ca="1" si="53"/>
        <v>12.791885421561274</v>
      </c>
      <c r="O73" s="252">
        <f t="shared" ref="O73:Q73" ca="1" si="54">IF($F73/T51&lt;0,"MN",$F73/T51)</f>
        <v>13.179546713199263</v>
      </c>
      <c r="P73" s="252">
        <f t="shared" ca="1" si="54"/>
        <v>9.4679701677614148</v>
      </c>
      <c r="Q73" s="252">
        <f t="shared" ca="1" si="54"/>
        <v>8.4214921736995372</v>
      </c>
      <c r="R73" s="252">
        <f t="shared" ref="R73:T73" ca="1" si="55">IF($F73/N51&lt;0,"MN",$F73/N51)</f>
        <v>0.30335990857836792</v>
      </c>
      <c r="S73" s="252">
        <f t="shared" ca="1" si="55"/>
        <v>0.2975317666921472</v>
      </c>
      <c r="T73" s="252">
        <f t="shared" ca="1" si="55"/>
        <v>0.2878166786538422</v>
      </c>
      <c r="U73" s="217">
        <f t="shared" ca="1" si="33"/>
        <v>8.7046787692908578E-2</v>
      </c>
    </row>
    <row r="74" spans="2:39" x14ac:dyDescent="0.25">
      <c r="B74" t="s">
        <v>463</v>
      </c>
      <c r="F74" s="244">
        <f>H52</f>
        <v>55849.044119999999</v>
      </c>
      <c r="H74" s="244">
        <f>K52</f>
        <v>140917.9820648887</v>
      </c>
      <c r="I74" s="252">
        <f t="shared" ref="I74:N74" si="56">IF($H74/N52&lt;0,"NM",$H74/N52)</f>
        <v>0.87538903446405236</v>
      </c>
      <c r="J74" s="252">
        <f t="shared" si="56"/>
        <v>0.86875031673830438</v>
      </c>
      <c r="K74" s="252">
        <f t="shared" si="56"/>
        <v>0.85732945390999538</v>
      </c>
      <c r="L74" s="252">
        <f t="shared" si="56"/>
        <v>9.3477224825556018</v>
      </c>
      <c r="M74" s="252">
        <f t="shared" si="56"/>
        <v>8.1661016548697507</v>
      </c>
      <c r="N74" s="252">
        <f t="shared" si="56"/>
        <v>8.0263635566941929</v>
      </c>
      <c r="O74" s="252">
        <f t="shared" ref="O74:Q74" si="57">IF($F74/T52&lt;0,"MN",$F74/T52)</f>
        <v>6.4025974148654923</v>
      </c>
      <c r="P74" s="252">
        <f t="shared" si="57"/>
        <v>6.0603510744963911</v>
      </c>
      <c r="Q74" s="252">
        <f t="shared" si="57"/>
        <v>5.6738828096085623</v>
      </c>
      <c r="R74" s="252">
        <f t="shared" ref="R74:T74" si="58">IF($F74/N52&lt;0,"MN",$F74/N52)</f>
        <v>0.34693685001417901</v>
      </c>
      <c r="S74" s="252">
        <f t="shared" si="58"/>
        <v>0.34430577317265287</v>
      </c>
      <c r="T74" s="252">
        <f t="shared" si="58"/>
        <v>0.33977942200979711</v>
      </c>
      <c r="U74" s="217">
        <f t="shared" ca="1" si="33"/>
        <v>0.10167763527747306</v>
      </c>
    </row>
    <row r="76" spans="2:39" x14ac:dyDescent="0.25">
      <c r="B76" s="559" t="s">
        <v>522</v>
      </c>
      <c r="C76" s="560"/>
      <c r="D76" s="560"/>
      <c r="E76" s="560"/>
      <c r="F76" s="564">
        <f>H54</f>
        <v>9240.2133999999987</v>
      </c>
      <c r="G76" s="560"/>
      <c r="H76" s="564">
        <f>K54</f>
        <v>60016.213399999993</v>
      </c>
      <c r="I76" s="570">
        <f t="shared" ref="I76:N76" si="59">$H76/N54</f>
        <v>1.0420365886549883</v>
      </c>
      <c r="J76" s="570">
        <f t="shared" si="59"/>
        <v>0.99684986997581304</v>
      </c>
      <c r="K76" s="570">
        <f t="shared" si="59"/>
        <v>0.96173663453729041</v>
      </c>
      <c r="L76" s="570">
        <f t="shared" si="59"/>
        <v>8.7526293678288258</v>
      </c>
      <c r="M76" s="570">
        <f t="shared" si="59"/>
        <v>8.3104871668482634</v>
      </c>
      <c r="N76" s="570">
        <f t="shared" si="59"/>
        <v>8.0622680896046273</v>
      </c>
      <c r="O76" s="570">
        <f>$F76/T54</f>
        <v>-0.94182177148099055</v>
      </c>
      <c r="P76" s="570">
        <f>$F76/U54</f>
        <v>4.5495880846873451</v>
      </c>
      <c r="Q76" s="570">
        <f>$F76/V54</f>
        <v>4.5030279727095515</v>
      </c>
      <c r="R76" s="570">
        <f>$F76/N54</f>
        <v>0.1604339878226991</v>
      </c>
      <c r="S76" s="570">
        <f>$F76/O54</f>
        <v>0.153476952385316</v>
      </c>
      <c r="T76" s="571">
        <f>$F76/P54</f>
        <v>0.14807085009669024</v>
      </c>
    </row>
    <row r="78" spans="2:39" x14ac:dyDescent="0.25">
      <c r="D78" s="2" t="s">
        <v>524</v>
      </c>
    </row>
    <row r="79" spans="2:39" x14ac:dyDescent="0.25">
      <c r="C79" s="218" t="s">
        <v>483</v>
      </c>
      <c r="D79" s="219">
        <v>4</v>
      </c>
      <c r="E79" s="220"/>
      <c r="F79" s="248">
        <f ca="1">_xlfn.QUARTILE.INC(F$66:F$74,$D79)</f>
        <v>230013.56573825327</v>
      </c>
      <c r="G79" s="221"/>
      <c r="H79" s="248">
        <f t="shared" ref="H79:T83" ca="1" si="60">_xlfn.QUARTILE.INC(H$66:H$74,$D79)</f>
        <v>412986.99542810506</v>
      </c>
      <c r="I79" s="253">
        <f t="shared" ca="1" si="60"/>
        <v>1.5023609105688964</v>
      </c>
      <c r="J79" s="253">
        <f t="shared" ca="1" si="60"/>
        <v>1.4586047833857956</v>
      </c>
      <c r="K79" s="253">
        <f t="shared" ca="1" si="60"/>
        <v>1.4209466218806834</v>
      </c>
      <c r="L79" s="253">
        <f t="shared" ca="1" si="60"/>
        <v>32.534601242696546</v>
      </c>
      <c r="M79" s="253">
        <f t="shared" ca="1" si="60"/>
        <v>15.763800894624346</v>
      </c>
      <c r="N79" s="253">
        <f t="shared" ca="1" si="60"/>
        <v>12.991825461693033</v>
      </c>
      <c r="O79" s="253">
        <f t="shared" ca="1" si="60"/>
        <v>13.179546713199263</v>
      </c>
      <c r="P79" s="253">
        <f t="shared" ca="1" si="60"/>
        <v>92.008481869465214</v>
      </c>
      <c r="Q79" s="253">
        <f t="shared" ca="1" si="60"/>
        <v>10.132239321811392</v>
      </c>
      <c r="R79" s="253">
        <f t="shared" ca="1" si="60"/>
        <v>0.83674157755865308</v>
      </c>
      <c r="S79" s="253">
        <f t="shared" ca="1" si="60"/>
        <v>0.81237155393152016</v>
      </c>
      <c r="T79" s="256">
        <f t="shared" ca="1" si="60"/>
        <v>0.79139779906071883</v>
      </c>
    </row>
    <row r="80" spans="2:39" x14ac:dyDescent="0.25">
      <c r="C80" s="225" t="s">
        <v>526</v>
      </c>
      <c r="D80" s="2">
        <f>D79-1</f>
        <v>3</v>
      </c>
      <c r="E80" s="257"/>
      <c r="F80" s="244">
        <f ca="1">_xlfn.QUARTILE.INC(F$66:F$74,$D80)</f>
        <v>54124.817145629997</v>
      </c>
      <c r="G80" s="190"/>
      <c r="H80" s="244">
        <f t="shared" ca="1" si="60"/>
        <v>151807.5723215242</v>
      </c>
      <c r="I80" s="252">
        <f t="shared" ca="1" si="60"/>
        <v>0.99279017886137666</v>
      </c>
      <c r="J80" s="252">
        <f t="shared" ca="1" si="60"/>
        <v>0.96488946444223678</v>
      </c>
      <c r="K80" s="252">
        <f t="shared" ca="1" si="60"/>
        <v>0.93360048507215476</v>
      </c>
      <c r="L80" s="252">
        <f t="shared" ca="1" si="60"/>
        <v>13.00858869277096</v>
      </c>
      <c r="M80" s="252">
        <f t="shared" ca="1" si="60"/>
        <v>11.657651567738311</v>
      </c>
      <c r="N80" s="252">
        <f t="shared" ca="1" si="60"/>
        <v>11.011083829463736</v>
      </c>
      <c r="O80" s="252">
        <f t="shared" ca="1" si="60"/>
        <v>12.273087889710762</v>
      </c>
      <c r="P80" s="252">
        <f t="shared" ca="1" si="60"/>
        <v>9.4679701677614148</v>
      </c>
      <c r="Q80" s="252">
        <f t="shared" ca="1" si="60"/>
        <v>8.4214921736995372</v>
      </c>
      <c r="R80" s="252">
        <f t="shared" ca="1" si="60"/>
        <v>0.35485807918591888</v>
      </c>
      <c r="S80" s="252">
        <f t="shared" ca="1" si="60"/>
        <v>0.34488538391001883</v>
      </c>
      <c r="T80" s="258">
        <f t="shared" ca="1" si="60"/>
        <v>0.33977942200979711</v>
      </c>
    </row>
    <row r="81" spans="1:24" ht="13" x14ac:dyDescent="0.3">
      <c r="C81" s="235" t="s">
        <v>443</v>
      </c>
      <c r="D81" s="236">
        <f>D80-1</f>
        <v>2</v>
      </c>
      <c r="E81" s="237"/>
      <c r="F81" s="249">
        <f ca="1">_xlfn.QUARTILE.INC(F$66:F$74,$D81)</f>
        <v>47812.676534999999</v>
      </c>
      <c r="G81" s="238"/>
      <c r="H81" s="249">
        <f t="shared" ca="1" si="60"/>
        <v>137715.27684892563</v>
      </c>
      <c r="I81" s="254">
        <f t="shared" ca="1" si="60"/>
        <v>0.87538903446405236</v>
      </c>
      <c r="J81" s="254">
        <f t="shared" ca="1" si="60"/>
        <v>0.86875031673830438</v>
      </c>
      <c r="K81" s="254">
        <f t="shared" ca="1" si="60"/>
        <v>0.85732945390999538</v>
      </c>
      <c r="L81" s="254">
        <f t="shared" ca="1" si="60"/>
        <v>9.3477224825556018</v>
      </c>
      <c r="M81" s="254">
        <f t="shared" ca="1" si="60"/>
        <v>8.1661016548697507</v>
      </c>
      <c r="N81" s="254">
        <f t="shared" ca="1" si="60"/>
        <v>8.0263635566941929</v>
      </c>
      <c r="O81" s="254">
        <f t="shared" ca="1" si="60"/>
        <v>10.814189797043733</v>
      </c>
      <c r="P81" s="254">
        <f t="shared" ca="1" si="60"/>
        <v>8.1225356962270929</v>
      </c>
      <c r="Q81" s="254">
        <f t="shared" ca="1" si="60"/>
        <v>6.9270319469815913</v>
      </c>
      <c r="R81" s="254">
        <f t="shared" ca="1" si="60"/>
        <v>0.30335990857836792</v>
      </c>
      <c r="S81" s="254">
        <f t="shared" ca="1" si="60"/>
        <v>0.2975317666921472</v>
      </c>
      <c r="T81" s="259">
        <f t="shared" ca="1" si="60"/>
        <v>0.2878166786538422</v>
      </c>
    </row>
    <row r="82" spans="1:24" x14ac:dyDescent="0.25">
      <c r="C82" s="225" t="s">
        <v>527</v>
      </c>
      <c r="D82" s="2">
        <f>D81-1</f>
        <v>1</v>
      </c>
      <c r="E82" s="257"/>
      <c r="F82" s="244">
        <f ca="1">_xlfn.QUARTILE.INC(F$66:F$74,$D82)</f>
        <v>34150.889932940452</v>
      </c>
      <c r="G82" s="190"/>
      <c r="H82" s="244">
        <f t="shared" ca="1" si="60"/>
        <v>80075.981200212846</v>
      </c>
      <c r="I82" s="252">
        <f t="shared" ca="1" si="60"/>
        <v>0.68012490193379749</v>
      </c>
      <c r="J82" s="252">
        <f t="shared" ca="1" si="60"/>
        <v>0.66452760031847846</v>
      </c>
      <c r="K82" s="252">
        <f t="shared" ca="1" si="60"/>
        <v>0.64488948792784262</v>
      </c>
      <c r="L82" s="252">
        <f t="shared" ca="1" si="60"/>
        <v>7.1660961492321293</v>
      </c>
      <c r="M82" s="252">
        <f t="shared" ca="1" si="60"/>
        <v>6.6193311308959286</v>
      </c>
      <c r="N82" s="252">
        <f t="shared" ca="1" si="60"/>
        <v>6.049084693117706</v>
      </c>
      <c r="O82" s="252">
        <f t="shared" ca="1" si="60"/>
        <v>8.8804968386679324</v>
      </c>
      <c r="P82" s="252">
        <f t="shared" ca="1" si="60"/>
        <v>6.0603510744963911</v>
      </c>
      <c r="Q82" s="252">
        <f t="shared" ca="1" si="60"/>
        <v>5.6738828096085623</v>
      </c>
      <c r="R82" s="252">
        <f t="shared" ca="1" si="60"/>
        <v>0.16621941820452987</v>
      </c>
      <c r="S82" s="252">
        <f t="shared" ca="1" si="60"/>
        <v>0.15800739411961101</v>
      </c>
      <c r="T82" s="258">
        <f t="shared" ca="1" si="60"/>
        <v>0.15238560633036916</v>
      </c>
    </row>
    <row r="83" spans="1:24" x14ac:dyDescent="0.25">
      <c r="C83" s="228" t="s">
        <v>481</v>
      </c>
      <c r="D83" s="229">
        <f>D82-1</f>
        <v>0</v>
      </c>
      <c r="E83" s="230"/>
      <c r="F83" s="250">
        <f ca="1">_xlfn.QUARTILE.INC(F$66:F$74,$D83)</f>
        <v>6949.7879913093784</v>
      </c>
      <c r="G83" s="231"/>
      <c r="H83" s="250">
        <f t="shared" ca="1" si="60"/>
        <v>33320.219377336005</v>
      </c>
      <c r="I83" s="255">
        <f t="shared" ca="1" si="60"/>
        <v>0.21841777668644194</v>
      </c>
      <c r="J83" s="255">
        <f t="shared" ca="1" si="60"/>
        <v>0.20762690723148794</v>
      </c>
      <c r="K83" s="255">
        <f t="shared" ca="1" si="60"/>
        <v>0.20023969337168313</v>
      </c>
      <c r="L83" s="255">
        <f t="shared" ca="1" si="60"/>
        <v>3.7247938090730441</v>
      </c>
      <c r="M83" s="255">
        <f t="shared" ca="1" si="60"/>
        <v>2.4393245353755004</v>
      </c>
      <c r="N83" s="255">
        <f t="shared" ca="1" si="60"/>
        <v>2.0743928520165151</v>
      </c>
      <c r="O83" s="255">
        <f t="shared" ca="1" si="60"/>
        <v>6.4025974148654923</v>
      </c>
      <c r="P83" s="255">
        <f t="shared" ca="1" si="60"/>
        <v>4.2053341951285939</v>
      </c>
      <c r="Q83" s="255">
        <f t="shared" ca="1" si="60"/>
        <v>3.4649491437036168</v>
      </c>
      <c r="R83" s="255">
        <f t="shared" ca="1" si="60"/>
        <v>0.10403132937397543</v>
      </c>
      <c r="S83" s="255">
        <f t="shared" ca="1" si="60"/>
        <v>0.10157085940058765</v>
      </c>
      <c r="T83" s="260">
        <f t="shared" ca="1" si="60"/>
        <v>9.9644887639210547E-2</v>
      </c>
    </row>
    <row r="86" spans="1:24" ht="13" thickBot="1" x14ac:dyDescent="0.3"/>
    <row r="87" spans="1:24" ht="13" x14ac:dyDescent="0.3">
      <c r="A87" t="s">
        <v>22</v>
      </c>
      <c r="B87" s="503" t="s">
        <v>476</v>
      </c>
      <c r="C87" s="504"/>
      <c r="D87" s="504"/>
      <c r="E87" s="284" t="s">
        <v>539</v>
      </c>
      <c r="F87" s="284"/>
      <c r="G87" s="284"/>
      <c r="H87" s="284"/>
      <c r="I87" s="284"/>
      <c r="J87" s="284"/>
      <c r="K87" s="284"/>
      <c r="L87" s="285"/>
      <c r="M87" s="267"/>
      <c r="N87" s="503" t="s">
        <v>476</v>
      </c>
      <c r="O87" s="504"/>
      <c r="P87" s="504"/>
      <c r="Q87" s="505"/>
      <c r="R87" s="284"/>
      <c r="S87" s="505" t="s">
        <v>477</v>
      </c>
      <c r="T87" s="284"/>
      <c r="U87" s="285"/>
    </row>
    <row r="88" spans="1:24" ht="13.5" customHeight="1" x14ac:dyDescent="0.3">
      <c r="B88" s="506"/>
      <c r="C88" s="193"/>
      <c r="D88" s="193"/>
      <c r="E88" s="4"/>
      <c r="F88" s="268" t="s">
        <v>540</v>
      </c>
      <c r="G88" s="4"/>
      <c r="H88" s="4"/>
      <c r="I88" s="268" t="s">
        <v>478</v>
      </c>
      <c r="J88" s="4"/>
      <c r="K88" s="4" t="s">
        <v>479</v>
      </c>
      <c r="L88" s="507"/>
      <c r="M88" s="267"/>
      <c r="N88" s="506"/>
      <c r="O88" s="193"/>
      <c r="P88" s="193"/>
      <c r="Q88" s="4"/>
      <c r="R88" s="268" t="s">
        <v>478</v>
      </c>
      <c r="S88" s="4"/>
      <c r="T88" s="4" t="s">
        <v>479</v>
      </c>
      <c r="U88" s="507"/>
    </row>
    <row r="89" spans="1:24" ht="13.5" customHeight="1" x14ac:dyDescent="0.25">
      <c r="B89" s="508" t="s">
        <v>480</v>
      </c>
      <c r="C89" s="209"/>
      <c r="D89" s="209"/>
      <c r="E89" s="209"/>
      <c r="F89" s="208" t="s">
        <v>541</v>
      </c>
      <c r="G89" s="209"/>
      <c r="H89" s="209" t="s">
        <v>481</v>
      </c>
      <c r="I89" s="209" t="s">
        <v>482</v>
      </c>
      <c r="J89" s="209" t="s">
        <v>443</v>
      </c>
      <c r="K89" s="209" t="s">
        <v>482</v>
      </c>
      <c r="L89" s="509" t="s">
        <v>483</v>
      </c>
      <c r="N89" s="508" t="s">
        <v>480</v>
      </c>
      <c r="O89" s="209"/>
      <c r="P89" s="209"/>
      <c r="Q89" s="209" t="s">
        <v>481</v>
      </c>
      <c r="R89" s="209" t="s">
        <v>482</v>
      </c>
      <c r="S89" s="209" t="s">
        <v>443</v>
      </c>
      <c r="T89" s="209" t="s">
        <v>482</v>
      </c>
      <c r="U89" s="509" t="s">
        <v>483</v>
      </c>
    </row>
    <row r="90" spans="1:24" x14ac:dyDescent="0.25">
      <c r="B90" s="121" t="s">
        <v>542</v>
      </c>
      <c r="F90" s="244">
        <f>P54</f>
        <v>62404.000476570101</v>
      </c>
      <c r="H90" s="244">
        <f ca="1">IF($F90&lt;0,$F90*$K$79,$F90*$K$83)</f>
        <v>12495.757920594764</v>
      </c>
      <c r="I90" s="244">
        <f ca="1">IF($F90&lt;0,$F90*$K$80,$F90*$K$82)</f>
        <v>40243.683911984139</v>
      </c>
      <c r="J90" s="244">
        <f ca="1">$F90*$K$81</f>
        <v>53500.787650376937</v>
      </c>
      <c r="K90" s="244">
        <f ca="1">IF($F90&gt;0,$F90*$K$80,$F90*$K$82)</f>
        <v>58260.405115368827</v>
      </c>
      <c r="L90" s="574">
        <f ca="1">IF($F90&gt;0,$F90*$K$79,$F90*$K$83)</f>
        <v>88672.753669022844</v>
      </c>
      <c r="N90" s="121" t="s">
        <v>542</v>
      </c>
      <c r="Q90" s="243" t="str">
        <f t="shared" ref="Q90:U96" ca="1" si="61">IF(((H90+$X$66-$Y$66)/$W$66) &lt; 0, "", (H90+$X$66-$Y$66)/$W$66)</f>
        <v/>
      </c>
      <c r="R90" s="243" t="str">
        <f t="shared" ca="1" si="61"/>
        <v/>
      </c>
      <c r="S90" s="243">
        <f t="shared" ca="1" si="61"/>
        <v>9.9641177882576493</v>
      </c>
      <c r="T90" s="243">
        <f t="shared" ca="1" si="61"/>
        <v>27.369286606336704</v>
      </c>
      <c r="U90" s="510">
        <f t="shared" ca="1" si="61"/>
        <v>138.58243863461877</v>
      </c>
      <c r="V90" s="244"/>
      <c r="W90" s="244"/>
      <c r="X90" s="244"/>
    </row>
    <row r="91" spans="1:24" x14ac:dyDescent="0.25">
      <c r="B91" s="121" t="s">
        <v>543</v>
      </c>
      <c r="F91" s="244">
        <f>O54</f>
        <v>60205.869717830421</v>
      </c>
      <c r="H91" s="244">
        <f ca="1">IF($F91&lt;0,$F91*$J$79,$F91*$J$83)</f>
        <v>12500.358526695025</v>
      </c>
      <c r="I91" s="244">
        <f ca="1">IF($F91&lt;0,$F91*$J$80,$F91*$J$82)</f>
        <v>40008.462128676802</v>
      </c>
      <c r="J91" s="244">
        <f ca="1">$F91*$J$81</f>
        <v>52303.868386870265</v>
      </c>
      <c r="K91" s="244">
        <f ca="1">IF($F91&gt;0,$F91*$J$80,$F91*$J$82)</f>
        <v>58092.009388316474</v>
      </c>
      <c r="L91" s="574">
        <f ca="1">IF($F91&gt;0,$F91*$J$79,$F91*$J$83)</f>
        <v>87816.569558329473</v>
      </c>
      <c r="N91" s="121" t="s">
        <v>543</v>
      </c>
      <c r="Q91" s="243" t="str">
        <f t="shared" ca="1" si="61"/>
        <v/>
      </c>
      <c r="R91" s="243" t="str">
        <f t="shared" ca="1" si="61"/>
        <v/>
      </c>
      <c r="S91" s="243">
        <f t="shared" ca="1" si="61"/>
        <v>5.5871732131582856</v>
      </c>
      <c r="T91" s="243">
        <f t="shared" ca="1" si="61"/>
        <v>26.75349004723353</v>
      </c>
      <c r="U91" s="510">
        <f t="shared" ca="1" si="61"/>
        <v>135.45150866060658</v>
      </c>
      <c r="V91" s="244"/>
      <c r="W91" s="244"/>
      <c r="X91" s="244"/>
    </row>
    <row r="92" spans="1:24" x14ac:dyDescent="0.25">
      <c r="B92" s="121" t="s">
        <v>544</v>
      </c>
      <c r="F92" s="244">
        <f>N54</f>
        <v>57595.111393800573</v>
      </c>
      <c r="H92" s="244">
        <f ca="1">IF($F92&lt;0,$F92*$I$79,$F92*$I$83)</f>
        <v>12579.796178641882</v>
      </c>
      <c r="I92" s="244">
        <f ca="1">IF($F92&lt;0,$F92*$I$80,$F92*$I$82)</f>
        <v>39171.869488574754</v>
      </c>
      <c r="J92" s="244">
        <f ca="1">$F92*$I$81</f>
        <v>50418.128952868625</v>
      </c>
      <c r="K92" s="244">
        <f ca="1">IF($F92&gt;0,$F92*$I$80,$F92*$I$82)</f>
        <v>57179.860942192186</v>
      </c>
      <c r="L92" s="574">
        <f ca="1">IF($F92&gt;0,$F92*$I$79,$F92*$I$83)</f>
        <v>86528.643997907246</v>
      </c>
      <c r="N92" s="121" t="s">
        <v>544</v>
      </c>
      <c r="Q92" s="243" t="str">
        <f t="shared" ca="1" si="61"/>
        <v/>
      </c>
      <c r="R92" s="243" t="str">
        <f t="shared" ca="1" si="61"/>
        <v/>
      </c>
      <c r="S92" s="243" t="str">
        <f t="shared" ca="1" si="61"/>
        <v/>
      </c>
      <c r="T92" s="243">
        <f t="shared" ca="1" si="61"/>
        <v>23.417907343641435</v>
      </c>
      <c r="U92" s="510">
        <f t="shared" ca="1" si="61"/>
        <v>130.74176844111477</v>
      </c>
      <c r="V92" s="244"/>
      <c r="W92" s="244"/>
      <c r="X92" s="244"/>
    </row>
    <row r="93" spans="1:24" x14ac:dyDescent="0.25">
      <c r="B93" s="121"/>
      <c r="F93" s="244"/>
      <c r="H93" s="244"/>
      <c r="I93" s="244"/>
      <c r="J93" s="244"/>
      <c r="K93" s="244"/>
      <c r="L93" s="574"/>
      <c r="N93" s="121"/>
      <c r="Q93" s="243" t="str">
        <f t="shared" si="61"/>
        <v/>
      </c>
      <c r="R93" s="243" t="str">
        <f t="shared" si="61"/>
        <v/>
      </c>
      <c r="S93" s="243" t="str">
        <f t="shared" si="61"/>
        <v/>
      </c>
      <c r="T93" s="243" t="str">
        <f t="shared" si="61"/>
        <v/>
      </c>
      <c r="U93" s="510" t="str">
        <f t="shared" si="61"/>
        <v/>
      </c>
      <c r="V93" s="244"/>
      <c r="W93" s="244"/>
      <c r="X93" s="244"/>
    </row>
    <row r="94" spans="1:24" x14ac:dyDescent="0.25">
      <c r="B94" s="121" t="s">
        <v>545</v>
      </c>
      <c r="F94" s="244">
        <f>S54</f>
        <v>7444.0855517300442</v>
      </c>
      <c r="H94" s="244">
        <f ca="1">IF($F94&lt;0,$F94*$N$79,$F94*$N$83)</f>
        <v>15441.95785830822</v>
      </c>
      <c r="I94" s="244">
        <f ca="1">IF($F94&lt;0,$F94*$N$80,$F94*$N$82)</f>
        <v>45029.903965228885</v>
      </c>
      <c r="J94" s="244">
        <f ca="1">$F94*$N$81</f>
        <v>59748.936985319808</v>
      </c>
      <c r="K94" s="244">
        <f ca="1">IF($F94&gt;0,$F94*$N$80,$F94*$N$82)</f>
        <v>81967.450043799327</v>
      </c>
      <c r="L94" s="574">
        <f ca="1">IF($F94&gt;0,$F94*$N$79,$F94*$N$83)</f>
        <v>96712.260209987609</v>
      </c>
      <c r="N94" s="121" t="s">
        <v>545</v>
      </c>
      <c r="Q94" s="243" t="str">
        <f t="shared" ca="1" si="61"/>
        <v/>
      </c>
      <c r="R94" s="243" t="str">
        <f t="shared" ca="1" si="61"/>
        <v/>
      </c>
      <c r="S94" s="243">
        <f t="shared" ca="1" si="61"/>
        <v>32.812612394206838</v>
      </c>
      <c r="T94" s="243">
        <f t="shared" ca="1" si="61"/>
        <v>114.06220304175868</v>
      </c>
      <c r="U94" s="510">
        <f t="shared" ca="1" si="61"/>
        <v>167.98164342129604</v>
      </c>
    </row>
    <row r="95" spans="1:24" x14ac:dyDescent="0.25">
      <c r="B95" s="121" t="s">
        <v>546</v>
      </c>
      <c r="F95" s="244">
        <f>R54</f>
        <v>7221.7443087347947</v>
      </c>
      <c r="H95" s="244">
        <f ca="1">IF($F95&lt;0,$F95*$M$79,$F95*$M$83)</f>
        <v>17616.178080505168</v>
      </c>
      <c r="I95" s="244">
        <f ca="1">IF($F95&lt;0,$F95*$M$80,$F95*$M$82)</f>
        <v>47803.116922178728</v>
      </c>
      <c r="J95" s="244">
        <f ca="1">$F95*$M$81</f>
        <v>58973.49815060541</v>
      </c>
      <c r="K95" s="244">
        <f ca="1">IF($F95&gt;0,$F95*$M$80,$F95*$M$82)</f>
        <v>84188.5788625274</v>
      </c>
      <c r="L95" s="574">
        <f ca="1">IF($F95&gt;0,$F95*$M$79,$F95*$M$83)</f>
        <v>113842.13939478183</v>
      </c>
      <c r="N95" s="121" t="s">
        <v>546</v>
      </c>
      <c r="Q95" s="243" t="str">
        <f t="shared" ca="1" si="61"/>
        <v/>
      </c>
      <c r="R95" s="243" t="str">
        <f t="shared" ca="1" si="61"/>
        <v/>
      </c>
      <c r="S95" s="243">
        <f t="shared" ca="1" si="61"/>
        <v>29.976955132763177</v>
      </c>
      <c r="T95" s="243">
        <f t="shared" ca="1" si="61"/>
        <v>122.18452008530463</v>
      </c>
      <c r="U95" s="510">
        <f t="shared" ca="1" si="61"/>
        <v>230.62290424479576</v>
      </c>
    </row>
    <row r="96" spans="1:24" x14ac:dyDescent="0.25">
      <c r="B96" s="121" t="s">
        <v>547</v>
      </c>
      <c r="F96" s="244">
        <f>Q54</f>
        <v>6856.9353137007784</v>
      </c>
      <c r="H96" s="244">
        <f ca="1">IF($F96&lt;0,$F96*$L$79,$F96*$L$83)</f>
        <v>25540.670205686991</v>
      </c>
      <c r="I96" s="244">
        <f ca="1">IF($F96&lt;0,$F96*$L$80,$F96*$L$82)</f>
        <v>49137.457747044951</v>
      </c>
      <c r="J96" s="244">
        <f ca="1">$F96*$L$81</f>
        <v>64096.728393310215</v>
      </c>
      <c r="K96" s="244">
        <f ca="1">IF($F96&gt;0,$F96*$L$80,$F96*$L$82)</f>
        <v>89199.051188869838</v>
      </c>
      <c r="L96" s="574">
        <f ca="1">IF($F96&gt;0,$F96*$L$79,$F96*$L$83)</f>
        <v>223087.65617821919</v>
      </c>
      <c r="N96" s="121" t="s">
        <v>547</v>
      </c>
      <c r="Q96" s="243" t="str">
        <f t="shared" ca="1" si="61"/>
        <v/>
      </c>
      <c r="R96" s="243" t="str">
        <f t="shared" ca="1" si="61"/>
        <v/>
      </c>
      <c r="S96" s="243">
        <f t="shared" ca="1" si="61"/>
        <v>48.711798410408164</v>
      </c>
      <c r="T96" s="243">
        <f t="shared" ca="1" si="61"/>
        <v>140.50702548405559</v>
      </c>
      <c r="U96" s="510">
        <f t="shared" ca="1" si="61"/>
        <v>630.11649300891975</v>
      </c>
    </row>
    <row r="97" spans="1:21" x14ac:dyDescent="0.25">
      <c r="B97" s="121"/>
      <c r="F97" s="244"/>
      <c r="H97" s="244"/>
      <c r="I97" s="244"/>
      <c r="J97" s="244"/>
      <c r="K97" s="244"/>
      <c r="L97" s="574"/>
      <c r="N97" s="121"/>
      <c r="Q97" s="243"/>
      <c r="R97" s="243"/>
      <c r="S97" s="243"/>
      <c r="T97" s="243"/>
      <c r="U97" s="510"/>
    </row>
    <row r="98" spans="1:21" x14ac:dyDescent="0.25">
      <c r="B98" s="121" t="s">
        <v>548</v>
      </c>
      <c r="F98" s="244">
        <f>V54</f>
        <v>2052</v>
      </c>
      <c r="H98" s="244">
        <f ca="1">IF($F98&lt;0,$F98*$Q$79,$F98*$Q$83)</f>
        <v>7110.0756428798213</v>
      </c>
      <c r="I98" s="244">
        <f ca="1">IF($F98&lt;0,$F98*$Q$80,$F98*$Q$82)</f>
        <v>11642.80752531677</v>
      </c>
      <c r="J98" s="244">
        <f ca="1">$F98*$Q$81</f>
        <v>14214.269555206225</v>
      </c>
      <c r="K98" s="244">
        <f ca="1">IF($F98&gt;0,$F98*$Q$80,$F98*$Q$82)</f>
        <v>17280.901940431449</v>
      </c>
      <c r="L98" s="574">
        <f ca="1">IF($F98&gt;0,$F98*$Q$79,$F98*$Q$83)</f>
        <v>20791.355088356977</v>
      </c>
      <c r="N98" s="121" t="s">
        <v>548</v>
      </c>
      <c r="Q98" s="243">
        <f t="shared" ref="Q98:U99" ca="1" si="62">H98/$W$66</f>
        <v>26.000422887734299</v>
      </c>
      <c r="R98" s="243">
        <f t="shared" ca="1" si="62"/>
        <v>42.575906989383348</v>
      </c>
      <c r="S98" s="243">
        <f t="shared" ca="1" si="62"/>
        <v>51.979337216434672</v>
      </c>
      <c r="T98" s="243">
        <f t="shared" ca="1" si="62"/>
        <v>63.193527171913445</v>
      </c>
      <c r="U98" s="510">
        <f t="shared" ca="1" si="62"/>
        <v>76.030699511288589</v>
      </c>
    </row>
    <row r="99" spans="1:21" x14ac:dyDescent="0.25">
      <c r="B99" s="121" t="s">
        <v>549</v>
      </c>
      <c r="F99" s="244">
        <f>U54</f>
        <v>2031</v>
      </c>
      <c r="H99" s="244">
        <f ca="1">IF($F99&lt;0,$F99*$P$79,$F99*$P$83)</f>
        <v>8541.0337503061746</v>
      </c>
      <c r="I99" s="244">
        <f ca="1">IF($F99&lt;0,$F99*$P$80,$F99*$P$82)</f>
        <v>12308.573032302171</v>
      </c>
      <c r="J99" s="244">
        <f ca="1">$F99*$P$81</f>
        <v>16496.869999037226</v>
      </c>
      <c r="K99" s="244">
        <f ca="1">IF($F99&gt;0,$F99*$P$80,$F99*$P$82)</f>
        <v>19229.447410723435</v>
      </c>
      <c r="L99" s="574">
        <f ca="1">IF($F99&gt;0,$F99*$P$79,$F99*$P$83)</f>
        <v>186869.22667688385</v>
      </c>
      <c r="N99" s="121" t="s">
        <v>549</v>
      </c>
      <c r="Q99" s="243">
        <f t="shared" ca="1" si="62"/>
        <v>31.233210525510771</v>
      </c>
      <c r="R99" s="243">
        <f t="shared" ca="1" si="62"/>
        <v>45.010506225049994</v>
      </c>
      <c r="S99" s="243">
        <f t="shared" ca="1" si="62"/>
        <v>60.326446277471028</v>
      </c>
      <c r="T99" s="243">
        <f t="shared" ca="1" si="62"/>
        <v>70.319049991674959</v>
      </c>
      <c r="U99" s="510">
        <f t="shared" ca="1" si="62"/>
        <v>683.35122751731103</v>
      </c>
    </row>
    <row r="100" spans="1:21" x14ac:dyDescent="0.25">
      <c r="B100" s="121" t="s">
        <v>550</v>
      </c>
      <c r="F100" s="575">
        <f>IF(T54&lt;0,0, T54)</f>
        <v>0</v>
      </c>
      <c r="H100" s="244"/>
      <c r="I100" s="244"/>
      <c r="J100" s="244"/>
      <c r="K100" s="244"/>
      <c r="L100" s="574"/>
      <c r="N100" s="121" t="s">
        <v>550</v>
      </c>
      <c r="Q100" s="243"/>
      <c r="R100" s="243"/>
      <c r="S100" s="243"/>
      <c r="T100" s="243"/>
      <c r="U100" s="510"/>
    </row>
    <row r="101" spans="1:21" x14ac:dyDescent="0.25">
      <c r="B101" s="121"/>
      <c r="F101" s="244"/>
      <c r="H101" s="244"/>
      <c r="I101" s="244"/>
      <c r="J101" s="244"/>
      <c r="K101" s="244"/>
      <c r="L101" s="574"/>
      <c r="N101" s="121"/>
      <c r="Q101" s="243"/>
      <c r="R101" s="243"/>
      <c r="S101" s="243"/>
      <c r="T101" s="243"/>
      <c r="U101" s="510"/>
    </row>
    <row r="102" spans="1:21" x14ac:dyDescent="0.25">
      <c r="B102" s="121" t="s">
        <v>551</v>
      </c>
      <c r="F102" s="244">
        <f>P54</f>
        <v>62404.000476570101</v>
      </c>
      <c r="H102" s="244">
        <f ca="1">IF($F102&lt;0,$F102*$T$79,$F102*$T$83)</f>
        <v>6218.2396157250696</v>
      </c>
      <c r="I102" s="244">
        <f ca="1">IF($F102&lt;0,$F102*$T$80,$F102*$T$82)</f>
        <v>9509.4714500627815</v>
      </c>
      <c r="J102" s="244">
        <f ca="1">$F102*$T$81</f>
        <v>17960.912151879191</v>
      </c>
      <c r="K102" s="244">
        <f ca="1">IF($F102&gt;0,$F102*$T$80,$F102*$T$82)</f>
        <v>21203.595213028093</v>
      </c>
      <c r="L102" s="574">
        <f ca="1">IF($F102&gt;0,$F102*$T$79,$F102*$T$83)</f>
        <v>49386.388629741625</v>
      </c>
      <c r="N102" s="121" t="s">
        <v>551</v>
      </c>
      <c r="Q102" s="243">
        <f t="shared" ref="Q102:U104" ca="1" si="63">H102/$W$66</f>
        <v>22.739119489962224</v>
      </c>
      <c r="R102" s="243">
        <f t="shared" ca="1" si="63"/>
        <v>34.774634133192357</v>
      </c>
      <c r="S102" s="243">
        <f t="shared" ca="1" si="63"/>
        <v>65.680217040441718</v>
      </c>
      <c r="T102" s="243">
        <f t="shared" ca="1" si="63"/>
        <v>77.538196493191307</v>
      </c>
      <c r="U102" s="510">
        <f t="shared" ca="1" si="63"/>
        <v>180.59821776399338</v>
      </c>
    </row>
    <row r="103" spans="1:21" x14ac:dyDescent="0.25">
      <c r="B103" s="121" t="s">
        <v>552</v>
      </c>
      <c r="F103" s="244">
        <f>O54</f>
        <v>60205.869717830421</v>
      </c>
      <c r="H103" s="244">
        <f ca="1">IF($F103&lt;0,$F103*$S$79,$F103*$S$83)</f>
        <v>6115.161928199851</v>
      </c>
      <c r="I103" s="244">
        <f ca="1">IF($F103&lt;0,$F103*$S$80,$F103*$S$82)</f>
        <v>9512.9725848191847</v>
      </c>
      <c r="J103" s="244">
        <f ca="1">$F103*$S$81</f>
        <v>17913.158782383332</v>
      </c>
      <c r="K103" s="244">
        <f ca="1">IF($F103&gt;0,$F103*$S$80,$F103*$S$82)</f>
        <v>20764.124491270522</v>
      </c>
      <c r="L103" s="574">
        <f ca="1">IF($F103&gt;0,$F103*$S$79,$F103*$S$83)</f>
        <v>48909.535938472553</v>
      </c>
      <c r="N103" s="121" t="s">
        <v>552</v>
      </c>
      <c r="Q103" s="243">
        <f t="shared" ca="1" si="63"/>
        <v>22.362180677977953</v>
      </c>
      <c r="R103" s="243">
        <f t="shared" ca="1" si="63"/>
        <v>34.787437229646699</v>
      </c>
      <c r="S103" s="243">
        <f t="shared" ca="1" si="63"/>
        <v>65.505590515553763</v>
      </c>
      <c r="T103" s="243">
        <f t="shared" ca="1" si="63"/>
        <v>75.931121521504153</v>
      </c>
      <c r="U103" s="510">
        <f t="shared" ca="1" si="63"/>
        <v>178.85444283797469</v>
      </c>
    </row>
    <row r="104" spans="1:21" ht="13" thickBot="1" x14ac:dyDescent="0.3">
      <c r="B104" s="124" t="s">
        <v>553</v>
      </c>
      <c r="C104" s="119"/>
      <c r="D104" s="119"/>
      <c r="E104" s="119"/>
      <c r="F104" s="576">
        <f>N54</f>
        <v>57595.111393800573</v>
      </c>
      <c r="G104" s="119"/>
      <c r="H104" s="576">
        <f ca="1">IF($F104&lt;0,$F104*$R$79,$F104*$R$83)</f>
        <v>5991.6960037392719</v>
      </c>
      <c r="I104" s="576">
        <f ca="1">IF($F104&lt;0,$F104*$R$80,$F104*$R$82)</f>
        <v>9573.4259073026205</v>
      </c>
      <c r="J104" s="576">
        <f ca="1">$F104*$R$81</f>
        <v>17472.047726984259</v>
      </c>
      <c r="K104" s="576">
        <f ca="1">IF($F104&gt;0,$F104*$R$80,$F104*$R$82)</f>
        <v>20438.090599703104</v>
      </c>
      <c r="L104" s="577">
        <f ca="1">IF($F104&gt;0,$F104*$R$79,$F104*$R$83)</f>
        <v>48192.224367315044</v>
      </c>
      <c r="N104" s="124" t="s">
        <v>553</v>
      </c>
      <c r="O104" s="119"/>
      <c r="P104" s="119"/>
      <c r="Q104" s="511">
        <f t="shared" ca="1" si="63"/>
        <v>21.910685305855601</v>
      </c>
      <c r="R104" s="511">
        <f t="shared" ca="1" si="63"/>
        <v>35.008505475399041</v>
      </c>
      <c r="S104" s="511">
        <f t="shared" ca="1" si="63"/>
        <v>63.892517102992251</v>
      </c>
      <c r="T104" s="511">
        <f t="shared" ca="1" si="63"/>
        <v>74.738867109277791</v>
      </c>
      <c r="U104" s="512">
        <f t="shared" ca="1" si="63"/>
        <v>176.23134779241954</v>
      </c>
    </row>
    <row r="106" spans="1:21" ht="13" thickBot="1" x14ac:dyDescent="0.3"/>
    <row r="107" spans="1:21" ht="13" x14ac:dyDescent="0.3">
      <c r="A107" t="s">
        <v>22</v>
      </c>
      <c r="B107" s="503" t="s">
        <v>554</v>
      </c>
      <c r="C107" s="504"/>
      <c r="D107" s="504"/>
      <c r="E107" s="504"/>
      <c r="F107" s="284"/>
      <c r="G107" s="284"/>
      <c r="H107" s="505" t="s">
        <v>555</v>
      </c>
      <c r="I107" s="284"/>
      <c r="J107" s="284"/>
      <c r="K107" s="505"/>
      <c r="L107" s="284"/>
      <c r="M107" s="284"/>
      <c r="N107" s="505" t="s">
        <v>556</v>
      </c>
      <c r="O107" s="284"/>
      <c r="P107" s="285"/>
      <c r="S107" s="267"/>
      <c r="T107" s="267"/>
    </row>
    <row r="108" spans="1:21" ht="13.5" customHeight="1" x14ac:dyDescent="0.3">
      <c r="B108" s="508"/>
      <c r="C108" s="209"/>
      <c r="D108" s="209"/>
      <c r="E108" s="209"/>
      <c r="F108" s="4"/>
      <c r="G108" s="268" t="s">
        <v>478</v>
      </c>
      <c r="H108" s="4"/>
      <c r="I108" s="4" t="s">
        <v>479</v>
      </c>
      <c r="J108" s="268"/>
      <c r="K108" s="209"/>
      <c r="L108" s="4"/>
      <c r="M108" s="268" t="s">
        <v>478</v>
      </c>
      <c r="N108" s="4"/>
      <c r="O108" s="4" t="s">
        <v>479</v>
      </c>
      <c r="P108" s="507"/>
      <c r="S108" s="272"/>
      <c r="T108" s="272"/>
    </row>
    <row r="109" spans="1:21" ht="13" x14ac:dyDescent="0.3">
      <c r="B109" s="586" t="s">
        <v>480</v>
      </c>
      <c r="C109" s="193"/>
      <c r="D109" s="193"/>
      <c r="E109" s="193"/>
      <c r="F109" s="209" t="s">
        <v>481</v>
      </c>
      <c r="G109" s="209" t="s">
        <v>482</v>
      </c>
      <c r="H109" s="209" t="s">
        <v>443</v>
      </c>
      <c r="I109" s="209" t="s">
        <v>482</v>
      </c>
      <c r="J109" s="578" t="s">
        <v>483</v>
      </c>
      <c r="K109" s="4"/>
      <c r="L109" s="209" t="s">
        <v>481</v>
      </c>
      <c r="M109" s="209" t="s">
        <v>482</v>
      </c>
      <c r="N109" s="209" t="s">
        <v>443</v>
      </c>
      <c r="O109" s="209" t="s">
        <v>482</v>
      </c>
      <c r="P109" s="587" t="s">
        <v>483</v>
      </c>
      <c r="S109" s="267"/>
      <c r="T109" s="267"/>
    </row>
    <row r="110" spans="1:21" x14ac:dyDescent="0.25">
      <c r="B110" s="121"/>
      <c r="F110" t="s">
        <v>557</v>
      </c>
      <c r="P110" s="120"/>
    </row>
    <row r="111" spans="1:21" x14ac:dyDescent="0.25">
      <c r="B111" s="121" t="s">
        <v>542</v>
      </c>
      <c r="F111" s="243" t="str">
        <f ca="1">Q90</f>
        <v/>
      </c>
      <c r="G111" s="243" t="str">
        <f t="shared" ref="G111:J111" ca="1" si="64">R90</f>
        <v/>
      </c>
      <c r="H111" s="243">
        <f t="shared" ca="1" si="64"/>
        <v>9.9641177882576493</v>
      </c>
      <c r="I111" s="243">
        <f t="shared" ca="1" si="64"/>
        <v>27.369286606336704</v>
      </c>
      <c r="J111" s="243">
        <f t="shared" ca="1" si="64"/>
        <v>138.58243863461877</v>
      </c>
      <c r="L111" s="579">
        <f ca="1">N111</f>
        <v>9.9641177882576493</v>
      </c>
      <c r="M111" s="243" t="str">
        <f ca="1">IFERROR(G111-F111,G111)</f>
        <v/>
      </c>
      <c r="N111" s="243">
        <f t="shared" ref="N111:N124" ca="1" si="65">IFERROR(H111-G111,H111)</f>
        <v>9.9641177882576493</v>
      </c>
      <c r="O111" s="243">
        <f t="shared" ref="O111:P111" ca="1" si="66">I111-H111</f>
        <v>17.405168818079055</v>
      </c>
      <c r="P111" s="510">
        <f t="shared" ca="1" si="66"/>
        <v>111.21315202828207</v>
      </c>
    </row>
    <row r="112" spans="1:21" x14ac:dyDescent="0.25">
      <c r="B112" s="121" t="s">
        <v>545</v>
      </c>
      <c r="F112" s="243" t="str">
        <f ca="1">Q94</f>
        <v/>
      </c>
      <c r="G112" s="243" t="str">
        <f t="shared" ref="G112:J112" ca="1" si="67">R94</f>
        <v/>
      </c>
      <c r="H112" s="243">
        <f t="shared" ca="1" si="67"/>
        <v>32.812612394206838</v>
      </c>
      <c r="I112" s="243">
        <f t="shared" ca="1" si="67"/>
        <v>114.06220304175868</v>
      </c>
      <c r="J112" s="243">
        <f t="shared" ca="1" si="67"/>
        <v>167.98164342129604</v>
      </c>
      <c r="L112" s="579">
        <f ca="1">N112</f>
        <v>32.812612394206838</v>
      </c>
      <c r="M112" s="243" t="str">
        <f t="shared" ref="M112:M124" ca="1" si="68">IFERROR(G112-F112,G112)</f>
        <v/>
      </c>
      <c r="N112" s="243">
        <f t="shared" ca="1" si="65"/>
        <v>32.812612394206838</v>
      </c>
      <c r="O112" s="243">
        <f t="shared" ref="O112:O124" ca="1" si="69">I112-H112</f>
        <v>81.249590647551841</v>
      </c>
      <c r="P112" s="510">
        <f t="shared" ref="P112:P124" ca="1" si="70">J112-I112</f>
        <v>53.919440379537363</v>
      </c>
    </row>
    <row r="113" spans="2:16" x14ac:dyDescent="0.25">
      <c r="B113" s="121" t="s">
        <v>548</v>
      </c>
      <c r="F113" s="243">
        <f ca="1">Q98</f>
        <v>26.000422887734299</v>
      </c>
      <c r="G113" s="243">
        <f t="shared" ref="G113:J113" ca="1" si="71">R98</f>
        <v>42.575906989383348</v>
      </c>
      <c r="H113" s="243">
        <f t="shared" ca="1" si="71"/>
        <v>51.979337216434672</v>
      </c>
      <c r="I113" s="243">
        <f t="shared" ca="1" si="71"/>
        <v>63.193527171913445</v>
      </c>
      <c r="J113" s="243">
        <f t="shared" ca="1" si="71"/>
        <v>76.030699511288589</v>
      </c>
      <c r="L113" s="243">
        <f t="shared" ref="L113" ca="1" si="72">MIN(F113)</f>
        <v>26.000422887734299</v>
      </c>
      <c r="M113" s="243">
        <f t="shared" ca="1" si="68"/>
        <v>16.57548410164905</v>
      </c>
      <c r="N113" s="243">
        <f t="shared" ca="1" si="65"/>
        <v>9.4034302270513237</v>
      </c>
      <c r="O113" s="243">
        <f t="shared" ca="1" si="69"/>
        <v>11.214189955478773</v>
      </c>
      <c r="P113" s="510">
        <f t="shared" ca="1" si="70"/>
        <v>12.837172339375144</v>
      </c>
    </row>
    <row r="114" spans="2:16" x14ac:dyDescent="0.25">
      <c r="B114" s="121" t="s">
        <v>551</v>
      </c>
      <c r="F114" s="243">
        <f ca="1">Q102</f>
        <v>22.739119489962224</v>
      </c>
      <c r="G114" s="243">
        <f t="shared" ref="G114:J114" ca="1" si="73">R102</f>
        <v>34.774634133192357</v>
      </c>
      <c r="H114" s="243">
        <f t="shared" ca="1" si="73"/>
        <v>65.680217040441718</v>
      </c>
      <c r="I114" s="243">
        <f t="shared" ca="1" si="73"/>
        <v>77.538196493191307</v>
      </c>
      <c r="J114" s="243">
        <f t="shared" ca="1" si="73"/>
        <v>180.59821776399338</v>
      </c>
      <c r="L114" s="243">
        <f t="shared" ref="L114:L124" ca="1" si="74">MIN(F114)</f>
        <v>22.739119489962224</v>
      </c>
      <c r="M114" s="243">
        <f t="shared" ca="1" si="68"/>
        <v>12.035514643230133</v>
      </c>
      <c r="N114" s="243">
        <f t="shared" ca="1" si="65"/>
        <v>30.905582907249361</v>
      </c>
      <c r="O114" s="243">
        <f t="shared" ca="1" si="69"/>
        <v>11.857979452749589</v>
      </c>
      <c r="P114" s="510">
        <f t="shared" ca="1" si="70"/>
        <v>103.06002127080207</v>
      </c>
    </row>
    <row r="115" spans="2:16" x14ac:dyDescent="0.25">
      <c r="B115" s="121"/>
      <c r="L115" s="243"/>
      <c r="M115" s="243"/>
      <c r="N115" s="243"/>
      <c r="O115" s="243"/>
      <c r="P115" s="510"/>
    </row>
    <row r="116" spans="2:16" x14ac:dyDescent="0.25">
      <c r="B116" s="121" t="s">
        <v>543</v>
      </c>
      <c r="F116" s="243" t="str">
        <f ca="1">Q91</f>
        <v/>
      </c>
      <c r="G116" s="243" t="str">
        <f t="shared" ref="G116:J116" ca="1" si="75">R91</f>
        <v/>
      </c>
      <c r="H116" s="243">
        <f t="shared" ca="1" si="75"/>
        <v>5.5871732131582856</v>
      </c>
      <c r="I116" s="243">
        <f t="shared" ca="1" si="75"/>
        <v>26.75349004723353</v>
      </c>
      <c r="J116" s="243">
        <f t="shared" ca="1" si="75"/>
        <v>135.45150866060658</v>
      </c>
      <c r="L116" s="579">
        <f ca="1">N116</f>
        <v>5.5871732131582856</v>
      </c>
      <c r="M116" s="243" t="str">
        <f t="shared" ca="1" si="68"/>
        <v/>
      </c>
      <c r="N116" s="243">
        <f t="shared" ca="1" si="65"/>
        <v>5.5871732131582856</v>
      </c>
      <c r="O116" s="243">
        <f t="shared" ca="1" si="69"/>
        <v>21.166316834075246</v>
      </c>
      <c r="P116" s="510">
        <f t="shared" ca="1" si="70"/>
        <v>108.69801861337305</v>
      </c>
    </row>
    <row r="117" spans="2:16" x14ac:dyDescent="0.25">
      <c r="B117" s="121" t="s">
        <v>546</v>
      </c>
      <c r="F117" s="243" t="str">
        <f ca="1">Q95</f>
        <v/>
      </c>
      <c r="G117" s="243" t="str">
        <f t="shared" ref="G117:J117" ca="1" si="76">R95</f>
        <v/>
      </c>
      <c r="H117" s="243">
        <f t="shared" ca="1" si="76"/>
        <v>29.976955132763177</v>
      </c>
      <c r="I117" s="243">
        <f t="shared" ca="1" si="76"/>
        <v>122.18452008530463</v>
      </c>
      <c r="J117" s="243">
        <f t="shared" ca="1" si="76"/>
        <v>230.62290424479576</v>
      </c>
      <c r="L117" s="243">
        <f ca="1">N117</f>
        <v>29.976955132763177</v>
      </c>
      <c r="M117" s="243" t="str">
        <f t="shared" ca="1" si="68"/>
        <v/>
      </c>
      <c r="N117" s="243">
        <f t="shared" ca="1" si="65"/>
        <v>29.976955132763177</v>
      </c>
      <c r="O117" s="243">
        <f t="shared" ca="1" si="69"/>
        <v>92.207564952541446</v>
      </c>
      <c r="P117" s="510">
        <f t="shared" ca="1" si="70"/>
        <v>108.43838415949114</v>
      </c>
    </row>
    <row r="118" spans="2:16" x14ac:dyDescent="0.25">
      <c r="B118" s="121" t="s">
        <v>549</v>
      </c>
      <c r="F118" s="243">
        <f ca="1">Q99</f>
        <v>31.233210525510771</v>
      </c>
      <c r="G118" s="243">
        <f t="shared" ref="G118:J118" ca="1" si="77">R99</f>
        <v>45.010506225049994</v>
      </c>
      <c r="H118" s="243">
        <f t="shared" ca="1" si="77"/>
        <v>60.326446277471028</v>
      </c>
      <c r="I118" s="243">
        <f t="shared" ca="1" si="77"/>
        <v>70.319049991674959</v>
      </c>
      <c r="J118" s="243">
        <f t="shared" ca="1" si="77"/>
        <v>683.35122751731103</v>
      </c>
      <c r="L118" s="243">
        <f t="shared" ca="1" si="74"/>
        <v>31.233210525510771</v>
      </c>
      <c r="M118" s="243">
        <f t="shared" ca="1" si="68"/>
        <v>13.777295699539224</v>
      </c>
      <c r="N118" s="243">
        <f t="shared" ca="1" si="65"/>
        <v>15.315940052421034</v>
      </c>
      <c r="O118" s="243">
        <f t="shared" ca="1" si="69"/>
        <v>9.9926037142039306</v>
      </c>
      <c r="P118" s="510">
        <f t="shared" ca="1" si="70"/>
        <v>613.03217752563603</v>
      </c>
    </row>
    <row r="119" spans="2:16" x14ac:dyDescent="0.25">
      <c r="B119" s="121" t="s">
        <v>552</v>
      </c>
      <c r="F119" s="243">
        <f ca="1">Q103</f>
        <v>22.362180677977953</v>
      </c>
      <c r="G119" s="243">
        <f t="shared" ref="G119:J119" ca="1" si="78">R103</f>
        <v>34.787437229646699</v>
      </c>
      <c r="H119" s="243">
        <f t="shared" ca="1" si="78"/>
        <v>65.505590515553763</v>
      </c>
      <c r="I119" s="243">
        <f t="shared" ca="1" si="78"/>
        <v>75.931121521504153</v>
      </c>
      <c r="J119" s="243">
        <f t="shared" ca="1" si="78"/>
        <v>178.85444283797469</v>
      </c>
      <c r="L119" s="243">
        <f t="shared" ca="1" si="74"/>
        <v>22.362180677977953</v>
      </c>
      <c r="M119" s="243">
        <f t="shared" ca="1" si="68"/>
        <v>12.425256551668745</v>
      </c>
      <c r="N119" s="243">
        <f t="shared" ca="1" si="65"/>
        <v>30.718153285907064</v>
      </c>
      <c r="O119" s="243">
        <f t="shared" ca="1" si="69"/>
        <v>10.42553100595039</v>
      </c>
      <c r="P119" s="510">
        <f t="shared" ca="1" si="70"/>
        <v>102.92332131647053</v>
      </c>
    </row>
    <row r="120" spans="2:16" x14ac:dyDescent="0.25">
      <c r="B120" s="121"/>
      <c r="L120" s="243"/>
      <c r="M120" s="243"/>
      <c r="N120" s="243"/>
      <c r="O120" s="243"/>
      <c r="P120" s="510"/>
    </row>
    <row r="121" spans="2:16" x14ac:dyDescent="0.25">
      <c r="B121" s="121" t="s">
        <v>544</v>
      </c>
      <c r="F121" s="243" t="str">
        <f ca="1">Q92</f>
        <v/>
      </c>
      <c r="G121" s="243" t="str">
        <f t="shared" ref="G121:J121" ca="1" si="79">R92</f>
        <v/>
      </c>
      <c r="H121" s="580">
        <f ca="1">S90</f>
        <v>9.9641177882576493</v>
      </c>
      <c r="I121" s="243">
        <f t="shared" ca="1" si="79"/>
        <v>23.417907343641435</v>
      </c>
      <c r="J121" s="243">
        <f t="shared" ca="1" si="79"/>
        <v>130.74176844111477</v>
      </c>
      <c r="L121" s="579">
        <f ca="1">N121</f>
        <v>9.9641177882576493</v>
      </c>
      <c r="M121" s="243" t="str">
        <f t="shared" ca="1" si="68"/>
        <v/>
      </c>
      <c r="N121" s="243">
        <f t="shared" ca="1" si="65"/>
        <v>9.9641177882576493</v>
      </c>
      <c r="O121" s="243">
        <f ca="1">I121-H121</f>
        <v>13.453789555383786</v>
      </c>
      <c r="P121" s="510">
        <f t="shared" ca="1" si="70"/>
        <v>107.32386109747334</v>
      </c>
    </row>
    <row r="122" spans="2:16" x14ac:dyDescent="0.25">
      <c r="B122" s="121" t="s">
        <v>547</v>
      </c>
      <c r="F122" s="243" t="str">
        <f ca="1">Q96</f>
        <v/>
      </c>
      <c r="G122" s="243" t="str">
        <f t="shared" ref="G122:J122" ca="1" si="80">R96</f>
        <v/>
      </c>
      <c r="H122" s="243">
        <f ca="1">S96</f>
        <v>48.711798410408164</v>
      </c>
      <c r="I122" s="243">
        <f t="shared" ca="1" si="80"/>
        <v>140.50702548405559</v>
      </c>
      <c r="J122" s="243">
        <f t="shared" ca="1" si="80"/>
        <v>630.11649300891975</v>
      </c>
      <c r="L122" s="579">
        <f ca="1">N122</f>
        <v>48.711798410408164</v>
      </c>
      <c r="M122" s="243" t="str">
        <f t="shared" ca="1" si="68"/>
        <v/>
      </c>
      <c r="N122" s="243">
        <f t="shared" ca="1" si="65"/>
        <v>48.711798410408164</v>
      </c>
      <c r="O122" s="243">
        <f t="shared" ca="1" si="69"/>
        <v>91.795227073647425</v>
      </c>
      <c r="P122" s="510">
        <f t="shared" ca="1" si="70"/>
        <v>489.60946752486416</v>
      </c>
    </row>
    <row r="123" spans="2:16" x14ac:dyDescent="0.25">
      <c r="B123" s="121" t="s">
        <v>550</v>
      </c>
      <c r="F123" s="243"/>
      <c r="G123" s="243"/>
      <c r="H123" s="243"/>
      <c r="I123" s="243"/>
      <c r="J123" s="243"/>
      <c r="L123" s="243"/>
      <c r="M123" s="243"/>
      <c r="N123" s="243"/>
      <c r="O123" s="243"/>
      <c r="P123" s="510"/>
    </row>
    <row r="124" spans="2:16" x14ac:dyDescent="0.25">
      <c r="B124" s="121" t="s">
        <v>553</v>
      </c>
      <c r="F124" s="243">
        <f ca="1">Q104</f>
        <v>21.910685305855601</v>
      </c>
      <c r="G124" s="243">
        <f t="shared" ref="G124:J124" ca="1" si="81">R104</f>
        <v>35.008505475399041</v>
      </c>
      <c r="H124" s="243">
        <f t="shared" ca="1" si="81"/>
        <v>63.892517102992251</v>
      </c>
      <c r="I124" s="243">
        <f t="shared" ca="1" si="81"/>
        <v>74.738867109277791</v>
      </c>
      <c r="J124" s="243">
        <f t="shared" ca="1" si="81"/>
        <v>176.23134779241954</v>
      </c>
      <c r="L124" s="243">
        <f t="shared" ca="1" si="74"/>
        <v>21.910685305855601</v>
      </c>
      <c r="M124" s="243">
        <f t="shared" ca="1" si="68"/>
        <v>13.097820169543439</v>
      </c>
      <c r="N124" s="243">
        <f t="shared" ca="1" si="65"/>
        <v>28.88401162759321</v>
      </c>
      <c r="O124" s="243">
        <f t="shared" ca="1" si="69"/>
        <v>10.84635000628554</v>
      </c>
      <c r="P124" s="510">
        <f t="shared" ca="1" si="70"/>
        <v>101.49248068314175</v>
      </c>
    </row>
    <row r="125" spans="2:16" x14ac:dyDescent="0.25">
      <c r="B125" s="121"/>
      <c r="P125" s="120"/>
    </row>
    <row r="126" spans="2:16" x14ac:dyDescent="0.25">
      <c r="B126" s="121" t="s">
        <v>484</v>
      </c>
      <c r="F126" s="243" t="str">
        <f ca="1">IFERROR(AVERAGE(F121,F116,F111),"")</f>
        <v/>
      </c>
      <c r="G126" s="243" t="str">
        <f t="shared" ref="G126:J126" ca="1" si="82">IFERROR(AVERAGE(G121,G116,G111),"")</f>
        <v/>
      </c>
      <c r="H126" s="243">
        <f t="shared" ca="1" si="82"/>
        <v>8.5051362632245286</v>
      </c>
      <c r="I126" s="243">
        <f t="shared" ca="1" si="82"/>
        <v>25.846894665737224</v>
      </c>
      <c r="J126" s="243">
        <f t="shared" ca="1" si="82"/>
        <v>134.92523857878004</v>
      </c>
      <c r="K126" s="243"/>
      <c r="L126" s="243">
        <f t="shared" ref="L126:P126" ca="1" si="83">IFERROR(AVERAGE(L121,L116,L111),"")</f>
        <v>8.5051362632245286</v>
      </c>
      <c r="M126" s="243" t="str">
        <f t="shared" ca="1" si="83"/>
        <v/>
      </c>
      <c r="N126" s="243">
        <f t="shared" ca="1" si="83"/>
        <v>8.5051362632245286</v>
      </c>
      <c r="O126" s="243">
        <f t="shared" ca="1" si="83"/>
        <v>17.341758402512696</v>
      </c>
      <c r="P126" s="510">
        <f t="shared" ca="1" si="83"/>
        <v>109.07834391304283</v>
      </c>
    </row>
    <row r="127" spans="2:16" x14ac:dyDescent="0.25">
      <c r="B127" s="121" t="s">
        <v>485</v>
      </c>
      <c r="F127" s="243" t="str">
        <f t="shared" ref="F127:J127" ca="1" si="84">IFERROR(AVERAGE(F122,F117,F112),"")</f>
        <v/>
      </c>
      <c r="G127" s="243" t="str">
        <f t="shared" ca="1" si="84"/>
        <v/>
      </c>
      <c r="H127" s="243">
        <f t="shared" ca="1" si="84"/>
        <v>37.167121979126058</v>
      </c>
      <c r="I127" s="243">
        <f t="shared" ca="1" si="84"/>
        <v>125.58458287037296</v>
      </c>
      <c r="J127" s="243">
        <f t="shared" ca="1" si="84"/>
        <v>342.90701355833721</v>
      </c>
      <c r="K127" s="243"/>
      <c r="L127" s="243">
        <f t="shared" ref="L127:P127" ca="1" si="85">IFERROR(AVERAGE(L122,L117,L112),"")</f>
        <v>37.167121979126058</v>
      </c>
      <c r="M127" s="243" t="str">
        <f t="shared" ca="1" si="85"/>
        <v/>
      </c>
      <c r="N127" s="243">
        <f t="shared" ca="1" si="85"/>
        <v>37.167121979126058</v>
      </c>
      <c r="O127" s="243">
        <f t="shared" ca="1" si="85"/>
        <v>88.417460891246904</v>
      </c>
      <c r="P127" s="510">
        <f t="shared" ca="1" si="85"/>
        <v>217.32243068796421</v>
      </c>
    </row>
    <row r="128" spans="2:16" x14ac:dyDescent="0.25">
      <c r="B128" s="121" t="s">
        <v>486</v>
      </c>
      <c r="F128" s="243">
        <f t="shared" ref="F128:J128" ca="1" si="86">IFERROR(AVERAGE(F123,F118,F113),"")</f>
        <v>28.616816706622537</v>
      </c>
      <c r="G128" s="243">
        <f t="shared" ca="1" si="86"/>
        <v>43.793206607216675</v>
      </c>
      <c r="H128" s="243">
        <f t="shared" ca="1" si="86"/>
        <v>56.152891746952847</v>
      </c>
      <c r="I128" s="243">
        <f t="shared" ca="1" si="86"/>
        <v>66.756288581794195</v>
      </c>
      <c r="J128" s="243">
        <f t="shared" ca="1" si="86"/>
        <v>379.69096351429982</v>
      </c>
      <c r="K128" s="243"/>
      <c r="L128" s="243">
        <f t="shared" ref="L128:P128" ca="1" si="87">IFERROR(AVERAGE(L123,L118,L113),"")</f>
        <v>28.616816706622537</v>
      </c>
      <c r="M128" s="243">
        <f t="shared" ca="1" si="87"/>
        <v>15.176389900594137</v>
      </c>
      <c r="N128" s="243">
        <f t="shared" ca="1" si="87"/>
        <v>12.359685139736179</v>
      </c>
      <c r="O128" s="243">
        <f t="shared" ca="1" si="87"/>
        <v>10.603396834841352</v>
      </c>
      <c r="P128" s="510">
        <f t="shared" ca="1" si="87"/>
        <v>312.93467493250557</v>
      </c>
    </row>
    <row r="129" spans="1:16" x14ac:dyDescent="0.25">
      <c r="B129" s="121" t="s">
        <v>487</v>
      </c>
      <c r="F129" s="243">
        <f t="shared" ref="F129:J129" ca="1" si="88">IFERROR(AVERAGE(F124,F119,F114),"")</f>
        <v>22.337328491265257</v>
      </c>
      <c r="G129" s="243">
        <f t="shared" ca="1" si="88"/>
        <v>34.85685894607937</v>
      </c>
      <c r="H129" s="243">
        <f t="shared" ca="1" si="88"/>
        <v>65.026108219662589</v>
      </c>
      <c r="I129" s="243">
        <f t="shared" ca="1" si="88"/>
        <v>76.069395041324412</v>
      </c>
      <c r="J129" s="243">
        <f t="shared" ca="1" si="88"/>
        <v>178.56133613146253</v>
      </c>
      <c r="K129" s="243"/>
      <c r="L129" s="243">
        <f t="shared" ref="L129:P129" ca="1" si="89">IFERROR(AVERAGE(L124,L119,L114),"")</f>
        <v>22.337328491265257</v>
      </c>
      <c r="M129" s="243">
        <f t="shared" ca="1" si="89"/>
        <v>12.519530454814108</v>
      </c>
      <c r="N129" s="243">
        <f t="shared" ca="1" si="89"/>
        <v>30.169249273583215</v>
      </c>
      <c r="O129" s="243">
        <f t="shared" ca="1" si="89"/>
        <v>11.043286821661839</v>
      </c>
      <c r="P129" s="510">
        <f t="shared" ca="1" si="89"/>
        <v>102.49194109013813</v>
      </c>
    </row>
    <row r="130" spans="1:16" x14ac:dyDescent="0.25">
      <c r="B130" s="121"/>
      <c r="P130" s="120"/>
    </row>
    <row r="131" spans="1:16" x14ac:dyDescent="0.25">
      <c r="B131" s="121" t="s">
        <v>558</v>
      </c>
      <c r="F131" s="579">
        <v>20.860420390898511</v>
      </c>
      <c r="G131" s="579">
        <v>25.10299470384556</v>
      </c>
      <c r="H131" s="579">
        <v>29.93388056793075</v>
      </c>
      <c r="I131" s="579">
        <v>35.690848016491245</v>
      </c>
      <c r="J131" s="579">
        <v>42.393803885119198</v>
      </c>
      <c r="L131" s="243">
        <f>MIN(F131)</f>
        <v>20.860420390898511</v>
      </c>
      <c r="M131" s="243">
        <f t="shared" ref="M131:N133" si="90">IFERROR(G131-F131,G131)</f>
        <v>4.242574312947049</v>
      </c>
      <c r="N131" s="243">
        <f t="shared" si="90"/>
        <v>4.8308858640851895</v>
      </c>
      <c r="O131" s="243">
        <f t="shared" ref="O131:P133" si="91">I131-H131</f>
        <v>5.7569674485604949</v>
      </c>
      <c r="P131" s="510">
        <f t="shared" si="91"/>
        <v>6.7029558686279529</v>
      </c>
    </row>
    <row r="132" spans="1:16" x14ac:dyDescent="0.25">
      <c r="B132" s="121" t="s">
        <v>489</v>
      </c>
      <c r="F132" s="581">
        <f ca="1">_xlfn.QUARTILE.INC(Valuation!$I$175:$I$181,0)</f>
        <v>33.627649819072758</v>
      </c>
      <c r="G132" s="581">
        <f ca="1">_xlfn.QUARTILE.INC(Valuation!$I$175:$I$181,1)</f>
        <v>40.073925049514457</v>
      </c>
      <c r="H132" s="581">
        <f ca="1">_xlfn.QUARTILE.INC(Valuation!$I$175:$I$181,2)</f>
        <v>47.649077545082513</v>
      </c>
      <c r="I132" s="581">
        <f ca="1">_xlfn.QUARTILE.INC(Valuation!$I$175:$I$181,3)</f>
        <v>57.111045395797277</v>
      </c>
      <c r="J132" s="581">
        <f ca="1">_xlfn.QUARTILE.INC(Valuation!$I$175:$I$181,4)</f>
        <v>68.63710085567584</v>
      </c>
      <c r="L132" s="243">
        <f ca="1">MIN(F132)</f>
        <v>33.627649819072758</v>
      </c>
      <c r="M132" s="243">
        <f t="shared" ca="1" si="90"/>
        <v>6.4462752304416995</v>
      </c>
      <c r="N132" s="243">
        <f t="shared" ca="1" si="90"/>
        <v>7.5751524955680551</v>
      </c>
      <c r="O132" s="243">
        <f t="shared" ca="1" si="91"/>
        <v>9.461967850714764</v>
      </c>
      <c r="P132" s="510">
        <f t="shared" ca="1" si="91"/>
        <v>11.526055459878563</v>
      </c>
    </row>
    <row r="133" spans="1:16" x14ac:dyDescent="0.25">
      <c r="B133" s="121" t="s">
        <v>559</v>
      </c>
      <c r="F133" s="579">
        <v>51.522007979182234</v>
      </c>
      <c r="G133" s="579">
        <v>61.420805135672964</v>
      </c>
      <c r="H133" s="579">
        <v>73.488656239082815</v>
      </c>
      <c r="I133" s="579">
        <v>89.453925403933852</v>
      </c>
      <c r="J133" s="579">
        <v>110.0647576900179</v>
      </c>
      <c r="L133" s="243">
        <f>MIN(F133)</f>
        <v>51.522007979182234</v>
      </c>
      <c r="M133" s="243">
        <f t="shared" si="90"/>
        <v>9.8987971564907298</v>
      </c>
      <c r="N133" s="243">
        <f t="shared" si="90"/>
        <v>12.067851103409851</v>
      </c>
      <c r="O133" s="243">
        <f t="shared" si="91"/>
        <v>15.965269164851037</v>
      </c>
      <c r="P133" s="510">
        <f t="shared" si="91"/>
        <v>20.610832286084047</v>
      </c>
    </row>
    <row r="134" spans="1:16" x14ac:dyDescent="0.25">
      <c r="B134" s="121"/>
      <c r="P134" s="120"/>
    </row>
    <row r="135" spans="1:16" x14ac:dyDescent="0.25">
      <c r="B135" s="121" t="s">
        <v>491</v>
      </c>
      <c r="F135" s="243">
        <f t="shared" ref="F135:P135" ca="1" si="92">AVERAGE(F111:F124)</f>
        <v>24.84912377740817</v>
      </c>
      <c r="G135" s="243">
        <f t="shared" ca="1" si="92"/>
        <v>38.431398010534288</v>
      </c>
      <c r="H135" s="243">
        <f t="shared" ca="1" si="92"/>
        <v>40.400080261813201</v>
      </c>
      <c r="I135" s="243">
        <f t="shared" ca="1" si="92"/>
        <v>74.183199535990198</v>
      </c>
      <c r="J135" s="243">
        <f t="shared" ca="1" si="92"/>
        <v>248.05115380312171</v>
      </c>
      <c r="K135" s="243"/>
      <c r="L135" s="243">
        <f ca="1">AVERAGE(L111:L124)</f>
        <v>23.751126692190237</v>
      </c>
      <c r="M135" s="243">
        <f t="shared" ca="1" si="92"/>
        <v>13.582274233126117</v>
      </c>
      <c r="N135" s="243">
        <f t="shared" ca="1" si="92"/>
        <v>22.931262984297611</v>
      </c>
      <c r="O135" s="243">
        <f t="shared" ca="1" si="92"/>
        <v>33.783119274177004</v>
      </c>
      <c r="P135" s="510">
        <f t="shared" ca="1" si="92"/>
        <v>173.86795426713152</v>
      </c>
    </row>
    <row r="136" spans="1:16" ht="13" thickBot="1" x14ac:dyDescent="0.3">
      <c r="B136" s="124" t="s">
        <v>492</v>
      </c>
      <c r="C136" s="119"/>
      <c r="D136" s="119"/>
      <c r="E136" s="119"/>
      <c r="F136" s="511">
        <f ca="1">AVERAGE(F131:F133)</f>
        <v>35.336692729717832</v>
      </c>
      <c r="G136" s="511">
        <f t="shared" ref="G136:P136" ca="1" si="93">AVERAGE(G131:G133)</f>
        <v>42.199241629677658</v>
      </c>
      <c r="H136" s="511">
        <f t="shared" ca="1" si="93"/>
        <v>50.357204784032028</v>
      </c>
      <c r="I136" s="511">
        <f t="shared" ca="1" si="93"/>
        <v>60.751939605407451</v>
      </c>
      <c r="J136" s="511">
        <f t="shared" ca="1" si="93"/>
        <v>73.698554143604312</v>
      </c>
      <c r="K136" s="119"/>
      <c r="L136" s="511">
        <f t="shared" ca="1" si="93"/>
        <v>35.336692729717832</v>
      </c>
      <c r="M136" s="511">
        <f t="shared" ca="1" si="93"/>
        <v>6.8625488999598261</v>
      </c>
      <c r="N136" s="511">
        <f t="shared" ca="1" si="93"/>
        <v>8.1579631543543645</v>
      </c>
      <c r="O136" s="511">
        <f t="shared" ca="1" si="93"/>
        <v>10.394734821375431</v>
      </c>
      <c r="P136" s="512">
        <f t="shared" ca="1" si="93"/>
        <v>12.946614538196854</v>
      </c>
    </row>
    <row r="142" spans="1:16" x14ac:dyDescent="0.25">
      <c r="A142" t="s">
        <v>22</v>
      </c>
    </row>
    <row r="182" spans="4:13" x14ac:dyDescent="0.25">
      <c r="D182" s="205"/>
      <c r="E182" s="205"/>
      <c r="F182" s="205"/>
      <c r="G182" s="205"/>
      <c r="H182" s="205"/>
      <c r="I182" s="205"/>
      <c r="J182" s="205"/>
      <c r="K182" s="205"/>
      <c r="L182" s="205"/>
      <c r="M182" s="205"/>
    </row>
    <row r="200" spans="4:13" x14ac:dyDescent="0.25">
      <c r="D200" s="205"/>
      <c r="E200" s="205"/>
      <c r="F200" s="205"/>
      <c r="G200" s="205"/>
      <c r="H200" s="205"/>
      <c r="I200" s="205"/>
      <c r="J200" s="205"/>
      <c r="K200" s="205"/>
      <c r="L200" s="205"/>
      <c r="M200" s="205"/>
    </row>
  </sheetData>
  <conditionalFormatting sqref="F44:AA62 F63:U63 W63:AA75 G64:U65 F66:U75 F76:AA83">
    <cfRule type="cellIs" dxfId="0" priority="1" operator="lessThan">
      <formula>0</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BAD9B-4E77-4B3C-B76C-89AEF358950C}">
  <sheetPr>
    <tabColor theme="8" tint="0.79998168889431442"/>
  </sheetPr>
  <dimension ref="A2:T195"/>
  <sheetViews>
    <sheetView showGridLines="0" zoomScale="85" zoomScaleNormal="85" workbookViewId="0">
      <selection activeCell="E10" sqref="E10"/>
    </sheetView>
  </sheetViews>
  <sheetFormatPr defaultColWidth="8.7265625" defaultRowHeight="12.5" outlineLevelRow="1" x14ac:dyDescent="0.25"/>
  <cols>
    <col min="1" max="1" width="2.26953125" customWidth="1"/>
    <col min="2" max="2" width="35.26953125" customWidth="1"/>
    <col min="4" max="4" width="10.453125" bestFit="1" customWidth="1"/>
    <col min="5" max="5" width="11.26953125" bestFit="1" customWidth="1"/>
    <col min="6" max="6" width="12.26953125" bestFit="1" customWidth="1"/>
    <col min="7" max="7" width="12.1796875" bestFit="1" customWidth="1"/>
    <col min="8" max="11" width="11.26953125" bestFit="1" customWidth="1"/>
    <col min="12" max="12" width="12.1796875" bestFit="1" customWidth="1"/>
    <col min="14" max="15" width="9.453125" customWidth="1"/>
  </cols>
  <sheetData>
    <row r="2" spans="1:20" s="33" customFormat="1" ht="18" x14ac:dyDescent="0.4">
      <c r="A2" s="33" t="s">
        <v>22</v>
      </c>
      <c r="B2" s="47" t="s">
        <v>560</v>
      </c>
      <c r="C2" s="47"/>
      <c r="D2" s="47"/>
      <c r="E2" s="47"/>
      <c r="F2" s="47"/>
      <c r="G2" s="47"/>
      <c r="H2" s="47"/>
      <c r="I2" s="47"/>
      <c r="J2" s="47"/>
      <c r="K2" s="47"/>
      <c r="L2" s="47"/>
      <c r="M2"/>
      <c r="N2"/>
      <c r="O2"/>
      <c r="P2"/>
      <c r="Q2"/>
      <c r="R2"/>
      <c r="S2"/>
      <c r="T2"/>
    </row>
    <row r="4" spans="1:20" s="33" customFormat="1" ht="18" x14ac:dyDescent="0.4">
      <c r="A4" s="33" t="s">
        <v>22</v>
      </c>
      <c r="B4" s="47" t="s">
        <v>561</v>
      </c>
      <c r="C4" s="47"/>
      <c r="D4" s="47"/>
      <c r="E4" s="47"/>
      <c r="F4" s="47"/>
      <c r="G4" s="47"/>
      <c r="H4" s="47"/>
      <c r="I4" s="47"/>
      <c r="J4" s="47"/>
      <c r="K4" s="47"/>
      <c r="L4" s="47"/>
      <c r="M4"/>
      <c r="N4"/>
      <c r="O4"/>
      <c r="P4"/>
      <c r="Q4"/>
      <c r="R4"/>
      <c r="S4"/>
      <c r="T4"/>
    </row>
    <row r="6" spans="1:20" x14ac:dyDescent="0.25">
      <c r="B6" t="s">
        <v>418</v>
      </c>
      <c r="D6" s="534">
        <f>DATE(2025,11,1)</f>
        <v>45962</v>
      </c>
      <c r="H6" t="s">
        <v>562</v>
      </c>
    </row>
    <row r="7" spans="1:20" x14ac:dyDescent="0.25">
      <c r="B7" t="s">
        <v>563</v>
      </c>
      <c r="D7" s="486">
        <f>DATE(2025,12,31)</f>
        <v>46022</v>
      </c>
      <c r="H7" s="341" t="s">
        <v>564</v>
      </c>
      <c r="L7" s="485">
        <v>0.01</v>
      </c>
    </row>
    <row r="8" spans="1:20" x14ac:dyDescent="0.25">
      <c r="H8" s="341" t="s">
        <v>565</v>
      </c>
      <c r="K8" s="126"/>
      <c r="L8" s="485">
        <v>1.4999999999999999E-2</v>
      </c>
    </row>
    <row r="9" spans="1:20" x14ac:dyDescent="0.25">
      <c r="B9" t="s">
        <v>566</v>
      </c>
      <c r="D9" s="502" t="str" cm="1">
        <f t="array" ref="D9">INDEX(WACC!F33:F35,Valuation!$E$9)</f>
        <v>Worst Case</v>
      </c>
      <c r="E9">
        <v>3</v>
      </c>
      <c r="H9" s="341" t="s">
        <v>567</v>
      </c>
      <c r="K9" s="126"/>
      <c r="L9" s="485">
        <f>L114</f>
        <v>2.9709657157492377E-2</v>
      </c>
    </row>
    <row r="10" spans="1:20" x14ac:dyDescent="0.25">
      <c r="B10" t="s">
        <v>568</v>
      </c>
      <c r="D10" s="485">
        <f>MIN(MAX(INDEX(L7:L10,Valuation!$E$10),0),L129-0.01%)</f>
        <v>0.02</v>
      </c>
      <c r="E10">
        <v>4</v>
      </c>
      <c r="H10" s="341" t="s">
        <v>569</v>
      </c>
      <c r="L10" s="538">
        <v>0.02</v>
      </c>
    </row>
    <row r="12" spans="1:20" s="33" customFormat="1" ht="18" x14ac:dyDescent="0.4">
      <c r="A12" s="33" t="s">
        <v>22</v>
      </c>
      <c r="B12" s="47" t="s">
        <v>570</v>
      </c>
      <c r="C12" s="47"/>
      <c r="D12" s="47"/>
      <c r="E12" s="47"/>
      <c r="F12" s="47"/>
      <c r="G12" s="47"/>
      <c r="H12" s="47"/>
      <c r="I12" s="47"/>
      <c r="J12" s="47"/>
      <c r="K12" s="47"/>
      <c r="L12" s="47"/>
      <c r="M12"/>
      <c r="N12"/>
      <c r="O12"/>
      <c r="P12"/>
      <c r="Q12"/>
      <c r="R12"/>
      <c r="S12"/>
      <c r="T12"/>
    </row>
    <row r="13" spans="1:20" s="33" customFormat="1" hidden="1" outlineLevel="1" x14ac:dyDescent="0.25">
      <c r="L13"/>
      <c r="M13"/>
      <c r="N13"/>
      <c r="O13"/>
      <c r="P13"/>
      <c r="Q13"/>
      <c r="R13"/>
      <c r="S13"/>
      <c r="T13"/>
    </row>
    <row r="14" spans="1:20" s="33" customFormat="1" ht="13" hidden="1" outlineLevel="1" x14ac:dyDescent="0.3">
      <c r="B14" s="49" t="s">
        <v>57</v>
      </c>
      <c r="C14" s="49"/>
      <c r="D14" s="49"/>
      <c r="E14" s="49"/>
      <c r="F14" s="49"/>
      <c r="G14" s="49"/>
      <c r="H14" s="49"/>
      <c r="I14" s="49"/>
      <c r="J14" s="49"/>
      <c r="K14" s="49"/>
      <c r="L14" s="49"/>
      <c r="M14"/>
      <c r="N14"/>
      <c r="O14"/>
      <c r="P14"/>
      <c r="Q14"/>
      <c r="R14"/>
      <c r="S14"/>
      <c r="T14"/>
    </row>
    <row r="15" spans="1:20" s="33" customFormat="1" ht="13" hidden="1" outlineLevel="1" x14ac:dyDescent="0.3">
      <c r="B15" s="1" t="s">
        <v>58</v>
      </c>
      <c r="L15"/>
      <c r="M15"/>
      <c r="N15"/>
      <c r="O15"/>
      <c r="P15"/>
      <c r="Q15"/>
      <c r="R15"/>
      <c r="S15"/>
      <c r="T15"/>
    </row>
    <row r="16" spans="1:20" s="41" customFormat="1" ht="13" hidden="1" outlineLevel="1" x14ac:dyDescent="0.3">
      <c r="E16" s="156">
        <v>2024</v>
      </c>
      <c r="F16" s="157">
        <v>2025</v>
      </c>
      <c r="G16" s="157">
        <v>2026</v>
      </c>
      <c r="H16" s="157">
        <v>2027</v>
      </c>
      <c r="I16" s="157">
        <v>2028</v>
      </c>
      <c r="J16" s="157">
        <v>2029</v>
      </c>
      <c r="K16" s="157">
        <v>2030</v>
      </c>
      <c r="L16" s="157">
        <f>+K16+1</f>
        <v>2031</v>
      </c>
      <c r="M16" s="207"/>
      <c r="N16" s="207"/>
      <c r="O16" s="207"/>
      <c r="P16" s="207"/>
      <c r="Q16" s="207"/>
      <c r="R16" s="207"/>
      <c r="S16" s="207"/>
      <c r="T16" s="207"/>
    </row>
    <row r="17" spans="2:20" s="41" customFormat="1" ht="13.5" hidden="1" outlineLevel="1" thickBot="1" x14ac:dyDescent="0.35">
      <c r="B17" s="73"/>
      <c r="C17" s="73"/>
      <c r="D17" s="73"/>
      <c r="E17" s="158">
        <v>2024</v>
      </c>
      <c r="F17" s="159">
        <v>2025</v>
      </c>
      <c r="G17" s="159">
        <v>2026</v>
      </c>
      <c r="H17" s="159">
        <v>2027</v>
      </c>
      <c r="I17" s="159">
        <v>2028</v>
      </c>
      <c r="J17" s="159">
        <v>2029</v>
      </c>
      <c r="K17" s="159">
        <v>2030</v>
      </c>
      <c r="L17" s="159">
        <f>+K17+1</f>
        <v>2031</v>
      </c>
      <c r="M17" s="207"/>
      <c r="N17" s="207"/>
      <c r="O17" s="207"/>
      <c r="P17" s="207"/>
      <c r="Q17" s="207"/>
      <c r="R17" s="207"/>
      <c r="S17" s="207"/>
      <c r="T17" s="207"/>
    </row>
    <row r="18" spans="2:20" s="33" customFormat="1" hidden="1" outlineLevel="1" x14ac:dyDescent="0.25">
      <c r="B18" s="50" t="s">
        <v>59</v>
      </c>
      <c r="E18" s="357">
        <f>'Main Financials'!N8</f>
        <v>56232.000000000007</v>
      </c>
      <c r="F18" s="357">
        <f>'Main Financials'!O8</f>
        <v>57595.111393800573</v>
      </c>
      <c r="G18" s="357">
        <f>'Main Financials'!P8</f>
        <v>60205.869717830421</v>
      </c>
      <c r="H18" s="357">
        <f>'Main Financials'!Q8</f>
        <v>62404.000476570101</v>
      </c>
      <c r="I18" s="357">
        <f>'Main Financials'!R8</f>
        <v>63485.794161762096</v>
      </c>
      <c r="J18" s="357">
        <f>'Main Financials'!S8</f>
        <v>66042.051939475044</v>
      </c>
      <c r="K18" s="357">
        <f>'Main Financials'!T8</f>
        <v>63615.972187744723</v>
      </c>
      <c r="L18" s="357">
        <f>'Main Financials'!U8</f>
        <v>65725.275351598379</v>
      </c>
      <c r="M18"/>
      <c r="N18"/>
      <c r="O18"/>
      <c r="P18"/>
      <c r="Q18"/>
      <c r="R18"/>
      <c r="S18"/>
      <c r="T18"/>
    </row>
    <row r="19" spans="2:20" s="33" customFormat="1" hidden="1" outlineLevel="1" x14ac:dyDescent="0.25">
      <c r="B19" s="33" t="s">
        <v>60</v>
      </c>
      <c r="E19" s="357">
        <f>'Main Financials'!N9</f>
        <v>-41332</v>
      </c>
      <c r="F19" s="357">
        <f>'Main Financials'!O9</f>
        <v>-40730.818529937555</v>
      </c>
      <c r="G19" s="357">
        <f>'Main Financials'!P9</f>
        <v>-42301.955159107776</v>
      </c>
      <c r="H19" s="357">
        <f>'Main Financials'!Q9</f>
        <v>-43958.884494122845</v>
      </c>
      <c r="I19" s="357">
        <f>'Main Financials'!R9</f>
        <v>-44767.302838025411</v>
      </c>
      <c r="J19" s="357">
        <f>'Main Financials'!S9</f>
        <v>-46492.073880386008</v>
      </c>
      <c r="K19" s="357">
        <f>'Main Financials'!T9</f>
        <v>-44247.22661202553</v>
      </c>
      <c r="L19" s="357">
        <f>'Main Financials'!U9</f>
        <v>-45576.102943553553</v>
      </c>
      <c r="M19"/>
      <c r="N19"/>
      <c r="O19"/>
      <c r="P19"/>
      <c r="Q19"/>
      <c r="R19"/>
      <c r="S19"/>
      <c r="T19"/>
    </row>
    <row r="20" spans="2:20" s="33" customFormat="1" hidden="1" outlineLevel="1" x14ac:dyDescent="0.25">
      <c r="B20" s="88" t="s">
        <v>61</v>
      </c>
      <c r="C20" s="88"/>
      <c r="D20" s="88"/>
      <c r="E20" s="271">
        <f>SUM(E18:E19)</f>
        <v>14900.000000000007</v>
      </c>
      <c r="F20" s="271">
        <f t="shared" ref="F20:K20" si="0">SUM(F18:F19)</f>
        <v>16864.292863863018</v>
      </c>
      <c r="G20" s="271">
        <f t="shared" si="0"/>
        <v>17903.914558722645</v>
      </c>
      <c r="H20" s="271">
        <f t="shared" si="0"/>
        <v>18445.115982447256</v>
      </c>
      <c r="I20" s="271">
        <f t="shared" si="0"/>
        <v>18718.491323736685</v>
      </c>
      <c r="J20" s="271">
        <f t="shared" si="0"/>
        <v>19549.978059089037</v>
      </c>
      <c r="K20" s="271">
        <f t="shared" si="0"/>
        <v>19368.745575719193</v>
      </c>
      <c r="L20" s="271">
        <f t="shared" ref="L20" si="1">SUM(L18:L19)</f>
        <v>20149.172408044826</v>
      </c>
      <c r="M20"/>
      <c r="N20"/>
      <c r="O20"/>
      <c r="P20"/>
      <c r="Q20"/>
      <c r="R20"/>
      <c r="S20"/>
      <c r="T20"/>
    </row>
    <row r="21" spans="2:20" s="33" customFormat="1" hidden="1" outlineLevel="1" x14ac:dyDescent="0.25">
      <c r="B21" s="33" t="s">
        <v>62</v>
      </c>
      <c r="E21" s="357">
        <f>'Main Financials'!N11</f>
        <v>-9154</v>
      </c>
      <c r="F21" s="357">
        <f>'Main Financials'!O11</f>
        <v>-10007.35755016224</v>
      </c>
      <c r="G21" s="357">
        <f>'Main Financials'!P11</f>
        <v>-10682.17024998785</v>
      </c>
      <c r="H21" s="357">
        <f>'Main Financials'!Q11</f>
        <v>-11001.030430717212</v>
      </c>
      <c r="I21" s="357">
        <f>'Main Financials'!R11</f>
        <v>-11083.060450444786</v>
      </c>
      <c r="J21" s="357">
        <f>'Main Financials'!S11</f>
        <v>-11632.474426715418</v>
      </c>
      <c r="K21" s="357">
        <f>'Main Financials'!T11</f>
        <v>-11583.78692479245</v>
      </c>
      <c r="L21" s="357">
        <f>'Main Financials'!U11</f>
        <v>-12050.705020810354</v>
      </c>
      <c r="M21"/>
      <c r="N21"/>
      <c r="O21"/>
      <c r="P21"/>
      <c r="Q21"/>
      <c r="R21"/>
      <c r="S21"/>
      <c r="T21"/>
    </row>
    <row r="22" spans="2:20" s="33" customFormat="1" hidden="1" outlineLevel="1" x14ac:dyDescent="0.25">
      <c r="B22" s="88" t="s">
        <v>63</v>
      </c>
      <c r="C22" s="88"/>
      <c r="D22" s="88"/>
      <c r="E22" s="271">
        <f>SUM(E20:E21)</f>
        <v>5746.0000000000073</v>
      </c>
      <c r="F22" s="271">
        <f t="shared" ref="F22:K22" si="2">SUM(F20:F21)</f>
        <v>6856.9353137007784</v>
      </c>
      <c r="G22" s="271">
        <f t="shared" si="2"/>
        <v>7221.7443087347947</v>
      </c>
      <c r="H22" s="271">
        <f t="shared" si="2"/>
        <v>7444.0855517300442</v>
      </c>
      <c r="I22" s="271">
        <f t="shared" si="2"/>
        <v>7635.4308732918998</v>
      </c>
      <c r="J22" s="271">
        <f t="shared" si="2"/>
        <v>7917.5036323736185</v>
      </c>
      <c r="K22" s="271">
        <f t="shared" si="2"/>
        <v>7784.9586509267428</v>
      </c>
      <c r="L22" s="271">
        <f t="shared" ref="L22" si="3">SUM(L20:L21)</f>
        <v>8098.467387234472</v>
      </c>
      <c r="M22"/>
      <c r="N22"/>
      <c r="O22"/>
      <c r="P22"/>
      <c r="Q22"/>
      <c r="R22"/>
      <c r="S22"/>
      <c r="T22"/>
    </row>
    <row r="23" spans="2:20" s="33" customFormat="1" hidden="1" outlineLevel="1" x14ac:dyDescent="0.25">
      <c r="B23" s="33" t="s">
        <v>64</v>
      </c>
      <c r="E23" s="357">
        <f>'Main Financials'!N13</f>
        <v>-2120</v>
      </c>
      <c r="F23" s="357">
        <f>'Main Financials'!O13</f>
        <v>-2303.8044557520229</v>
      </c>
      <c r="G23" s="357">
        <f>'Main Financials'!P13</f>
        <v>-2408.2347887132169</v>
      </c>
      <c r="H23" s="357">
        <f>'Main Financials'!Q13</f>
        <v>-2496.1600190628042</v>
      </c>
      <c r="I23" s="357">
        <f>'Main Financials'!R13</f>
        <v>-2539.431766470484</v>
      </c>
      <c r="J23" s="357">
        <f>'Main Financials'!S13</f>
        <v>-2641.682077579002</v>
      </c>
      <c r="K23" s="357">
        <f>'Main Financials'!T13</f>
        <v>-2544.6388875097891</v>
      </c>
      <c r="L23" s="357">
        <f>'Main Financials'!U13</f>
        <v>-2629.0110140639354</v>
      </c>
      <c r="M23"/>
      <c r="N23"/>
      <c r="O23"/>
      <c r="P23"/>
      <c r="Q23"/>
      <c r="R23"/>
      <c r="S23"/>
      <c r="T23"/>
    </row>
    <row r="24" spans="2:20" s="33" customFormat="1" hidden="1" outlineLevel="1" x14ac:dyDescent="0.25">
      <c r="B24" s="33" t="s">
        <v>65</v>
      </c>
      <c r="E24" s="50">
        <f>'Main Financials'!N14</f>
        <v>0</v>
      </c>
      <c r="F24" s="50">
        <f>'Main Financials'!O14</f>
        <v>0</v>
      </c>
      <c r="G24" s="50">
        <f>'Main Financials'!P14</f>
        <v>0</v>
      </c>
      <c r="H24" s="50">
        <f>'Main Financials'!Q14</f>
        <v>0</v>
      </c>
      <c r="I24" s="50">
        <f>'Main Financials'!R14</f>
        <v>0</v>
      </c>
      <c r="J24" s="50">
        <f>'Main Financials'!S14</f>
        <v>0</v>
      </c>
      <c r="K24" s="50">
        <f>'Main Financials'!T14</f>
        <v>0</v>
      </c>
      <c r="L24" s="50">
        <f>'Main Financials'!U14</f>
        <v>0</v>
      </c>
      <c r="M24"/>
      <c r="N24"/>
      <c r="O24"/>
      <c r="P24"/>
      <c r="Q24"/>
      <c r="R24"/>
      <c r="S24"/>
      <c r="T24"/>
    </row>
    <row r="25" spans="2:20" s="33" customFormat="1" hidden="1" outlineLevel="1" x14ac:dyDescent="0.25">
      <c r="B25" s="88" t="s">
        <v>66</v>
      </c>
      <c r="C25" s="88"/>
      <c r="D25" s="88"/>
      <c r="E25" s="271">
        <f>SUM(E22:E24)</f>
        <v>3626.0000000000073</v>
      </c>
      <c r="F25" s="271">
        <f t="shared" ref="F25:K25" si="4">SUM(F22:F24)</f>
        <v>4553.1308579487559</v>
      </c>
      <c r="G25" s="271">
        <f t="shared" si="4"/>
        <v>4813.5095200215783</v>
      </c>
      <c r="H25" s="271">
        <f t="shared" si="4"/>
        <v>4947.9255326672401</v>
      </c>
      <c r="I25" s="271">
        <f t="shared" si="4"/>
        <v>5095.9991068214158</v>
      </c>
      <c r="J25" s="271">
        <f t="shared" si="4"/>
        <v>5275.8215547946165</v>
      </c>
      <c r="K25" s="271">
        <f t="shared" si="4"/>
        <v>5240.3197634169537</v>
      </c>
      <c r="L25" s="271">
        <f t="shared" ref="L25" si="5">SUM(L22:L24)</f>
        <v>5469.4563731705366</v>
      </c>
      <c r="M25"/>
      <c r="N25"/>
      <c r="O25"/>
      <c r="P25"/>
      <c r="Q25"/>
      <c r="R25"/>
      <c r="S25"/>
      <c r="T25"/>
    </row>
    <row r="26" spans="2:20" s="33" customFormat="1" hidden="1" outlineLevel="1" x14ac:dyDescent="0.25">
      <c r="B26" s="33" t="s">
        <v>67</v>
      </c>
      <c r="E26" s="357">
        <f>'Main Financials'!N16</f>
        <v>-1048</v>
      </c>
      <c r="F26" s="357">
        <f>'Main Financials'!O16</f>
        <v>-1439.8777848450145</v>
      </c>
      <c r="G26" s="357">
        <f>'Main Financials'!P16</f>
        <v>-1505.1467429457607</v>
      </c>
      <c r="H26" s="357">
        <f>'Main Financials'!Q16</f>
        <v>-1560.1000119142527</v>
      </c>
      <c r="I26" s="357">
        <f>'Main Financials'!R16</f>
        <v>-1587.1448540440524</v>
      </c>
      <c r="J26" s="357">
        <f>'Main Financials'!S16</f>
        <v>-1651.0512984868762</v>
      </c>
      <c r="K26" s="357">
        <f>'Main Financials'!T16</f>
        <v>-1590.3993046936182</v>
      </c>
      <c r="L26" s="357">
        <f>'Main Financials'!U16</f>
        <v>-1643.1318837899596</v>
      </c>
      <c r="M26"/>
      <c r="N26"/>
      <c r="O26"/>
      <c r="P26"/>
      <c r="Q26"/>
      <c r="R26"/>
      <c r="S26"/>
      <c r="T26"/>
    </row>
    <row r="27" spans="2:20" s="33" customFormat="1" hidden="1" outlineLevel="1" x14ac:dyDescent="0.25">
      <c r="B27" s="88" t="s">
        <v>68</v>
      </c>
      <c r="C27" s="88"/>
      <c r="D27" s="88"/>
      <c r="E27" s="271">
        <f>SUM(E25:E26)</f>
        <v>2578.0000000000073</v>
      </c>
      <c r="F27" s="271">
        <f t="shared" ref="F27:K27" si="6">SUM(F25:F26)</f>
        <v>3113.2530731037414</v>
      </c>
      <c r="G27" s="271">
        <f t="shared" si="6"/>
        <v>3308.3627770758176</v>
      </c>
      <c r="H27" s="271">
        <f t="shared" si="6"/>
        <v>3387.8255207529874</v>
      </c>
      <c r="I27" s="271">
        <f t="shared" si="6"/>
        <v>3508.8542527773634</v>
      </c>
      <c r="J27" s="271">
        <f t="shared" si="6"/>
        <v>3624.7702563077401</v>
      </c>
      <c r="K27" s="271">
        <f t="shared" si="6"/>
        <v>3649.9204587233353</v>
      </c>
      <c r="L27" s="271">
        <f t="shared" ref="L27" si="7">SUM(L25:L26)</f>
        <v>3826.3244893805768</v>
      </c>
      <c r="M27"/>
      <c r="N27"/>
      <c r="O27"/>
      <c r="P27"/>
      <c r="Q27"/>
      <c r="R27"/>
      <c r="S27"/>
      <c r="T27"/>
    </row>
    <row r="28" spans="2:20" s="33" customFormat="1" hidden="1" outlineLevel="1" x14ac:dyDescent="0.25">
      <c r="E28"/>
      <c r="F28"/>
      <c r="G28"/>
      <c r="H28"/>
      <c r="I28"/>
      <c r="J28"/>
      <c r="K28"/>
      <c r="L28"/>
      <c r="M28"/>
      <c r="N28"/>
      <c r="O28"/>
      <c r="P28"/>
      <c r="Q28"/>
      <c r="R28"/>
      <c r="S28"/>
      <c r="T28"/>
    </row>
    <row r="29" spans="2:20" s="33" customFormat="1" ht="13" hidden="1" outlineLevel="1" x14ac:dyDescent="0.3">
      <c r="B29" s="49" t="s">
        <v>571</v>
      </c>
      <c r="C29" s="49"/>
      <c r="D29" s="49"/>
      <c r="E29" s="49"/>
      <c r="F29" s="49"/>
      <c r="G29" s="49"/>
      <c r="H29" s="49"/>
      <c r="I29" s="49"/>
      <c r="J29" s="49"/>
      <c r="K29" s="49"/>
      <c r="L29" s="49"/>
      <c r="M29"/>
      <c r="N29"/>
      <c r="O29"/>
      <c r="P29"/>
      <c r="Q29"/>
      <c r="R29"/>
      <c r="S29"/>
      <c r="T29"/>
    </row>
    <row r="30" spans="2:20" s="33" customFormat="1" ht="13" hidden="1" outlineLevel="1" x14ac:dyDescent="0.3">
      <c r="B30" s="1" t="s">
        <v>58</v>
      </c>
      <c r="E30" s="63"/>
      <c r="F30" s="63"/>
      <c r="G30" s="63"/>
      <c r="H30" s="63"/>
      <c r="I30" s="63"/>
      <c r="J30" s="63"/>
      <c r="K30" s="63"/>
      <c r="L30"/>
      <c r="M30"/>
      <c r="N30"/>
      <c r="O30"/>
      <c r="P30"/>
      <c r="Q30"/>
      <c r="R30"/>
      <c r="S30"/>
      <c r="T30"/>
    </row>
    <row r="31" spans="2:20" s="41" customFormat="1" ht="13" hidden="1" outlineLevel="1" x14ac:dyDescent="0.3">
      <c r="E31" s="156">
        <v>2024</v>
      </c>
      <c r="F31" s="157">
        <v>2025</v>
      </c>
      <c r="G31" s="157">
        <v>2026</v>
      </c>
      <c r="H31" s="157">
        <v>2027</v>
      </c>
      <c r="I31" s="157">
        <v>2028</v>
      </c>
      <c r="J31" s="157">
        <v>2029</v>
      </c>
      <c r="K31" s="157">
        <v>2030</v>
      </c>
      <c r="L31" s="157">
        <f>+K31+1</f>
        <v>2031</v>
      </c>
      <c r="M31" s="207"/>
      <c r="N31" s="207"/>
      <c r="O31" s="207"/>
      <c r="P31" s="207"/>
      <c r="Q31" s="207"/>
      <c r="R31" s="207"/>
      <c r="S31" s="207"/>
      <c r="T31" s="207"/>
    </row>
    <row r="32" spans="2:20" s="41" customFormat="1" ht="13.5" hidden="1" outlineLevel="1" thickBot="1" x14ac:dyDescent="0.35">
      <c r="B32" s="73"/>
      <c r="C32" s="73"/>
      <c r="D32" s="73"/>
      <c r="E32" s="158">
        <v>2024</v>
      </c>
      <c r="F32" s="159">
        <v>2025</v>
      </c>
      <c r="G32" s="159">
        <v>2026</v>
      </c>
      <c r="H32" s="159">
        <v>2027</v>
      </c>
      <c r="I32" s="159">
        <v>2028</v>
      </c>
      <c r="J32" s="159">
        <v>2029</v>
      </c>
      <c r="K32" s="159">
        <v>2030</v>
      </c>
      <c r="L32" s="159">
        <f>+K32+1</f>
        <v>2031</v>
      </c>
      <c r="M32" s="207"/>
      <c r="N32" s="207"/>
      <c r="O32" s="207"/>
      <c r="P32" s="207"/>
      <c r="Q32" s="207"/>
      <c r="R32" s="207"/>
      <c r="S32" s="207"/>
      <c r="T32" s="207"/>
    </row>
    <row r="33" spans="2:20" s="33" customFormat="1" ht="13" hidden="1" outlineLevel="1" x14ac:dyDescent="0.3">
      <c r="B33" s="175" t="s">
        <v>116</v>
      </c>
      <c r="C33" s="153"/>
      <c r="D33" s="153"/>
      <c r="E33" s="155">
        <f>SUM(E34:E36)</f>
        <v>20078</v>
      </c>
      <c r="F33" s="155">
        <f t="shared" ref="F33:K33" si="8">SUM(F34:F36)</f>
        <v>21987.818151327228</v>
      </c>
      <c r="G33" s="155">
        <f t="shared" si="8"/>
        <v>23917.111087288136</v>
      </c>
      <c r="H33" s="155">
        <f t="shared" si="8"/>
        <v>25948.688987857142</v>
      </c>
      <c r="I33" s="155">
        <f t="shared" si="8"/>
        <v>28011.955691718766</v>
      </c>
      <c r="J33" s="155">
        <f t="shared" si="8"/>
        <v>30215.560422556449</v>
      </c>
      <c r="K33" s="155">
        <f t="shared" si="8"/>
        <v>32290.498115302507</v>
      </c>
      <c r="L33" s="155">
        <f t="shared" ref="L33" si="9">SUM(L34:L36)</f>
        <v>34530.454360448886</v>
      </c>
      <c r="M33"/>
      <c r="N33"/>
      <c r="O33"/>
      <c r="P33"/>
      <c r="Q33"/>
      <c r="R33"/>
      <c r="S33"/>
      <c r="T33"/>
    </row>
    <row r="34" spans="2:20" s="33" customFormat="1" hidden="1" outlineLevel="1" x14ac:dyDescent="0.25">
      <c r="B34" s="60" t="s">
        <v>148</v>
      </c>
      <c r="E34" s="357">
        <f>'Main Financials'!N93</f>
        <v>5164</v>
      </c>
      <c r="F34" s="357">
        <f>'Main Financials'!O93</f>
        <v>5798.7009225442052</v>
      </c>
      <c r="G34" s="357">
        <f>'Main Financials'!P93</f>
        <v>6460.8188071382465</v>
      </c>
      <c r="H34" s="357">
        <f>'Main Financials'!Q93</f>
        <v>7161.8146730973494</v>
      </c>
      <c r="I34" s="357">
        <f>'Main Financials'!R93</f>
        <v>7883.3700742480596</v>
      </c>
      <c r="J34" s="357">
        <f>'Main Financials'!S93</f>
        <v>8645.0336546788785</v>
      </c>
      <c r="K34" s="357">
        <f>'Main Financials'!T93</f>
        <v>9396.0973493377005</v>
      </c>
      <c r="L34" s="357">
        <f>'Main Financials'!U93</f>
        <v>10175.546774488841</v>
      </c>
      <c r="M34"/>
      <c r="N34"/>
      <c r="O34"/>
      <c r="P34"/>
      <c r="Q34"/>
      <c r="R34"/>
      <c r="S34"/>
      <c r="T34"/>
    </row>
    <row r="35" spans="2:20" s="33" customFormat="1" hidden="1" outlineLevel="1" x14ac:dyDescent="0.25">
      <c r="B35" s="60" t="s">
        <v>149</v>
      </c>
      <c r="E35" s="357">
        <f>'Main Financials'!N94</f>
        <v>13861</v>
      </c>
      <c r="F35" s="357">
        <f>'Main Financials'!O94</f>
        <v>15037.21500090701</v>
      </c>
      <c r="G35" s="357">
        <f>'Main Financials'!P94</f>
        <v>16252.17488579328</v>
      </c>
      <c r="H35" s="357">
        <f>'Main Financials'!Q94</f>
        <v>17538.794305228392</v>
      </c>
      <c r="I35" s="357">
        <f>'Main Financials'!R94</f>
        <v>18858.869734235464</v>
      </c>
      <c r="J35" s="357">
        <f>'Main Financials'!S94</f>
        <v>20249.685729088069</v>
      </c>
      <c r="K35" s="357">
        <f>'Main Financials'!T94</f>
        <v>21622.08132220991</v>
      </c>
      <c r="L35" s="357">
        <f>'Main Financials'!U94</f>
        <v>23040.402078928084</v>
      </c>
      <c r="M35"/>
      <c r="N35"/>
      <c r="O35"/>
      <c r="P35"/>
      <c r="Q35"/>
      <c r="R35"/>
      <c r="S35"/>
      <c r="T35"/>
    </row>
    <row r="36" spans="2:20" s="33" customFormat="1" hidden="1" outlineLevel="1" x14ac:dyDescent="0.25">
      <c r="B36" s="60" t="s">
        <v>154</v>
      </c>
      <c r="E36" s="357">
        <f>'Main Financials'!N95</f>
        <v>1053</v>
      </c>
      <c r="F36" s="357">
        <f>'Main Financials'!O95</f>
        <v>1151.9022278760115</v>
      </c>
      <c r="G36" s="357">
        <f>'Main Financials'!P95</f>
        <v>1204.1173943566084</v>
      </c>
      <c r="H36" s="357">
        <f>'Main Financials'!Q95</f>
        <v>1248.0800095314021</v>
      </c>
      <c r="I36" s="357">
        <f>'Main Financials'!R95</f>
        <v>1269.715883235242</v>
      </c>
      <c r="J36" s="357">
        <f>'Main Financials'!S95</f>
        <v>1320.841038789501</v>
      </c>
      <c r="K36" s="357">
        <f>'Main Financials'!T95</f>
        <v>1272.3194437548946</v>
      </c>
      <c r="L36" s="357">
        <f>'Main Financials'!U95</f>
        <v>1314.5055070319677</v>
      </c>
      <c r="M36"/>
      <c r="N36"/>
      <c r="O36"/>
      <c r="P36"/>
      <c r="Q36"/>
      <c r="R36"/>
      <c r="S36"/>
      <c r="T36"/>
    </row>
    <row r="37" spans="2:20" s="33" customFormat="1" hidden="1" outlineLevel="1" x14ac:dyDescent="0.25">
      <c r="B37" s="45"/>
      <c r="E37" s="181"/>
      <c r="F37" s="181"/>
      <c r="G37" s="181"/>
      <c r="H37" s="181"/>
      <c r="I37" s="181"/>
      <c r="J37" s="181"/>
      <c r="K37" s="181"/>
      <c r="L37" s="181"/>
      <c r="M37"/>
      <c r="N37"/>
      <c r="O37"/>
      <c r="P37"/>
      <c r="Q37"/>
      <c r="R37"/>
      <c r="S37"/>
      <c r="T37"/>
    </row>
    <row r="38" spans="2:20" s="33" customFormat="1" ht="13" hidden="1" outlineLevel="1" x14ac:dyDescent="0.3">
      <c r="B38" s="175" t="s">
        <v>117</v>
      </c>
      <c r="C38" s="153"/>
      <c r="D38" s="153"/>
      <c r="E38" s="155">
        <f ca="1">SUM(E39:E45)</f>
        <v>18272.409621983592</v>
      </c>
      <c r="F38" s="155">
        <f t="shared" ref="F38:K38" si="10">SUM(F39:F45)</f>
        <v>18047.10115279688</v>
      </c>
      <c r="G38" s="155">
        <f t="shared" si="10"/>
        <v>18880.600208116848</v>
      </c>
      <c r="H38" s="155">
        <f t="shared" si="10"/>
        <v>19545.750923947526</v>
      </c>
      <c r="I38" s="155">
        <f t="shared" si="10"/>
        <v>19873.869988007486</v>
      </c>
      <c r="J38" s="155">
        <f t="shared" si="10"/>
        <v>20669.538486232199</v>
      </c>
      <c r="K38" s="155">
        <f t="shared" si="10"/>
        <v>19981.009931824352</v>
      </c>
      <c r="L38" s="155">
        <f t="shared" ref="L38" si="11">SUM(L39:L45)</f>
        <v>20647.894785459139</v>
      </c>
      <c r="M38"/>
      <c r="N38"/>
      <c r="O38"/>
      <c r="P38"/>
      <c r="Q38"/>
      <c r="R38"/>
      <c r="S38"/>
      <c r="T38"/>
    </row>
    <row r="39" spans="2:20" s="33" customFormat="1" hidden="1" outlineLevel="1" x14ac:dyDescent="0.25">
      <c r="B39" s="60" t="s">
        <v>156</v>
      </c>
      <c r="E39" s="357">
        <f>'Main Financials'!N98</f>
        <v>5468</v>
      </c>
      <c r="F39" s="357">
        <f>'Main Financials'!O98</f>
        <v>5579.564182183226</v>
      </c>
      <c r="G39" s="357">
        <f>'Main Financials'!P98</f>
        <v>5794.7883779599688</v>
      </c>
      <c r="H39" s="357">
        <f>'Main Financials'!Q98</f>
        <v>6021.7649991949102</v>
      </c>
      <c r="I39" s="357">
        <f>'Main Financials'!R98</f>
        <v>6132.5072380856727</v>
      </c>
      <c r="J39" s="357">
        <f>'Main Financials'!S98</f>
        <v>6368.777243888494</v>
      </c>
      <c r="K39" s="357">
        <f>'Main Financials'!T98</f>
        <v>6061.2639194555513</v>
      </c>
      <c r="L39" s="357">
        <f>'Main Financials'!U98</f>
        <v>6243.3017730895272</v>
      </c>
      <c r="M39"/>
      <c r="N39"/>
      <c r="O39"/>
      <c r="P39"/>
      <c r="Q39"/>
      <c r="R39"/>
      <c r="S39"/>
      <c r="T39"/>
    </row>
    <row r="40" spans="2:20" s="33" customFormat="1" hidden="1" outlineLevel="1" x14ac:dyDescent="0.25">
      <c r="B40" s="60" t="s">
        <v>118</v>
      </c>
      <c r="E40" s="357">
        <f>'Main Financials'!N99</f>
        <v>54355</v>
      </c>
      <c r="F40" s="357">
        <f>'Main Financials'!O99</f>
        <v>53650.240750389574</v>
      </c>
      <c r="G40" s="357">
        <f>'Main Financials'!P99</f>
        <v>56082.180011129705</v>
      </c>
      <c r="H40" s="357">
        <f>'Main Financials'!Q99</f>
        <v>58129.753868585845</v>
      </c>
      <c r="I40" s="357">
        <f>'Main Financials'!R99</f>
        <v>59137.45209588798</v>
      </c>
      <c r="J40" s="357">
        <f>'Main Financials'!S99</f>
        <v>61518.623724442507</v>
      </c>
      <c r="K40" s="357">
        <f>'Main Financials'!T99</f>
        <v>59258.713818721109</v>
      </c>
      <c r="L40" s="357">
        <f>'Main Financials'!U99</f>
        <v>61223.544163132734</v>
      </c>
      <c r="M40"/>
      <c r="N40"/>
      <c r="O40"/>
      <c r="P40"/>
      <c r="Q40"/>
      <c r="R40"/>
      <c r="S40"/>
      <c r="T40"/>
    </row>
    <row r="41" spans="2:20" s="33" customFormat="1" hidden="1" outlineLevel="1" x14ac:dyDescent="0.25">
      <c r="B41" s="60" t="s">
        <v>119</v>
      </c>
      <c r="E41" s="357">
        <f>'Main Financials'!N100</f>
        <v>6137</v>
      </c>
      <c r="F41" s="357">
        <f>'Main Financials'!O100</f>
        <v>6311.7930294575963</v>
      </c>
      <c r="G41" s="357">
        <f>'Main Financials'!P100</f>
        <v>6597.9035307211416</v>
      </c>
      <c r="H41" s="357">
        <f>'Main Financials'!Q100</f>
        <v>6838.7945727748056</v>
      </c>
      <c r="I41" s="357">
        <f>'Main Financials'!R100</f>
        <v>6957.3473053985854</v>
      </c>
      <c r="J41" s="357">
        <f>'Main Financials'!S100</f>
        <v>7237.4851440520597</v>
      </c>
      <c r="K41" s="357">
        <f>'Main Financials'!T100</f>
        <v>6971.6133904377775</v>
      </c>
      <c r="L41" s="357">
        <f>'Main Financials'!U100</f>
        <v>7202.7699015450271</v>
      </c>
      <c r="M41"/>
      <c r="N41"/>
      <c r="O41"/>
      <c r="P41"/>
      <c r="Q41"/>
      <c r="R41"/>
      <c r="S41"/>
      <c r="T41"/>
    </row>
    <row r="42" spans="2:20" s="33" customFormat="1" hidden="1" outlineLevel="1" x14ac:dyDescent="0.25">
      <c r="B42" s="60" t="s">
        <v>161</v>
      </c>
      <c r="E42" s="357">
        <f>'Main Financials'!N101</f>
        <v>356</v>
      </c>
      <c r="F42" s="357">
        <f>'Main Financials'!O101</f>
        <v>324.8</v>
      </c>
      <c r="G42" s="357">
        <f>'Main Financials'!P101</f>
        <v>324.8</v>
      </c>
      <c r="H42" s="357">
        <f>'Main Financials'!Q101</f>
        <v>324.8</v>
      </c>
      <c r="I42" s="357">
        <f>'Main Financials'!R101</f>
        <v>324.8</v>
      </c>
      <c r="J42" s="357">
        <f>'Main Financials'!S101</f>
        <v>324.8</v>
      </c>
      <c r="K42" s="357">
        <f>'Main Financials'!T101</f>
        <v>324.8</v>
      </c>
      <c r="L42" s="357">
        <f>'Main Financials'!U101</f>
        <v>324.8</v>
      </c>
      <c r="M42"/>
      <c r="N42"/>
      <c r="O42"/>
      <c r="P42"/>
      <c r="Q42"/>
      <c r="R42"/>
      <c r="S42"/>
      <c r="T42"/>
    </row>
    <row r="43" spans="2:20" s="33" customFormat="1" hidden="1" outlineLevel="1" x14ac:dyDescent="0.25">
      <c r="B43" s="60" t="s">
        <v>167</v>
      </c>
      <c r="E43" s="357">
        <f ca="1">'Main Financials'!N102</f>
        <v>22203.409621983592</v>
      </c>
      <c r="F43" s="357">
        <f>'Main Financials'!O102</f>
        <v>22185.952498543455</v>
      </c>
      <c r="G43" s="357">
        <f>'Main Financials'!P102</f>
        <v>23191.630910484815</v>
      </c>
      <c r="H43" s="357">
        <f>'Main Financials'!Q102</f>
        <v>24038.362923303441</v>
      </c>
      <c r="I43" s="357">
        <f>'Main Financials'!R102</f>
        <v>24455.075778476028</v>
      </c>
      <c r="J43" s="357">
        <f>'Main Financials'!S102</f>
        <v>25439.760281342991</v>
      </c>
      <c r="K43" s="357">
        <f>'Main Financials'!T102</f>
        <v>24505.221067388789</v>
      </c>
      <c r="L43" s="357">
        <f>'Main Financials'!U102</f>
        <v>25317.73620393077</v>
      </c>
      <c r="M43"/>
      <c r="N43"/>
      <c r="O43"/>
      <c r="P43"/>
      <c r="Q43"/>
      <c r="R43"/>
      <c r="S43"/>
      <c r="T43"/>
    </row>
    <row r="44" spans="2:20" s="33" customFormat="1" hidden="1" outlineLevel="1" x14ac:dyDescent="0.25">
      <c r="B44" s="60" t="s">
        <v>202</v>
      </c>
      <c r="E44" s="357">
        <f>'Main Financials'!N103</f>
        <v>-60438</v>
      </c>
      <c r="F44" s="357">
        <f>'Main Financials'!O103</f>
        <v>-59962.033779847166</v>
      </c>
      <c r="G44" s="357">
        <f>'Main Financials'!P103</f>
        <v>-62680.083541850843</v>
      </c>
      <c r="H44" s="357">
        <f>'Main Financials'!Q103</f>
        <v>-64968.548441360646</v>
      </c>
      <c r="I44" s="357">
        <f>'Main Financials'!R103</f>
        <v>-66094.799401286567</v>
      </c>
      <c r="J44" s="357">
        <f>'Main Financials'!S103</f>
        <v>-68756.108868494557</v>
      </c>
      <c r="K44" s="357">
        <f>'Main Financials'!T103</f>
        <v>-66230.327209158888</v>
      </c>
      <c r="L44" s="357">
        <f>'Main Financials'!U103</f>
        <v>-68426.314064677761</v>
      </c>
      <c r="M44"/>
      <c r="N44"/>
      <c r="O44"/>
      <c r="P44"/>
      <c r="Q44"/>
      <c r="R44"/>
      <c r="S44"/>
      <c r="T44"/>
    </row>
    <row r="45" spans="2:20" s="33" customFormat="1" hidden="1" outlineLevel="1" x14ac:dyDescent="0.25">
      <c r="B45" s="60" t="s">
        <v>120</v>
      </c>
      <c r="E45" s="357">
        <f>'Main Financials'!N104</f>
        <v>-9809</v>
      </c>
      <c r="F45" s="357">
        <f>'Main Financials'!O104</f>
        <v>-10043.215527929808</v>
      </c>
      <c r="G45" s="357">
        <f>'Main Financials'!P104</f>
        <v>-10430.619080327944</v>
      </c>
      <c r="H45" s="357">
        <f>'Main Financials'!Q104</f>
        <v>-10839.176998550838</v>
      </c>
      <c r="I45" s="357">
        <f>'Main Financials'!R104</f>
        <v>-11038.513028554211</v>
      </c>
      <c r="J45" s="357">
        <f>'Main Financials'!S104</f>
        <v>-11463.799038999288</v>
      </c>
      <c r="K45" s="357">
        <f>'Main Financials'!T104</f>
        <v>-10910.275055019993</v>
      </c>
      <c r="L45" s="357">
        <f>'Main Financials'!U104</f>
        <v>-11237.943191561149</v>
      </c>
      <c r="M45"/>
      <c r="N45"/>
      <c r="O45"/>
      <c r="P45"/>
      <c r="Q45"/>
      <c r="R45"/>
      <c r="S45"/>
      <c r="T45"/>
    </row>
    <row r="46" spans="2:20" s="33" customFormat="1" hidden="1" outlineLevel="1" x14ac:dyDescent="0.25">
      <c r="B46" s="60"/>
      <c r="E46" s="181"/>
      <c r="F46" s="181"/>
      <c r="G46" s="181"/>
      <c r="H46" s="181"/>
      <c r="I46" s="181"/>
      <c r="J46" s="181"/>
      <c r="K46" s="181"/>
      <c r="L46" s="181"/>
      <c r="M46"/>
      <c r="N46"/>
      <c r="O46"/>
      <c r="P46"/>
      <c r="Q46"/>
      <c r="R46"/>
      <c r="S46"/>
      <c r="T46"/>
    </row>
    <row r="47" spans="2:20" s="33" customFormat="1" ht="13" hidden="1" outlineLevel="1" x14ac:dyDescent="0.3">
      <c r="B47" s="175" t="s">
        <v>121</v>
      </c>
      <c r="C47" s="153"/>
      <c r="D47" s="153"/>
      <c r="E47" s="155">
        <f>SUM(E48:E51)</f>
        <v>-15980</v>
      </c>
      <c r="F47" s="155">
        <f t="shared" ref="F47:K47" si="12">SUM(F48:F51)</f>
        <v>-16239.517608596012</v>
      </c>
      <c r="G47" s="155">
        <f t="shared" si="12"/>
        <v>-16975.647025639468</v>
      </c>
      <c r="H47" s="155">
        <f t="shared" si="12"/>
        <v>-17595.431974373707</v>
      </c>
      <c r="I47" s="155">
        <f t="shared" si="12"/>
        <v>-17900.454521850443</v>
      </c>
      <c r="J47" s="155">
        <f t="shared" si="12"/>
        <v>-18621.216964854386</v>
      </c>
      <c r="K47" s="155">
        <f t="shared" si="12"/>
        <v>-17937.159518056505</v>
      </c>
      <c r="L47" s="155">
        <f t="shared" ref="L47" si="13">SUM(L48:L51)</f>
        <v>-18531.898638136685</v>
      </c>
      <c r="M47"/>
      <c r="N47"/>
      <c r="O47"/>
      <c r="P47"/>
      <c r="Q47"/>
      <c r="R47"/>
      <c r="S47"/>
      <c r="T47"/>
    </row>
    <row r="48" spans="2:20" s="33" customFormat="1" hidden="1" outlineLevel="1" x14ac:dyDescent="0.25">
      <c r="B48" s="60" t="s">
        <v>122</v>
      </c>
      <c r="E48" s="357">
        <f>'Main Financials'!N107</f>
        <v>-1269</v>
      </c>
      <c r="F48" s="357">
        <f>'Main Financials'!O107</f>
        <v>-1290.1304952211331</v>
      </c>
      <c r="G48" s="357">
        <f>'Main Financials'!P107</f>
        <v>-1348.6114816794015</v>
      </c>
      <c r="H48" s="357">
        <f>'Main Financials'!Q107</f>
        <v>-1397.8496106751702</v>
      </c>
      <c r="I48" s="357">
        <f>'Main Financials'!R107</f>
        <v>-1422.0817892234711</v>
      </c>
      <c r="J48" s="357">
        <f>'Main Financials'!S107</f>
        <v>-1479.3419634442414</v>
      </c>
      <c r="K48" s="357">
        <f>'Main Financials'!T107</f>
        <v>-1424.997777005482</v>
      </c>
      <c r="L48" s="357">
        <f>'Main Financials'!U107</f>
        <v>-1472.2461678758041</v>
      </c>
      <c r="M48"/>
      <c r="N48"/>
      <c r="O48"/>
      <c r="P48"/>
      <c r="Q48"/>
      <c r="R48"/>
      <c r="S48"/>
      <c r="T48"/>
    </row>
    <row r="49" spans="1:20" s="33" customFormat="1" hidden="1" outlineLevel="1" x14ac:dyDescent="0.25">
      <c r="B49" s="60" t="s">
        <v>123</v>
      </c>
      <c r="E49" s="357">
        <f>'Main Financials'!N108</f>
        <v>-370</v>
      </c>
      <c r="F49" s="357">
        <f>'Main Financials'!O108</f>
        <v>-354.78588618581153</v>
      </c>
      <c r="G49" s="357">
        <f>'Main Financials'!P108</f>
        <v>-370.86815746183538</v>
      </c>
      <c r="H49" s="357">
        <f>'Main Financials'!Q108</f>
        <v>-384.40864293567182</v>
      </c>
      <c r="I49" s="357">
        <f>'Main Financials'!R108</f>
        <v>-391.07249203645455</v>
      </c>
      <c r="J49" s="357">
        <f>'Main Financials'!S108</f>
        <v>-406.81903994716635</v>
      </c>
      <c r="K49" s="357">
        <f>'Main Financials'!T108</f>
        <v>-391.87438867650752</v>
      </c>
      <c r="L49" s="357">
        <f>'Main Financials'!U108</f>
        <v>-404.86769616584604</v>
      </c>
      <c r="M49"/>
      <c r="N49"/>
      <c r="O49"/>
      <c r="P49"/>
      <c r="Q49"/>
      <c r="R49"/>
      <c r="S49"/>
      <c r="T49"/>
    </row>
    <row r="50" spans="1:20" s="33" customFormat="1" hidden="1" outlineLevel="1" x14ac:dyDescent="0.25">
      <c r="B50" s="60" t="s">
        <v>124</v>
      </c>
      <c r="E50" s="357">
        <f>'Main Financials'!N109</f>
        <v>-2630</v>
      </c>
      <c r="F50" s="357">
        <f>'Main Financials'!O109</f>
        <v>-2741.5273023449081</v>
      </c>
      <c r="G50" s="357">
        <f>'Main Financials'!P109</f>
        <v>-2865.7993985687285</v>
      </c>
      <c r="H50" s="357">
        <f>'Main Financials'!Q109</f>
        <v>-2970.4304226847371</v>
      </c>
      <c r="I50" s="357">
        <f>'Main Financials'!R109</f>
        <v>-3021.9238020998764</v>
      </c>
      <c r="J50" s="357">
        <f>'Main Financials'!S109</f>
        <v>-3143.6016723190128</v>
      </c>
      <c r="K50" s="357">
        <f>'Main Financials'!T109</f>
        <v>-3028.1202761366494</v>
      </c>
      <c r="L50" s="357">
        <f>'Main Financials'!U109</f>
        <v>-3128.5231067360837</v>
      </c>
      <c r="M50"/>
      <c r="N50"/>
      <c r="O50"/>
      <c r="P50"/>
      <c r="Q50"/>
      <c r="R50"/>
      <c r="S50"/>
      <c r="T50"/>
    </row>
    <row r="51" spans="1:20" s="33" customFormat="1" hidden="1" outlineLevel="1" x14ac:dyDescent="0.25">
      <c r="B51" s="60" t="s">
        <v>125</v>
      </c>
      <c r="E51" s="357">
        <f>'Main Financials'!N110</f>
        <v>-11711</v>
      </c>
      <c r="F51" s="357">
        <f>'Main Financials'!O110</f>
        <v>-11853.073924844159</v>
      </c>
      <c r="G51" s="357">
        <f>'Main Financials'!P110</f>
        <v>-12390.367987929501</v>
      </c>
      <c r="H51" s="357">
        <f>'Main Financials'!Q110</f>
        <v>-12842.743298078127</v>
      </c>
      <c r="I51" s="357">
        <f>'Main Financials'!R110</f>
        <v>-13065.376438490641</v>
      </c>
      <c r="J51" s="357">
        <f>'Main Financials'!S110</f>
        <v>-13591.454289143967</v>
      </c>
      <c r="K51" s="357">
        <f>'Main Financials'!T110</f>
        <v>-13092.167076237865</v>
      </c>
      <c r="L51" s="357">
        <f>'Main Financials'!U110</f>
        <v>-13526.261667358949</v>
      </c>
      <c r="M51"/>
      <c r="N51"/>
      <c r="O51"/>
      <c r="P51"/>
      <c r="Q51"/>
      <c r="R51"/>
      <c r="S51"/>
      <c r="T51"/>
    </row>
    <row r="52" spans="1:20" s="33" customFormat="1" hidden="1" outlineLevel="1" x14ac:dyDescent="0.25">
      <c r="B52" s="60"/>
      <c r="E52" s="181"/>
      <c r="F52" s="181"/>
      <c r="G52" s="181"/>
      <c r="H52" s="181"/>
      <c r="I52" s="181"/>
      <c r="J52" s="181"/>
      <c r="K52" s="181"/>
      <c r="L52" s="181"/>
      <c r="M52"/>
      <c r="N52"/>
      <c r="O52"/>
      <c r="P52"/>
      <c r="Q52"/>
      <c r="R52"/>
      <c r="S52"/>
      <c r="T52"/>
    </row>
    <row r="53" spans="1:20" s="33" customFormat="1" ht="13" hidden="1" outlineLevel="1" x14ac:dyDescent="0.3">
      <c r="B53" s="180" t="s">
        <v>126</v>
      </c>
      <c r="C53" s="153"/>
      <c r="D53" s="153"/>
      <c r="E53" s="155">
        <f ca="1">SUM(E47,E38,E33,)</f>
        <v>22370.409621983592</v>
      </c>
      <c r="F53" s="155">
        <f t="shared" ref="F53:K53" si="14">SUM(F47,F38,F33,)</f>
        <v>23795.401695528097</v>
      </c>
      <c r="G53" s="155">
        <f t="shared" si="14"/>
        <v>25822.064269765517</v>
      </c>
      <c r="H53" s="155">
        <f t="shared" si="14"/>
        <v>27899.007937430961</v>
      </c>
      <c r="I53" s="155">
        <f t="shared" si="14"/>
        <v>29985.371157875808</v>
      </c>
      <c r="J53" s="155">
        <f t="shared" si="14"/>
        <v>32263.881943934262</v>
      </c>
      <c r="K53" s="155">
        <f t="shared" si="14"/>
        <v>34334.348529070354</v>
      </c>
      <c r="L53" s="155">
        <f t="shared" ref="L53" si="15">SUM(L47,L38,L33,)</f>
        <v>36646.45050777134</v>
      </c>
      <c r="M53"/>
      <c r="N53"/>
      <c r="O53"/>
      <c r="P53"/>
      <c r="Q53"/>
      <c r="R53"/>
      <c r="S53"/>
      <c r="T53"/>
    </row>
    <row r="54" spans="1:20" hidden="1" outlineLevel="1" x14ac:dyDescent="0.25"/>
    <row r="55" spans="1:20" s="33" customFormat="1" ht="13" hidden="1" outlineLevel="1" x14ac:dyDescent="0.3">
      <c r="B55" s="49" t="s">
        <v>572</v>
      </c>
      <c r="C55" s="49"/>
      <c r="D55" s="49"/>
      <c r="E55" s="49"/>
      <c r="F55" s="49"/>
      <c r="G55" s="49"/>
      <c r="H55" s="49"/>
      <c r="I55" s="49"/>
      <c r="J55" s="49"/>
      <c r="K55" s="49"/>
      <c r="L55" s="49"/>
      <c r="M55"/>
      <c r="N55"/>
      <c r="O55"/>
      <c r="P55"/>
      <c r="Q55"/>
      <c r="R55"/>
      <c r="S55"/>
      <c r="T55"/>
    </row>
    <row r="56" spans="1:20" hidden="1" outlineLevel="1" x14ac:dyDescent="0.25"/>
    <row r="57" spans="1:20" s="41" customFormat="1" ht="13" hidden="1" outlineLevel="1" x14ac:dyDescent="0.3">
      <c r="E57" s="156">
        <v>2024</v>
      </c>
      <c r="F57" s="157">
        <v>2025</v>
      </c>
      <c r="G57" s="157">
        <v>2026</v>
      </c>
      <c r="H57" s="157">
        <v>2027</v>
      </c>
      <c r="I57" s="157">
        <v>2028</v>
      </c>
      <c r="J57" s="157">
        <v>2029</v>
      </c>
      <c r="K57" s="157">
        <v>2030</v>
      </c>
      <c r="L57" s="157">
        <f>+K57+1</f>
        <v>2031</v>
      </c>
      <c r="M57" s="207"/>
      <c r="N57" s="207"/>
      <c r="O57" s="207"/>
      <c r="P57" s="207"/>
      <c r="Q57" s="207"/>
      <c r="R57" s="207"/>
      <c r="S57" s="207"/>
      <c r="T57" s="207"/>
    </row>
    <row r="58" spans="1:20" s="41" customFormat="1" ht="13.5" hidden="1" outlineLevel="1" thickBot="1" x14ac:dyDescent="0.35">
      <c r="B58" s="73"/>
      <c r="C58" s="73"/>
      <c r="D58" s="73"/>
      <c r="E58" s="158">
        <v>2024</v>
      </c>
      <c r="F58" s="159">
        <v>2025</v>
      </c>
      <c r="G58" s="159">
        <v>2026</v>
      </c>
      <c r="H58" s="159">
        <v>2027</v>
      </c>
      <c r="I58" s="159">
        <v>2028</v>
      </c>
      <c r="J58" s="159">
        <v>2029</v>
      </c>
      <c r="K58" s="159">
        <v>2030</v>
      </c>
      <c r="L58" s="159">
        <f>+K58+1</f>
        <v>2031</v>
      </c>
      <c r="M58" s="207"/>
      <c r="N58" s="207"/>
      <c r="O58" s="207"/>
      <c r="P58" s="207"/>
      <c r="Q58" s="207"/>
      <c r="R58" s="207"/>
      <c r="S58" s="207"/>
      <c r="T58" s="207"/>
    </row>
    <row r="59" spans="1:20" hidden="1" outlineLevel="1" x14ac:dyDescent="0.25">
      <c r="B59" t="s">
        <v>573</v>
      </c>
      <c r="E59" s="357">
        <f>'Main Financials'!N411</f>
        <v>3412</v>
      </c>
      <c r="F59" s="357">
        <f>'Main Financials'!O411</f>
        <v>3167.7311266590314</v>
      </c>
      <c r="G59" s="357">
        <f>'Main Financials'!P411</f>
        <v>3311.322834480673</v>
      </c>
      <c r="H59" s="357">
        <f>'Main Financials'!Q411</f>
        <v>3432.2200262113556</v>
      </c>
      <c r="I59" s="357">
        <f>'Main Financials'!R411</f>
        <v>3491.7186788969152</v>
      </c>
      <c r="J59" s="357">
        <f>'Main Financials'!S411</f>
        <v>3632.3128566711275</v>
      </c>
      <c r="K59" s="357">
        <f>'Main Financials'!T411</f>
        <v>3498.8784703259598</v>
      </c>
      <c r="L59" s="357">
        <f>'Main Financials'!U411</f>
        <v>3614.8901443379109</v>
      </c>
    </row>
    <row r="60" spans="1:20" hidden="1" outlineLevel="1" x14ac:dyDescent="0.25">
      <c r="B60" t="s">
        <v>574</v>
      </c>
      <c r="E60" s="357">
        <f>'Main Financials'!N438</f>
        <v>1514</v>
      </c>
      <c r="F60" s="357">
        <f>'Main Financials'!O438</f>
        <v>1958.2337873892195</v>
      </c>
      <c r="G60" s="357">
        <f>'Main Financials'!P438</f>
        <v>2046.9995704062344</v>
      </c>
      <c r="H60" s="357">
        <f>'Main Financials'!Q438</f>
        <v>2121.7360162033838</v>
      </c>
      <c r="I60" s="357">
        <f>'Main Financials'!R438</f>
        <v>2158.5170014999117</v>
      </c>
      <c r="J60" s="357">
        <f>'Main Financials'!S438</f>
        <v>2245.4297659421518</v>
      </c>
      <c r="K60" s="357">
        <f>'Main Financials'!T438</f>
        <v>2162.9430543833209</v>
      </c>
      <c r="L60" s="357">
        <f>'Main Financials'!U438</f>
        <v>2234.6593619543451</v>
      </c>
    </row>
    <row r="61" spans="1:20" collapsed="1" x14ac:dyDescent="0.25"/>
    <row r="62" spans="1:20" s="33" customFormat="1" ht="18" x14ac:dyDescent="0.4">
      <c r="A62" s="33" t="s">
        <v>22</v>
      </c>
      <c r="B62" s="47" t="s">
        <v>575</v>
      </c>
      <c r="C62" s="47"/>
      <c r="D62" s="47"/>
      <c r="E62" s="47"/>
      <c r="F62" s="47"/>
      <c r="G62" s="47"/>
      <c r="H62" s="47"/>
      <c r="I62" s="47"/>
      <c r="J62" s="47"/>
      <c r="K62" s="47"/>
      <c r="L62" s="47"/>
      <c r="M62"/>
      <c r="N62"/>
      <c r="O62"/>
      <c r="P62"/>
      <c r="Q62"/>
      <c r="R62"/>
      <c r="S62"/>
      <c r="T62"/>
    </row>
    <row r="63" spans="1:20" hidden="1" outlineLevel="1" x14ac:dyDescent="0.25"/>
    <row r="64" spans="1:20" s="41" customFormat="1" ht="13" hidden="1" outlineLevel="1" x14ac:dyDescent="0.3">
      <c r="E64" s="156">
        <v>2024</v>
      </c>
      <c r="F64" s="157">
        <v>2025</v>
      </c>
      <c r="G64" s="157">
        <v>2026</v>
      </c>
      <c r="H64" s="157">
        <v>2027</v>
      </c>
      <c r="I64" s="157">
        <v>2028</v>
      </c>
      <c r="J64" s="157">
        <v>2029</v>
      </c>
      <c r="K64" s="157">
        <v>2030</v>
      </c>
      <c r="L64" s="157">
        <f>+K64+1</f>
        <v>2031</v>
      </c>
      <c r="M64" s="207"/>
      <c r="N64" s="207"/>
      <c r="O64" s="207"/>
      <c r="P64" s="207"/>
      <c r="Q64" s="207"/>
      <c r="R64" s="207"/>
      <c r="S64" s="207"/>
      <c r="T64" s="207"/>
    </row>
    <row r="65" spans="2:20" s="41" customFormat="1" ht="13.5" hidden="1" outlineLevel="1" thickBot="1" x14ac:dyDescent="0.35">
      <c r="B65" s="73"/>
      <c r="C65" s="73"/>
      <c r="D65" s="73"/>
      <c r="E65" s="158">
        <v>2024</v>
      </c>
      <c r="F65" s="159">
        <v>2025</v>
      </c>
      <c r="G65" s="159">
        <v>2026</v>
      </c>
      <c r="H65" s="159">
        <v>2027</v>
      </c>
      <c r="I65" s="159">
        <v>2028</v>
      </c>
      <c r="J65" s="159">
        <v>2029</v>
      </c>
      <c r="K65" s="159">
        <v>2030</v>
      </c>
      <c r="L65" s="159">
        <f>+K65+1</f>
        <v>2031</v>
      </c>
      <c r="M65" s="207"/>
      <c r="N65" s="207"/>
      <c r="O65" s="207"/>
      <c r="P65" s="207"/>
      <c r="Q65" s="207"/>
      <c r="R65" s="207"/>
      <c r="S65" s="207"/>
      <c r="T65" s="207"/>
    </row>
    <row r="66" spans="2:20" ht="13" hidden="1" outlineLevel="1" x14ac:dyDescent="0.3">
      <c r="B66" s="207" t="s">
        <v>576</v>
      </c>
      <c r="C66" s="207"/>
      <c r="D66" s="207"/>
      <c r="E66" s="356">
        <f>E27</f>
        <v>2578.0000000000073</v>
      </c>
      <c r="F66" s="356">
        <f t="shared" ref="F66:K66" si="16">F27</f>
        <v>3113.2530731037414</v>
      </c>
      <c r="G66" s="356">
        <f t="shared" si="16"/>
        <v>3308.3627770758176</v>
      </c>
      <c r="H66" s="356">
        <f t="shared" si="16"/>
        <v>3387.8255207529874</v>
      </c>
      <c r="I66" s="356">
        <f t="shared" si="16"/>
        <v>3508.8542527773634</v>
      </c>
      <c r="J66" s="356">
        <f t="shared" si="16"/>
        <v>3624.7702563077401</v>
      </c>
      <c r="K66" s="356">
        <f t="shared" si="16"/>
        <v>3649.9204587233353</v>
      </c>
      <c r="L66" s="356">
        <f t="shared" ref="L66" si="17">L27</f>
        <v>3826.3244893805768</v>
      </c>
    </row>
    <row r="67" spans="2:20" ht="13" hidden="1" outlineLevel="1" x14ac:dyDescent="0.3">
      <c r="B67" s="33" t="s">
        <v>577</v>
      </c>
      <c r="C67" s="207"/>
      <c r="D67" s="207"/>
      <c r="E67" s="359">
        <f>Macro!N17</f>
        <v>0.25829999999999997</v>
      </c>
      <c r="F67" s="359">
        <f>Macro!O17</f>
        <v>0.25</v>
      </c>
      <c r="G67" s="359">
        <f>Macro!P17</f>
        <v>0.25</v>
      </c>
      <c r="H67" s="359">
        <f>Macro!Q17</f>
        <v>0.25</v>
      </c>
      <c r="I67" s="359">
        <f>Macro!R17</f>
        <v>0.25</v>
      </c>
      <c r="J67" s="359">
        <f>Macro!S17</f>
        <v>0.25</v>
      </c>
      <c r="K67" s="359">
        <f>Macro!T17</f>
        <v>0.25</v>
      </c>
      <c r="L67" s="359">
        <f>Macro!U17</f>
        <v>0.25</v>
      </c>
    </row>
    <row r="68" spans="2:20" hidden="1" outlineLevel="1" x14ac:dyDescent="0.25">
      <c r="B68" s="33" t="s">
        <v>578</v>
      </c>
      <c r="C68" s="33"/>
      <c r="D68" s="358"/>
      <c r="E68" s="361">
        <f>E66*E67</f>
        <v>665.89740000000177</v>
      </c>
      <c r="F68" s="361">
        <f t="shared" ref="F68:K68" si="18">F66*F67</f>
        <v>778.31326827593534</v>
      </c>
      <c r="G68" s="361">
        <f t="shared" si="18"/>
        <v>827.09069426895439</v>
      </c>
      <c r="H68" s="361">
        <f t="shared" si="18"/>
        <v>846.95638018824684</v>
      </c>
      <c r="I68" s="361">
        <f t="shared" si="18"/>
        <v>877.21356319434085</v>
      </c>
      <c r="J68" s="361">
        <f t="shared" si="18"/>
        <v>906.19256407693501</v>
      </c>
      <c r="K68" s="361">
        <f t="shared" si="18"/>
        <v>912.48011468083382</v>
      </c>
      <c r="L68" s="361">
        <f t="shared" ref="L68" si="19">L66*L67</f>
        <v>956.58112234514419</v>
      </c>
    </row>
    <row r="69" spans="2:20" hidden="1" outlineLevel="1" x14ac:dyDescent="0.25">
      <c r="B69" s="33"/>
      <c r="C69" s="33"/>
      <c r="D69" s="358"/>
      <c r="E69" s="361"/>
      <c r="F69" s="361"/>
      <c r="G69" s="361"/>
      <c r="H69" s="361"/>
      <c r="I69" s="361"/>
      <c r="J69" s="361"/>
      <c r="K69" s="361"/>
      <c r="L69" s="361"/>
    </row>
    <row r="70" spans="2:20" hidden="1" outlineLevel="1" x14ac:dyDescent="0.25">
      <c r="B70" t="s">
        <v>579</v>
      </c>
      <c r="C70" s="33"/>
      <c r="D70" s="358"/>
      <c r="E70" s="361">
        <f t="shared" ref="E70:K70" si="20">ABS(E23)</f>
        <v>2120</v>
      </c>
      <c r="F70" s="361">
        <f t="shared" si="20"/>
        <v>2303.8044557520229</v>
      </c>
      <c r="G70" s="361">
        <f t="shared" si="20"/>
        <v>2408.2347887132169</v>
      </c>
      <c r="H70" s="361">
        <f t="shared" si="20"/>
        <v>2496.1600190628042</v>
      </c>
      <c r="I70" s="361">
        <f t="shared" si="20"/>
        <v>2539.431766470484</v>
      </c>
      <c r="J70" s="361">
        <f t="shared" si="20"/>
        <v>2641.682077579002</v>
      </c>
      <c r="K70" s="361">
        <f t="shared" si="20"/>
        <v>2544.6388875097891</v>
      </c>
      <c r="L70" s="361">
        <f t="shared" ref="L70" si="21">ABS(L23)</f>
        <v>2629.0110140639354</v>
      </c>
    </row>
    <row r="71" spans="2:20" hidden="1" outlineLevel="1" x14ac:dyDescent="0.25">
      <c r="B71" t="s">
        <v>580</v>
      </c>
      <c r="E71" s="360">
        <f t="shared" ref="E71:K71" si="22">ABS(E26)</f>
        <v>1048</v>
      </c>
      <c r="F71" s="360">
        <f t="shared" si="22"/>
        <v>1439.8777848450145</v>
      </c>
      <c r="G71" s="360">
        <f t="shared" si="22"/>
        <v>1505.1467429457607</v>
      </c>
      <c r="H71" s="360">
        <f t="shared" si="22"/>
        <v>1560.1000119142527</v>
      </c>
      <c r="I71" s="360">
        <f t="shared" si="22"/>
        <v>1587.1448540440524</v>
      </c>
      <c r="J71" s="360">
        <f t="shared" si="22"/>
        <v>1651.0512984868762</v>
      </c>
      <c r="K71" s="360">
        <f t="shared" si="22"/>
        <v>1590.3993046936182</v>
      </c>
      <c r="L71" s="360">
        <f t="shared" ref="L71" si="23">ABS(L26)</f>
        <v>1643.1318837899596</v>
      </c>
    </row>
    <row r="72" spans="2:20" hidden="1" outlineLevel="1" x14ac:dyDescent="0.25">
      <c r="B72" t="s">
        <v>581</v>
      </c>
      <c r="E72" s="360">
        <f t="shared" ref="E72:K73" si="24">E59</f>
        <v>3412</v>
      </c>
      <c r="F72" s="360">
        <f t="shared" si="24"/>
        <v>3167.7311266590314</v>
      </c>
      <c r="G72" s="360">
        <f t="shared" si="24"/>
        <v>3311.322834480673</v>
      </c>
      <c r="H72" s="360">
        <f>H59</f>
        <v>3432.2200262113556</v>
      </c>
      <c r="I72" s="360">
        <f t="shared" si="24"/>
        <v>3491.7186788969152</v>
      </c>
      <c r="J72" s="360">
        <f t="shared" si="24"/>
        <v>3632.3128566711275</v>
      </c>
      <c r="K72" s="360">
        <f t="shared" si="24"/>
        <v>3498.8784703259598</v>
      </c>
      <c r="L72" s="360">
        <f t="shared" ref="L72" si="25">L59</f>
        <v>3614.8901443379109</v>
      </c>
    </row>
    <row r="73" spans="2:20" hidden="1" outlineLevel="1" x14ac:dyDescent="0.25">
      <c r="B73" t="s">
        <v>582</v>
      </c>
      <c r="E73" s="360">
        <f t="shared" si="24"/>
        <v>1514</v>
      </c>
      <c r="F73" s="360">
        <f t="shared" si="24"/>
        <v>1958.2337873892195</v>
      </c>
      <c r="G73" s="360">
        <f t="shared" si="24"/>
        <v>2046.9995704062344</v>
      </c>
      <c r="H73" s="360">
        <f t="shared" si="24"/>
        <v>2121.7360162033838</v>
      </c>
      <c r="I73" s="360">
        <f t="shared" si="24"/>
        <v>2158.5170014999117</v>
      </c>
      <c r="J73" s="360">
        <f t="shared" si="24"/>
        <v>2245.4297659421518</v>
      </c>
      <c r="K73" s="360">
        <f t="shared" si="24"/>
        <v>2162.9430543833209</v>
      </c>
      <c r="L73" s="360">
        <f t="shared" ref="L73" si="26">L60</f>
        <v>2234.6593619543451</v>
      </c>
    </row>
    <row r="74" spans="2:20" hidden="1" outlineLevel="1" x14ac:dyDescent="0.25">
      <c r="E74" s="360"/>
      <c r="F74" s="360"/>
      <c r="G74" s="360"/>
      <c r="H74" s="360"/>
      <c r="I74" s="360"/>
      <c r="J74" s="360"/>
      <c r="K74" s="360"/>
      <c r="L74" s="360"/>
    </row>
    <row r="75" spans="2:20" hidden="1" outlineLevel="1" x14ac:dyDescent="0.25">
      <c r="B75" t="s">
        <v>117</v>
      </c>
      <c r="E75" s="360">
        <f t="shared" ref="E75:K75" ca="1" si="27">E38</f>
        <v>18272.409621983592</v>
      </c>
      <c r="F75" s="360">
        <f t="shared" si="27"/>
        <v>18047.10115279688</v>
      </c>
      <c r="G75" s="360">
        <f t="shared" si="27"/>
        <v>18880.600208116848</v>
      </c>
      <c r="H75" s="360">
        <f t="shared" si="27"/>
        <v>19545.750923947526</v>
      </c>
      <c r="I75" s="360">
        <f t="shared" si="27"/>
        <v>19873.869988007486</v>
      </c>
      <c r="J75" s="360">
        <f t="shared" si="27"/>
        <v>20669.538486232199</v>
      </c>
      <c r="K75" s="360">
        <f t="shared" si="27"/>
        <v>19981.009931824352</v>
      </c>
      <c r="L75" s="360">
        <f t="shared" ref="L75" si="28">L38</f>
        <v>20647.894785459139</v>
      </c>
    </row>
    <row r="76" spans="2:20" hidden="1" outlineLevel="1" x14ac:dyDescent="0.25">
      <c r="B76" t="s">
        <v>583</v>
      </c>
      <c r="F76" s="314">
        <f t="shared" ref="F76:K76" ca="1" si="29">F75-E75</f>
        <v>-225.30846918671159</v>
      </c>
      <c r="G76" s="314">
        <f t="shared" si="29"/>
        <v>833.49905531996774</v>
      </c>
      <c r="H76" s="314">
        <f t="shared" si="29"/>
        <v>665.15071583067765</v>
      </c>
      <c r="I76" s="314">
        <f t="shared" si="29"/>
        <v>328.11906405995978</v>
      </c>
      <c r="J76" s="314">
        <f t="shared" si="29"/>
        <v>795.6684982247134</v>
      </c>
      <c r="K76" s="314">
        <f t="shared" si="29"/>
        <v>-688.52855440784697</v>
      </c>
      <c r="L76" s="314">
        <f t="shared" ref="L76" si="30">L75-K75</f>
        <v>666.88485363478685</v>
      </c>
    </row>
    <row r="77" spans="2:20" hidden="1" outlineLevel="1" x14ac:dyDescent="0.25">
      <c r="F77" s="314"/>
      <c r="G77" s="314"/>
      <c r="H77" s="314"/>
      <c r="I77" s="314"/>
      <c r="J77" s="314"/>
      <c r="K77" s="314"/>
      <c r="L77" s="314"/>
    </row>
    <row r="78" spans="2:20" hidden="1" outlineLevel="1" x14ac:dyDescent="0.25">
      <c r="B78" t="s">
        <v>154</v>
      </c>
      <c r="E78" s="360">
        <f t="shared" ref="E78:K78" si="31">E36</f>
        <v>1053</v>
      </c>
      <c r="F78" s="360">
        <f t="shared" si="31"/>
        <v>1151.9022278760115</v>
      </c>
      <c r="G78" s="360">
        <f t="shared" si="31"/>
        <v>1204.1173943566084</v>
      </c>
      <c r="H78" s="360">
        <f t="shared" si="31"/>
        <v>1248.0800095314021</v>
      </c>
      <c r="I78" s="360">
        <f t="shared" si="31"/>
        <v>1269.715883235242</v>
      </c>
      <c r="J78" s="360">
        <f t="shared" si="31"/>
        <v>1320.841038789501</v>
      </c>
      <c r="K78" s="360">
        <f t="shared" si="31"/>
        <v>1272.3194437548946</v>
      </c>
      <c r="L78" s="360">
        <f t="shared" ref="L78" si="32">L36</f>
        <v>1314.5055070319677</v>
      </c>
    </row>
    <row r="79" spans="2:20" hidden="1" outlineLevel="1" x14ac:dyDescent="0.25">
      <c r="B79" t="s">
        <v>584</v>
      </c>
      <c r="F79" s="360">
        <f t="shared" ref="F79:K79" si="33">F78-E78</f>
        <v>98.902227876011466</v>
      </c>
      <c r="G79" s="360">
        <f t="shared" si="33"/>
        <v>52.215166480596963</v>
      </c>
      <c r="H79" s="360">
        <f t="shared" si="33"/>
        <v>43.962615174793655</v>
      </c>
      <c r="I79" s="360">
        <f t="shared" si="33"/>
        <v>21.635873703839934</v>
      </c>
      <c r="J79" s="360">
        <f t="shared" si="33"/>
        <v>51.125155554258981</v>
      </c>
      <c r="K79" s="360">
        <f t="shared" si="33"/>
        <v>-48.521595034606435</v>
      </c>
      <c r="L79" s="360">
        <f t="shared" ref="L79" si="34">L78-K78</f>
        <v>42.186063277073117</v>
      </c>
    </row>
    <row r="80" spans="2:20" hidden="1" outlineLevel="1" x14ac:dyDescent="0.25">
      <c r="F80" s="360"/>
      <c r="G80" s="360"/>
      <c r="H80" s="360"/>
      <c r="I80" s="360"/>
      <c r="J80" s="360"/>
      <c r="K80" s="360"/>
      <c r="L80" s="360"/>
    </row>
    <row r="81" spans="1:20" hidden="1" outlineLevel="1" x14ac:dyDescent="0.25">
      <c r="B81" t="s">
        <v>124</v>
      </c>
      <c r="E81" s="360">
        <f t="shared" ref="E81:K81" si="35">E50</f>
        <v>-2630</v>
      </c>
      <c r="F81" s="360">
        <f t="shared" si="35"/>
        <v>-2741.5273023449081</v>
      </c>
      <c r="G81" s="360">
        <f t="shared" si="35"/>
        <v>-2865.7993985687285</v>
      </c>
      <c r="H81" s="360">
        <f t="shared" si="35"/>
        <v>-2970.4304226847371</v>
      </c>
      <c r="I81" s="360">
        <f t="shared" si="35"/>
        <v>-3021.9238020998764</v>
      </c>
      <c r="J81" s="360">
        <f t="shared" si="35"/>
        <v>-3143.6016723190128</v>
      </c>
      <c r="K81" s="360">
        <f t="shared" si="35"/>
        <v>-3028.1202761366494</v>
      </c>
      <c r="L81" s="360">
        <f t="shared" ref="L81" si="36">L50</f>
        <v>-3128.5231067360837</v>
      </c>
    </row>
    <row r="82" spans="1:20" hidden="1" outlineLevel="1" x14ac:dyDescent="0.25">
      <c r="B82" t="s">
        <v>585</v>
      </c>
      <c r="F82" s="360">
        <f t="shared" ref="F82:K82" si="37">ABS(F81)-ABS(E81)</f>
        <v>111.52730234490809</v>
      </c>
      <c r="G82" s="360">
        <f t="shared" si="37"/>
        <v>124.27209622382043</v>
      </c>
      <c r="H82" s="360">
        <f t="shared" si="37"/>
        <v>104.63102411600858</v>
      </c>
      <c r="I82" s="360">
        <f t="shared" si="37"/>
        <v>51.493379415139316</v>
      </c>
      <c r="J82" s="360">
        <f t="shared" si="37"/>
        <v>121.67787021913637</v>
      </c>
      <c r="K82" s="360">
        <f t="shared" si="37"/>
        <v>-115.48139618236337</v>
      </c>
      <c r="L82" s="360">
        <f t="shared" ref="L82" si="38">ABS(L81)-ABS(K81)</f>
        <v>100.40283059943431</v>
      </c>
    </row>
    <row r="83" spans="1:20" hidden="1" outlineLevel="1" x14ac:dyDescent="0.25"/>
    <row r="84" spans="1:20" hidden="1" outlineLevel="1" x14ac:dyDescent="0.25">
      <c r="B84" t="s">
        <v>122</v>
      </c>
      <c r="E84" s="360">
        <f t="shared" ref="E84:K84" si="39">E48</f>
        <v>-1269</v>
      </c>
      <c r="F84" s="360">
        <f t="shared" si="39"/>
        <v>-1290.1304952211331</v>
      </c>
      <c r="G84" s="360">
        <f t="shared" si="39"/>
        <v>-1348.6114816794015</v>
      </c>
      <c r="H84" s="360">
        <f t="shared" si="39"/>
        <v>-1397.8496106751702</v>
      </c>
      <c r="I84" s="360">
        <f t="shared" si="39"/>
        <v>-1422.0817892234711</v>
      </c>
      <c r="J84" s="360">
        <f t="shared" si="39"/>
        <v>-1479.3419634442414</v>
      </c>
      <c r="K84" s="360">
        <f t="shared" si="39"/>
        <v>-1424.997777005482</v>
      </c>
      <c r="L84" s="360">
        <f t="shared" ref="L84" si="40">L48</f>
        <v>-1472.2461678758041</v>
      </c>
    </row>
    <row r="85" spans="1:20" hidden="1" outlineLevel="1" x14ac:dyDescent="0.25">
      <c r="B85" t="s">
        <v>586</v>
      </c>
      <c r="F85" s="360">
        <f>(-1*F84)-(-1*E84)</f>
        <v>21.13049522113306</v>
      </c>
      <c r="G85" s="360">
        <f t="shared" ref="G85:K85" si="41">(-1*G84)-(-1*F84)</f>
        <v>58.48098645826849</v>
      </c>
      <c r="H85" s="360">
        <f t="shared" si="41"/>
        <v>49.238128995768648</v>
      </c>
      <c r="I85" s="360">
        <f t="shared" si="41"/>
        <v>24.232178548300908</v>
      </c>
      <c r="J85" s="360">
        <f t="shared" si="41"/>
        <v>57.260174220770296</v>
      </c>
      <c r="K85" s="360">
        <f t="shared" si="41"/>
        <v>-54.34418643875938</v>
      </c>
      <c r="L85" s="360">
        <f t="shared" ref="L85" si="42">(-1*L84)-(-1*K84)</f>
        <v>47.248390870322055</v>
      </c>
    </row>
    <row r="86" spans="1:20" hidden="1" outlineLevel="1" x14ac:dyDescent="0.25"/>
    <row r="87" spans="1:20" hidden="1" outlineLevel="1" x14ac:dyDescent="0.25">
      <c r="B87" t="s">
        <v>125</v>
      </c>
      <c r="E87" s="314">
        <f t="shared" ref="E87:K87" si="43">E51</f>
        <v>-11711</v>
      </c>
      <c r="F87" s="314">
        <f t="shared" si="43"/>
        <v>-11853.073924844159</v>
      </c>
      <c r="G87" s="314">
        <f t="shared" si="43"/>
        <v>-12390.367987929501</v>
      </c>
      <c r="H87" s="314">
        <f t="shared" si="43"/>
        <v>-12842.743298078127</v>
      </c>
      <c r="I87" s="314">
        <f t="shared" si="43"/>
        <v>-13065.376438490641</v>
      </c>
      <c r="J87" s="314">
        <f t="shared" si="43"/>
        <v>-13591.454289143967</v>
      </c>
      <c r="K87" s="314">
        <f t="shared" si="43"/>
        <v>-13092.167076237865</v>
      </c>
      <c r="L87" s="314">
        <f t="shared" ref="L87" si="44">L51</f>
        <v>-13526.261667358949</v>
      </c>
    </row>
    <row r="88" spans="1:20" hidden="1" outlineLevel="1" x14ac:dyDescent="0.25">
      <c r="B88" t="s">
        <v>123</v>
      </c>
      <c r="E88" s="360">
        <f t="shared" ref="E88:K88" si="45">E49</f>
        <v>-370</v>
      </c>
      <c r="F88" s="360">
        <f t="shared" si="45"/>
        <v>-354.78588618581153</v>
      </c>
      <c r="G88" s="360">
        <f t="shared" si="45"/>
        <v>-370.86815746183538</v>
      </c>
      <c r="H88" s="360">
        <f t="shared" si="45"/>
        <v>-384.40864293567182</v>
      </c>
      <c r="I88" s="360">
        <f t="shared" si="45"/>
        <v>-391.07249203645455</v>
      </c>
      <c r="J88" s="360">
        <f t="shared" si="45"/>
        <v>-406.81903994716635</v>
      </c>
      <c r="K88" s="360">
        <f t="shared" si="45"/>
        <v>-391.87438867650752</v>
      </c>
      <c r="L88" s="360">
        <f t="shared" ref="L88" si="46">L49</f>
        <v>-404.86769616584604</v>
      </c>
    </row>
    <row r="89" spans="1:20" hidden="1" outlineLevel="1" x14ac:dyDescent="0.25">
      <c r="B89" t="s">
        <v>587</v>
      </c>
      <c r="F89" s="314">
        <f>ABS(F88)-ABS(E88)+ABS(F87)-ABS(E87)</f>
        <v>126.85981102996993</v>
      </c>
      <c r="G89" s="314">
        <f t="shared" ref="G89:K89" si="47">ABS(G88)-ABS(F88)+ABS(G87)-ABS(F87)</f>
        <v>553.37633436136639</v>
      </c>
      <c r="H89" s="314">
        <f t="shared" si="47"/>
        <v>465.91579562246261</v>
      </c>
      <c r="I89" s="314">
        <f t="shared" si="47"/>
        <v>229.29698951329738</v>
      </c>
      <c r="J89" s="314">
        <f t="shared" si="47"/>
        <v>541.82439856403835</v>
      </c>
      <c r="K89" s="314">
        <f t="shared" si="47"/>
        <v>-514.2318641767597</v>
      </c>
      <c r="L89" s="314">
        <f t="shared" ref="L89" si="48">ABS(L88)-ABS(K88)+ABS(L87)-ABS(K87)</f>
        <v>447.08789861042169</v>
      </c>
    </row>
    <row r="90" spans="1:20" hidden="1" outlineLevel="1" x14ac:dyDescent="0.25">
      <c r="F90" s="314"/>
      <c r="G90" s="314"/>
      <c r="H90" s="314"/>
      <c r="I90" s="314"/>
      <c r="J90" s="314"/>
      <c r="K90" s="314"/>
      <c r="L90" s="314"/>
    </row>
    <row r="91" spans="1:20" collapsed="1" x14ac:dyDescent="0.25"/>
    <row r="92" spans="1:20" s="33" customFormat="1" ht="18" x14ac:dyDescent="0.4">
      <c r="A92" s="33" t="s">
        <v>22</v>
      </c>
      <c r="B92" s="47" t="s">
        <v>588</v>
      </c>
      <c r="C92" s="47"/>
      <c r="D92" s="47"/>
      <c r="E92" s="47"/>
      <c r="F92" s="47"/>
      <c r="G92" s="47"/>
      <c r="H92" s="47"/>
      <c r="I92" s="47"/>
      <c r="J92" s="47"/>
      <c r="K92" s="47"/>
      <c r="L92" s="47"/>
      <c r="M92"/>
      <c r="N92"/>
      <c r="O92"/>
      <c r="P92"/>
      <c r="Q92"/>
      <c r="R92"/>
      <c r="S92"/>
      <c r="T92"/>
    </row>
    <row r="93" spans="1:20" hidden="1" outlineLevel="1" x14ac:dyDescent="0.25"/>
    <row r="94" spans="1:20" s="41" customFormat="1" ht="13" hidden="1" outlineLevel="1" x14ac:dyDescent="0.3">
      <c r="E94" s="156"/>
      <c r="F94" s="157">
        <v>2025</v>
      </c>
      <c r="G94" s="157">
        <v>2026</v>
      </c>
      <c r="H94" s="157">
        <v>2027</v>
      </c>
      <c r="I94" s="157">
        <v>2028</v>
      </c>
      <c r="J94" s="157">
        <v>2029</v>
      </c>
      <c r="K94" s="157">
        <v>2030</v>
      </c>
      <c r="L94" s="157">
        <f>+K94+1</f>
        <v>2031</v>
      </c>
      <c r="M94" s="207"/>
      <c r="N94" s="207"/>
      <c r="O94" s="207"/>
      <c r="P94" s="207"/>
      <c r="Q94" s="207"/>
      <c r="R94" s="207"/>
      <c r="S94" s="207"/>
      <c r="T94" s="207"/>
    </row>
    <row r="95" spans="1:20" s="41" customFormat="1" ht="13.5" hidden="1" outlineLevel="1" thickBot="1" x14ac:dyDescent="0.35">
      <c r="B95" s="73"/>
      <c r="C95" s="73"/>
      <c r="D95" s="73"/>
      <c r="E95" s="158"/>
      <c r="F95" s="159">
        <v>2025</v>
      </c>
      <c r="G95" s="159">
        <v>2026</v>
      </c>
      <c r="H95" s="159">
        <v>2027</v>
      </c>
      <c r="I95" s="159">
        <v>2028</v>
      </c>
      <c r="J95" s="159">
        <v>2029</v>
      </c>
      <c r="K95" s="159">
        <v>2030</v>
      </c>
      <c r="L95" s="159">
        <f>+K95+1</f>
        <v>2031</v>
      </c>
      <c r="M95" s="207"/>
      <c r="N95" s="207"/>
      <c r="O95" s="207"/>
      <c r="P95" s="207"/>
      <c r="Q95" s="207"/>
      <c r="R95" s="207"/>
      <c r="S95" s="207"/>
      <c r="T95" s="207"/>
    </row>
    <row r="96" spans="1:20" ht="13" hidden="1" outlineLevel="1" x14ac:dyDescent="0.3">
      <c r="B96" s="207" t="s">
        <v>576</v>
      </c>
      <c r="C96" s="207"/>
      <c r="D96" s="207"/>
      <c r="E96" s="356"/>
      <c r="F96" s="356">
        <f t="shared" ref="F96:K96" si="49">F66</f>
        <v>3113.2530731037414</v>
      </c>
      <c r="G96" s="356">
        <f t="shared" si="49"/>
        <v>3308.3627770758176</v>
      </c>
      <c r="H96" s="356">
        <f t="shared" si="49"/>
        <v>3387.8255207529874</v>
      </c>
      <c r="I96" s="356">
        <f t="shared" si="49"/>
        <v>3508.8542527773634</v>
      </c>
      <c r="J96" s="356">
        <f t="shared" si="49"/>
        <v>3624.7702563077401</v>
      </c>
      <c r="K96" s="356">
        <f t="shared" si="49"/>
        <v>3649.9204587233353</v>
      </c>
      <c r="L96" s="356">
        <f t="shared" ref="L96" si="50">L66</f>
        <v>3826.3244893805768</v>
      </c>
    </row>
    <row r="97" spans="2:12" ht="13" hidden="1" outlineLevel="1" thickBot="1" x14ac:dyDescent="0.3">
      <c r="B97" s="51" t="s">
        <v>578</v>
      </c>
      <c r="C97" s="51"/>
      <c r="D97" s="354"/>
      <c r="E97" s="355"/>
      <c r="F97" s="362">
        <f t="shared" ref="F97:K97" si="51">F68</f>
        <v>778.31326827593534</v>
      </c>
      <c r="G97" s="362">
        <f t="shared" si="51"/>
        <v>827.09069426895439</v>
      </c>
      <c r="H97" s="362">
        <f t="shared" si="51"/>
        <v>846.95638018824684</v>
      </c>
      <c r="I97" s="362">
        <f t="shared" si="51"/>
        <v>877.21356319434085</v>
      </c>
      <c r="J97" s="362">
        <f t="shared" si="51"/>
        <v>906.19256407693501</v>
      </c>
      <c r="K97" s="362">
        <f t="shared" si="51"/>
        <v>912.48011468083382</v>
      </c>
      <c r="L97" s="362">
        <f t="shared" ref="L97" si="52">L68</f>
        <v>956.58112234514419</v>
      </c>
    </row>
    <row r="98" spans="2:12" ht="13" hidden="1" outlineLevel="1" x14ac:dyDescent="0.3">
      <c r="B98" s="207" t="s">
        <v>567</v>
      </c>
      <c r="C98" s="207"/>
      <c r="D98" s="207"/>
      <c r="E98" s="207"/>
      <c r="F98" s="356">
        <f t="shared" ref="F98:K98" si="53">F96-F97</f>
        <v>2334.9398048278063</v>
      </c>
      <c r="G98" s="356">
        <f t="shared" si="53"/>
        <v>2481.2720828068632</v>
      </c>
      <c r="H98" s="356">
        <f t="shared" si="53"/>
        <v>2540.8691405647405</v>
      </c>
      <c r="I98" s="356">
        <f t="shared" si="53"/>
        <v>2631.6406895830223</v>
      </c>
      <c r="J98" s="356">
        <f t="shared" si="53"/>
        <v>2718.577692230805</v>
      </c>
      <c r="K98" s="356">
        <f t="shared" si="53"/>
        <v>2737.4403440425012</v>
      </c>
      <c r="L98" s="356">
        <f t="shared" ref="L98" si="54">L96-L97</f>
        <v>2869.7433670354326</v>
      </c>
    </row>
    <row r="99" spans="2:12" hidden="1" outlineLevel="1" x14ac:dyDescent="0.25">
      <c r="B99" t="s">
        <v>579</v>
      </c>
      <c r="F99" s="360">
        <f t="shared" ref="F99:K102" si="55">F70</f>
        <v>2303.8044557520229</v>
      </c>
      <c r="G99" s="360">
        <f t="shared" si="55"/>
        <v>2408.2347887132169</v>
      </c>
      <c r="H99" s="360">
        <f t="shared" si="55"/>
        <v>2496.1600190628042</v>
      </c>
      <c r="I99" s="360">
        <f t="shared" si="55"/>
        <v>2539.431766470484</v>
      </c>
      <c r="J99" s="360">
        <f t="shared" si="55"/>
        <v>2641.682077579002</v>
      </c>
      <c r="K99" s="360">
        <f t="shared" si="55"/>
        <v>2544.6388875097891</v>
      </c>
      <c r="L99" s="360">
        <f t="shared" ref="L99" si="56">L70</f>
        <v>2629.0110140639354</v>
      </c>
    </row>
    <row r="100" spans="2:12" hidden="1" outlineLevel="1" x14ac:dyDescent="0.25">
      <c r="B100" t="s">
        <v>580</v>
      </c>
      <c r="F100" s="360">
        <f t="shared" si="55"/>
        <v>1439.8777848450145</v>
      </c>
      <c r="G100" s="360">
        <f t="shared" si="55"/>
        <v>1505.1467429457607</v>
      </c>
      <c r="H100" s="360">
        <f t="shared" si="55"/>
        <v>1560.1000119142527</v>
      </c>
      <c r="I100" s="360">
        <f t="shared" si="55"/>
        <v>1587.1448540440524</v>
      </c>
      <c r="J100" s="360">
        <f t="shared" si="55"/>
        <v>1651.0512984868762</v>
      </c>
      <c r="K100" s="360">
        <f t="shared" si="55"/>
        <v>1590.3993046936182</v>
      </c>
      <c r="L100" s="360">
        <f t="shared" ref="L100" si="57">L71</f>
        <v>1643.1318837899596</v>
      </c>
    </row>
    <row r="101" spans="2:12" hidden="1" outlineLevel="1" x14ac:dyDescent="0.25">
      <c r="B101" t="s">
        <v>581</v>
      </c>
      <c r="F101" s="360">
        <f t="shared" si="55"/>
        <v>3167.7311266590314</v>
      </c>
      <c r="G101" s="360">
        <f t="shared" si="55"/>
        <v>3311.322834480673</v>
      </c>
      <c r="H101" s="360">
        <f t="shared" si="55"/>
        <v>3432.2200262113556</v>
      </c>
      <c r="I101" s="360">
        <f t="shared" si="55"/>
        <v>3491.7186788969152</v>
      </c>
      <c r="J101" s="360">
        <f t="shared" si="55"/>
        <v>3632.3128566711275</v>
      </c>
      <c r="K101" s="360">
        <f t="shared" si="55"/>
        <v>3498.8784703259598</v>
      </c>
      <c r="L101" s="360">
        <f t="shared" ref="L101" si="58">L72</f>
        <v>3614.8901443379109</v>
      </c>
    </row>
    <row r="102" spans="2:12" hidden="1" outlineLevel="1" x14ac:dyDescent="0.25">
      <c r="B102" t="s">
        <v>582</v>
      </c>
      <c r="F102" s="360">
        <f t="shared" si="55"/>
        <v>1958.2337873892195</v>
      </c>
      <c r="G102" s="360">
        <f t="shared" si="55"/>
        <v>2046.9995704062344</v>
      </c>
      <c r="H102" s="360">
        <f t="shared" si="55"/>
        <v>2121.7360162033838</v>
      </c>
      <c r="I102" s="360">
        <f t="shared" si="55"/>
        <v>2158.5170014999117</v>
      </c>
      <c r="J102" s="360">
        <f t="shared" si="55"/>
        <v>2245.4297659421518</v>
      </c>
      <c r="K102" s="360">
        <f t="shared" si="55"/>
        <v>2162.9430543833209</v>
      </c>
      <c r="L102" s="360">
        <f t="shared" ref="L102" si="59">L73</f>
        <v>2234.6593619543451</v>
      </c>
    </row>
    <row r="103" spans="2:12" hidden="1" outlineLevel="1" x14ac:dyDescent="0.25">
      <c r="B103" t="s">
        <v>583</v>
      </c>
      <c r="F103" s="314">
        <f t="shared" ref="F103:K103" ca="1" si="60">F76</f>
        <v>-225.30846918671159</v>
      </c>
      <c r="G103" s="314">
        <f t="shared" si="60"/>
        <v>833.49905531996774</v>
      </c>
      <c r="H103" s="314">
        <f t="shared" si="60"/>
        <v>665.15071583067765</v>
      </c>
      <c r="I103" s="314">
        <f t="shared" si="60"/>
        <v>328.11906405995978</v>
      </c>
      <c r="J103" s="314">
        <f t="shared" si="60"/>
        <v>795.6684982247134</v>
      </c>
      <c r="K103" s="314">
        <f t="shared" si="60"/>
        <v>-688.52855440784697</v>
      </c>
      <c r="L103" s="314">
        <f t="shared" ref="L103" si="61">L76</f>
        <v>666.88485363478685</v>
      </c>
    </row>
    <row r="104" spans="2:12" hidden="1" outlineLevel="1" x14ac:dyDescent="0.25">
      <c r="B104" t="s">
        <v>584</v>
      </c>
      <c r="F104" s="360">
        <f t="shared" ref="F104:K104" si="62">F79</f>
        <v>98.902227876011466</v>
      </c>
      <c r="G104" s="360">
        <f t="shared" si="62"/>
        <v>52.215166480596963</v>
      </c>
      <c r="H104" s="360">
        <f t="shared" si="62"/>
        <v>43.962615174793655</v>
      </c>
      <c r="I104" s="360">
        <f t="shared" si="62"/>
        <v>21.635873703839934</v>
      </c>
      <c r="J104" s="360">
        <f t="shared" si="62"/>
        <v>51.125155554258981</v>
      </c>
      <c r="K104" s="360">
        <f t="shared" si="62"/>
        <v>-48.521595034606435</v>
      </c>
      <c r="L104" s="360">
        <f t="shared" ref="L104" si="63">L79</f>
        <v>42.186063277073117</v>
      </c>
    </row>
    <row r="105" spans="2:12" hidden="1" outlineLevel="1" x14ac:dyDescent="0.25">
      <c r="B105" t="s">
        <v>585</v>
      </c>
      <c r="F105" s="360">
        <f t="shared" ref="F105:K105" si="64">F82</f>
        <v>111.52730234490809</v>
      </c>
      <c r="G105" s="360">
        <f t="shared" si="64"/>
        <v>124.27209622382043</v>
      </c>
      <c r="H105" s="360">
        <f t="shared" si="64"/>
        <v>104.63102411600858</v>
      </c>
      <c r="I105" s="360">
        <f t="shared" si="64"/>
        <v>51.493379415139316</v>
      </c>
      <c r="J105" s="360">
        <f t="shared" si="64"/>
        <v>121.67787021913637</v>
      </c>
      <c r="K105" s="360">
        <f t="shared" si="64"/>
        <v>-115.48139618236337</v>
      </c>
      <c r="L105" s="360">
        <f t="shared" ref="L105" si="65">L82</f>
        <v>100.40283059943431</v>
      </c>
    </row>
    <row r="106" spans="2:12" hidden="1" outlineLevel="1" x14ac:dyDescent="0.25">
      <c r="B106" t="s">
        <v>586</v>
      </c>
      <c r="F106" s="360">
        <f t="shared" ref="F106:K106" si="66">F85</f>
        <v>21.13049522113306</v>
      </c>
      <c r="G106" s="360">
        <f t="shared" si="66"/>
        <v>58.48098645826849</v>
      </c>
      <c r="H106" s="360">
        <f t="shared" si="66"/>
        <v>49.238128995768648</v>
      </c>
      <c r="I106" s="360">
        <f t="shared" si="66"/>
        <v>24.232178548300908</v>
      </c>
      <c r="J106" s="360">
        <f t="shared" si="66"/>
        <v>57.260174220770296</v>
      </c>
      <c r="K106" s="360">
        <f t="shared" si="66"/>
        <v>-54.34418643875938</v>
      </c>
      <c r="L106" s="360">
        <f t="shared" ref="L106" si="67">L85</f>
        <v>47.248390870322055</v>
      </c>
    </row>
    <row r="107" spans="2:12" hidden="1" outlineLevel="1" x14ac:dyDescent="0.25">
      <c r="B107" s="274" t="s">
        <v>587</v>
      </c>
      <c r="C107" s="274"/>
      <c r="D107" s="274"/>
      <c r="E107" s="274"/>
      <c r="F107" s="363">
        <f t="shared" ref="F107:K107" si="68">F89</f>
        <v>126.85981102996993</v>
      </c>
      <c r="G107" s="363">
        <f t="shared" si="68"/>
        <v>553.37633436136639</v>
      </c>
      <c r="H107" s="363">
        <f t="shared" si="68"/>
        <v>465.91579562246261</v>
      </c>
      <c r="I107" s="363">
        <f t="shared" si="68"/>
        <v>229.29698951329738</v>
      </c>
      <c r="J107" s="363">
        <f t="shared" si="68"/>
        <v>541.82439856403835</v>
      </c>
      <c r="K107" s="363">
        <f t="shared" si="68"/>
        <v>-514.2318641767597</v>
      </c>
      <c r="L107" s="363">
        <f t="shared" ref="L107" si="69">L89</f>
        <v>447.08789861042169</v>
      </c>
    </row>
    <row r="108" spans="2:12" s="207" customFormat="1" ht="13" hidden="1" outlineLevel="1" x14ac:dyDescent="0.3">
      <c r="B108" s="207" t="s">
        <v>589</v>
      </c>
      <c r="F108" s="356">
        <f t="shared" ref="F108:K108" ca="1" si="70">F98+SUM(F99:F100)-SUM(F101:F104)+SUM(F105:F107)</f>
        <v>1338.580981283304</v>
      </c>
      <c r="G108" s="356">
        <f t="shared" si="70"/>
        <v>886.74640482182394</v>
      </c>
      <c r="H108" s="356">
        <f t="shared" si="70"/>
        <v>953.84474685582677</v>
      </c>
      <c r="I108" s="356">
        <f t="shared" si="70"/>
        <v>1063.2492394136698</v>
      </c>
      <c r="J108" s="356">
        <f t="shared" si="70"/>
        <v>1007.5372349083773</v>
      </c>
      <c r="K108" s="356">
        <f t="shared" si="70"/>
        <v>1263.6497141811985</v>
      </c>
      <c r="L108" s="356">
        <f t="shared" ref="L108" si="71">L98+SUM(L99:L100)-SUM(L101:L104)+SUM(L105:L107)</f>
        <v>1178.0049617653899</v>
      </c>
    </row>
    <row r="109" spans="2:12" s="207" customFormat="1" ht="13" hidden="1" outlineLevel="1" x14ac:dyDescent="0.3">
      <c r="F109" s="356"/>
      <c r="G109" s="356"/>
      <c r="H109" s="356"/>
      <c r="I109" s="356"/>
      <c r="J109" s="356"/>
      <c r="K109" s="356"/>
      <c r="L109" s="356"/>
    </row>
    <row r="110" spans="2:12" s="207" customFormat="1" ht="13" hidden="1" outlineLevel="1" x14ac:dyDescent="0.3">
      <c r="F110" s="356"/>
      <c r="G110" s="356"/>
      <c r="H110" s="356"/>
      <c r="I110" s="356"/>
      <c r="J110" s="356"/>
      <c r="K110" s="356"/>
      <c r="L110" s="356"/>
    </row>
    <row r="111" spans="2:12" s="207" customFormat="1" ht="13" hidden="1" outlineLevel="1" x14ac:dyDescent="0.3">
      <c r="B111" t="s">
        <v>590</v>
      </c>
      <c r="F111" s="314">
        <f t="shared" ref="F111:J111" ca="1" si="72">F98-F108</f>
        <v>996.35882354450223</v>
      </c>
      <c r="G111" s="314">
        <f t="shared" si="72"/>
        <v>1594.5256779850392</v>
      </c>
      <c r="H111" s="314">
        <f t="shared" si="72"/>
        <v>1587.0243937089137</v>
      </c>
      <c r="I111" s="314">
        <f t="shared" si="72"/>
        <v>1568.3914501693525</v>
      </c>
      <c r="J111" s="314">
        <f t="shared" si="72"/>
        <v>1711.0404573224278</v>
      </c>
      <c r="K111" s="314">
        <f>K98-K108</f>
        <v>1473.7906298613027</v>
      </c>
      <c r="L111" s="314">
        <f>L98-L108</f>
        <v>1691.7384052700427</v>
      </c>
    </row>
    <row r="112" spans="2:12" s="207" customFormat="1" ht="13" hidden="1" outlineLevel="1" x14ac:dyDescent="0.3">
      <c r="B112" t="s">
        <v>591</v>
      </c>
      <c r="F112" s="217">
        <f t="shared" ref="F112:J112" ca="1" si="73">F111/F98</f>
        <v>0.42671713484193236</v>
      </c>
      <c r="G112" s="217">
        <f t="shared" si="73"/>
        <v>0.64262427689158574</v>
      </c>
      <c r="H112" s="217">
        <f t="shared" si="73"/>
        <v>0.62459902730613559</v>
      </c>
      <c r="I112" s="217">
        <f t="shared" si="73"/>
        <v>0.59597476827957874</v>
      </c>
      <c r="J112" s="217">
        <f t="shared" si="73"/>
        <v>0.62938810327630756</v>
      </c>
      <c r="K112" s="217">
        <f>K111/K98</f>
        <v>0.53838273884898247</v>
      </c>
      <c r="L112" s="217">
        <f>L111/L98</f>
        <v>0.58950860369708968</v>
      </c>
    </row>
    <row r="113" spans="1:20" s="207" customFormat="1" ht="13" hidden="1" outlineLevel="1" x14ac:dyDescent="0.3">
      <c r="B113" t="s">
        <v>592</v>
      </c>
      <c r="F113" s="217">
        <f t="shared" ref="F113:J113" ca="1" si="74">(G98-F98)/F111</f>
        <v>0.14686704681199725</v>
      </c>
      <c r="G113" s="217">
        <f t="shared" si="74"/>
        <v>3.7376041402599799E-2</v>
      </c>
      <c r="H113" s="217">
        <f t="shared" si="74"/>
        <v>5.7196064142496596E-2</v>
      </c>
      <c r="I113" s="217">
        <f t="shared" si="74"/>
        <v>5.5430678762241017E-2</v>
      </c>
      <c r="J113" s="217">
        <f t="shared" si="74"/>
        <v>1.1024082879497762E-2</v>
      </c>
      <c r="K113" s="217">
        <f>(L98-K98)/K111</f>
        <v>8.9770568703766485E-2</v>
      </c>
      <c r="L113" s="217">
        <f>AVERAGE(J113:K113)</f>
        <v>5.0397325791632121E-2</v>
      </c>
    </row>
    <row r="114" spans="1:20" s="207" customFormat="1" ht="13" hidden="1" outlineLevel="1" x14ac:dyDescent="0.3">
      <c r="B114" t="s">
        <v>593</v>
      </c>
      <c r="F114" s="217">
        <f ca="1">F113*F112</f>
        <v>6.2670685418311417E-2</v>
      </c>
      <c r="G114" s="217">
        <f t="shared" ref="G114:K114" si="75">G113*G112</f>
        <v>2.4018751579415666E-2</v>
      </c>
      <c r="H114" s="217">
        <f t="shared" si="75"/>
        <v>3.5724606029142715E-2</v>
      </c>
      <c r="I114" s="217">
        <f t="shared" si="75"/>
        <v>3.3035285930906357E-2</v>
      </c>
      <c r="J114" s="217">
        <f t="shared" si="75"/>
        <v>6.938426613887912E-3</v>
      </c>
      <c r="K114" s="217">
        <f t="shared" si="75"/>
        <v>4.8330924646764549E-2</v>
      </c>
      <c r="L114" s="346">
        <f>L113*L112</f>
        <v>2.9709657157492377E-2</v>
      </c>
    </row>
    <row r="115" spans="1:20" s="207" customFormat="1" ht="13" hidden="1" outlineLevel="1" x14ac:dyDescent="0.3">
      <c r="B115" t="s">
        <v>513</v>
      </c>
      <c r="F115" s="217">
        <f t="shared" ref="F115:K115" ca="1" si="76">F98/AVERAGE(E53:F53)</f>
        <v>0.10115450105572446</v>
      </c>
      <c r="G115" s="217">
        <f t="shared" si="76"/>
        <v>0.10001607436149447</v>
      </c>
      <c r="H115" s="217">
        <f t="shared" si="76"/>
        <v>9.4594878179827743E-2</v>
      </c>
      <c r="I115" s="217">
        <f t="shared" si="76"/>
        <v>9.0927491344427125E-2</v>
      </c>
      <c r="J115" s="217">
        <f t="shared" si="76"/>
        <v>8.7344909593839115E-2</v>
      </c>
      <c r="K115" s="217">
        <f t="shared" si="76"/>
        <v>8.2207599949734825E-2</v>
      </c>
      <c r="L115" s="217">
        <f t="shared" ref="L115" si="77">L98/AVERAGE(K53:L53)</f>
        <v>8.0859708709278638E-2</v>
      </c>
    </row>
    <row r="116" spans="1:20" s="207" customFormat="1" ht="13" hidden="1" outlineLevel="1" x14ac:dyDescent="0.3">
      <c r="F116" s="356"/>
      <c r="G116" s="404">
        <f>G96/F96-1</f>
        <v>6.2670685418311445E-2</v>
      </c>
      <c r="H116" s="404">
        <f t="shared" ref="H116:L116" si="78">H96/G96-1</f>
        <v>2.4018751579415687E-2</v>
      </c>
      <c r="I116" s="404">
        <f t="shared" si="78"/>
        <v>3.5724606029142736E-2</v>
      </c>
      <c r="J116" s="404">
        <f t="shared" si="78"/>
        <v>3.3035285930906211E-2</v>
      </c>
      <c r="K116" s="404">
        <f t="shared" si="78"/>
        <v>6.9384266138881046E-3</v>
      </c>
      <c r="L116" s="404">
        <f t="shared" si="78"/>
        <v>4.8330924646764473E-2</v>
      </c>
    </row>
    <row r="117" spans="1:20" s="207" customFormat="1" ht="13" hidden="1" outlineLevel="1" x14ac:dyDescent="0.3">
      <c r="F117" s="356"/>
      <c r="G117" s="356"/>
      <c r="H117" s="356"/>
      <c r="I117" s="356"/>
      <c r="J117" s="356"/>
      <c r="K117" s="356"/>
    </row>
    <row r="118" spans="1:20" collapsed="1" x14ac:dyDescent="0.25"/>
    <row r="119" spans="1:20" s="33" customFormat="1" ht="18" x14ac:dyDescent="0.4">
      <c r="A119" s="33" t="s">
        <v>22</v>
      </c>
      <c r="B119" s="47" t="s">
        <v>594</v>
      </c>
      <c r="C119" s="47"/>
      <c r="D119" s="47"/>
      <c r="E119" s="47"/>
      <c r="F119" s="47"/>
      <c r="G119" s="47"/>
      <c r="H119" s="47"/>
      <c r="I119" s="47"/>
      <c r="J119" s="47"/>
      <c r="K119" s="47"/>
      <c r="L119" s="47"/>
      <c r="M119"/>
      <c r="N119"/>
      <c r="O119"/>
      <c r="P119"/>
      <c r="Q119"/>
      <c r="R119"/>
      <c r="S119"/>
      <c r="T119"/>
    </row>
    <row r="120" spans="1:20" outlineLevel="1" x14ac:dyDescent="0.25"/>
    <row r="121" spans="1:20" s="41" customFormat="1" ht="13" outlineLevel="1" x14ac:dyDescent="0.3">
      <c r="E121" s="156"/>
      <c r="F121" s="157">
        <v>2025</v>
      </c>
      <c r="G121" s="157">
        <v>2026</v>
      </c>
      <c r="H121" s="157">
        <v>2027</v>
      </c>
      <c r="I121" s="157">
        <v>2028</v>
      </c>
      <c r="J121" s="157">
        <v>2029</v>
      </c>
      <c r="K121" s="157">
        <v>2030</v>
      </c>
      <c r="L121" s="157">
        <f>+K121+1</f>
        <v>2031</v>
      </c>
      <c r="M121" s="207"/>
      <c r="N121" s="207"/>
      <c r="O121" s="207"/>
      <c r="P121" s="207"/>
      <c r="Q121" s="207"/>
      <c r="R121" s="207"/>
      <c r="S121" s="207"/>
      <c r="T121" s="207"/>
    </row>
    <row r="122" spans="1:20" s="41" customFormat="1" ht="13.5" outlineLevel="1" thickBot="1" x14ac:dyDescent="0.35">
      <c r="B122" s="73"/>
      <c r="C122" s="73"/>
      <c r="D122" s="73"/>
      <c r="E122" s="158"/>
      <c r="F122" s="159">
        <v>2025</v>
      </c>
      <c r="G122" s="159">
        <v>2026</v>
      </c>
      <c r="H122" s="159">
        <v>2027</v>
      </c>
      <c r="I122" s="159">
        <v>2028</v>
      </c>
      <c r="J122" s="159">
        <v>2029</v>
      </c>
      <c r="K122" s="159">
        <v>2030</v>
      </c>
      <c r="L122" s="159">
        <f>+K122+1</f>
        <v>2031</v>
      </c>
      <c r="M122" s="207"/>
      <c r="N122" s="207"/>
      <c r="O122" s="207"/>
      <c r="P122" s="207"/>
      <c r="Q122" s="207"/>
      <c r="R122" s="207"/>
      <c r="S122" s="207"/>
      <c r="T122" s="207"/>
    </row>
    <row r="123" spans="1:20" s="207" customFormat="1" ht="13" outlineLevel="1" x14ac:dyDescent="0.3">
      <c r="B123" s="207" t="s">
        <v>589</v>
      </c>
      <c r="F123" s="356">
        <f t="shared" ref="F123:L123" ca="1" si="79">F108</f>
        <v>1338.580981283304</v>
      </c>
      <c r="G123" s="356">
        <f t="shared" si="79"/>
        <v>886.74640482182394</v>
      </c>
      <c r="H123" s="356">
        <f t="shared" si="79"/>
        <v>953.84474685582677</v>
      </c>
      <c r="I123" s="356">
        <f t="shared" si="79"/>
        <v>1063.2492394136698</v>
      </c>
      <c r="J123" s="356">
        <f t="shared" si="79"/>
        <v>1007.5372349083773</v>
      </c>
      <c r="K123" s="356">
        <f t="shared" si="79"/>
        <v>1263.6497141811985</v>
      </c>
      <c r="L123" s="356">
        <f t="shared" si="79"/>
        <v>1178.0049617653899</v>
      </c>
      <c r="M123" s="364"/>
      <c r="N123"/>
    </row>
    <row r="124" spans="1:20" s="207" customFormat="1" ht="13" outlineLevel="1" x14ac:dyDescent="0.3">
      <c r="B124" s="207" t="s">
        <v>595</v>
      </c>
      <c r="F124" s="356">
        <f ca="1">(F126*F123)/(1+F129)^F127</f>
        <v>222.23126978417622</v>
      </c>
      <c r="G124" s="356">
        <f>(G123)/(1+G129)^G127</f>
        <v>863.45838941733666</v>
      </c>
      <c r="H124" s="356">
        <f t="shared" ref="H124:L124" si="80">(H123)/(1+H129)^H127</f>
        <v>885.98316725776078</v>
      </c>
      <c r="I124" s="356">
        <f t="shared" si="80"/>
        <v>936.12791505869666</v>
      </c>
      <c r="J124" s="356">
        <f t="shared" si="80"/>
        <v>839.33249534756953</v>
      </c>
      <c r="K124" s="356">
        <f t="shared" si="80"/>
        <v>988.46523156844432</v>
      </c>
      <c r="L124" s="356">
        <f t="shared" si="80"/>
        <v>861.28343983971558</v>
      </c>
      <c r="M124" s="364"/>
      <c r="N124"/>
    </row>
    <row r="125" spans="1:20" outlineLevel="1" x14ac:dyDescent="0.25"/>
    <row r="126" spans="1:20" outlineLevel="1" x14ac:dyDescent="0.25">
      <c r="B126" t="s">
        <v>596</v>
      </c>
      <c r="F126" s="216">
        <f>YEARFRAC(D6,D7)</f>
        <v>0.16666666666666666</v>
      </c>
      <c r="M126" s="257"/>
    </row>
    <row r="127" spans="1:20" outlineLevel="1" x14ac:dyDescent="0.25">
      <c r="B127" t="s">
        <v>597</v>
      </c>
      <c r="F127" s="257">
        <f>F126/2</f>
        <v>8.3333333333333329E-2</v>
      </c>
      <c r="G127" s="257">
        <f>F127+0.5</f>
        <v>0.58333333333333337</v>
      </c>
      <c r="H127" s="257">
        <f>G127+1</f>
        <v>1.5833333333333335</v>
      </c>
      <c r="I127" s="257">
        <f t="shared" ref="I127:L127" si="81">H127+1</f>
        <v>2.5833333333333335</v>
      </c>
      <c r="J127" s="257">
        <f t="shared" si="81"/>
        <v>3.5833333333333335</v>
      </c>
      <c r="K127" s="257">
        <f t="shared" si="81"/>
        <v>4.5833333333333339</v>
      </c>
      <c r="L127" s="257">
        <f t="shared" si="81"/>
        <v>5.5833333333333339</v>
      </c>
      <c r="M127" s="257"/>
    </row>
    <row r="128" spans="1:20" outlineLevel="1" x14ac:dyDescent="0.25">
      <c r="F128" s="257"/>
      <c r="G128" s="257"/>
      <c r="H128" s="257"/>
      <c r="I128" s="257"/>
      <c r="J128" s="257"/>
      <c r="K128" s="257"/>
      <c r="L128" s="257"/>
    </row>
    <row r="129" spans="2:15" outlineLevel="1" x14ac:dyDescent="0.25">
      <c r="B129" t="s">
        <v>598</v>
      </c>
      <c r="F129" s="382">
        <f>WACC!I31</f>
        <v>4.7752691004968012E-2</v>
      </c>
      <c r="G129" s="382">
        <f>WACC!J31</f>
        <v>4.6679584900763044E-2</v>
      </c>
      <c r="H129" s="382">
        <f>WACC!K31</f>
        <v>4.7715836073789736E-2</v>
      </c>
      <c r="I129" s="382">
        <f>WACC!L31</f>
        <v>5.052503617984027E-2</v>
      </c>
      <c r="J129" s="382">
        <f>WACC!M31</f>
        <v>5.2295677135681576E-2</v>
      </c>
      <c r="K129" s="382">
        <f>WACC!N31</f>
        <v>5.504851437781489E-2</v>
      </c>
      <c r="L129" s="382">
        <f>WACC!O31</f>
        <v>5.7689984955573689E-2</v>
      </c>
    </row>
    <row r="130" spans="2:15" outlineLevel="1" x14ac:dyDescent="0.25"/>
    <row r="131" spans="2:15" outlineLevel="1" x14ac:dyDescent="0.25">
      <c r="B131" t="s">
        <v>599</v>
      </c>
      <c r="L131" s="360">
        <f>(L123*(1+TGR))/(L129-TGR)</f>
        <v>31880.22129531276</v>
      </c>
    </row>
    <row r="132" spans="2:15" outlineLevel="1" x14ac:dyDescent="0.25">
      <c r="B132" t="s">
        <v>600</v>
      </c>
      <c r="L132" s="360">
        <f>L131/(1+L129)^(L127+0.5+F126/2)</f>
        <v>22558.553199214995</v>
      </c>
    </row>
    <row r="133" spans="2:15" ht="13" outlineLevel="1" thickBot="1" x14ac:dyDescent="0.3">
      <c r="B133" t="s">
        <v>601</v>
      </c>
      <c r="L133" s="360">
        <f ca="1">SUM(F124:L124)</f>
        <v>5596.8819082736991</v>
      </c>
    </row>
    <row r="134" spans="2:15" ht="13" outlineLevel="1" x14ac:dyDescent="0.3">
      <c r="N134" s="543" t="s">
        <v>602</v>
      </c>
      <c r="O134" s="544"/>
    </row>
    <row r="135" spans="2:15" ht="13" outlineLevel="1" x14ac:dyDescent="0.3">
      <c r="B135" s="207" t="s">
        <v>603</v>
      </c>
      <c r="G135" s="314"/>
      <c r="L135" s="384">
        <f ca="1">SUM(L132,F124:L124)</f>
        <v>28155.435107488698</v>
      </c>
      <c r="N135" s="545">
        <f ca="1">L135</f>
        <v>28155.435107488698</v>
      </c>
      <c r="O135" s="546">
        <v>0</v>
      </c>
    </row>
    <row r="136" spans="2:15" outlineLevel="1" x14ac:dyDescent="0.25">
      <c r="N136" s="545"/>
      <c r="O136" s="546"/>
    </row>
    <row r="137" spans="2:15" ht="13" outlineLevel="1" x14ac:dyDescent="0.3">
      <c r="B137" s="207" t="s">
        <v>604</v>
      </c>
      <c r="N137" s="545"/>
      <c r="O137" s="546"/>
    </row>
    <row r="138" spans="2:15" outlineLevel="1" x14ac:dyDescent="0.25">
      <c r="B138" s="341" t="s">
        <v>150</v>
      </c>
      <c r="G138" s="314"/>
      <c r="L138" s="215">
        <f ca="1">'Main Financials'!N61*F161</f>
        <v>-5398.1687762551746</v>
      </c>
      <c r="N138" s="545">
        <f ca="1">N135-O138</f>
        <v>22757.266331233524</v>
      </c>
      <c r="O138" s="546">
        <f ca="1">ABS(L138)</f>
        <v>5398.1687762551746</v>
      </c>
    </row>
    <row r="139" spans="2:15" outlineLevel="1" x14ac:dyDescent="0.25">
      <c r="B139" s="341" t="s">
        <v>128</v>
      </c>
      <c r="G139" s="314"/>
      <c r="L139" s="215">
        <f>'Main Financials'!N116</f>
        <v>2458</v>
      </c>
      <c r="N139" s="545">
        <f ca="1">N138</f>
        <v>22757.266331233524</v>
      </c>
      <c r="O139" s="546">
        <f>L139</f>
        <v>2458</v>
      </c>
    </row>
    <row r="140" spans="2:15" outlineLevel="1" x14ac:dyDescent="0.25">
      <c r="B140" s="341" t="s">
        <v>129</v>
      </c>
      <c r="G140" s="314"/>
      <c r="L140" s="215">
        <f>'Main Financials'!N117</f>
        <v>692</v>
      </c>
      <c r="N140" s="545">
        <f ca="1">N139+O139</f>
        <v>25215.266331233524</v>
      </c>
      <c r="O140" s="546">
        <f>L140</f>
        <v>692</v>
      </c>
    </row>
    <row r="141" spans="2:15" outlineLevel="1" x14ac:dyDescent="0.25">
      <c r="B141" s="341" t="s">
        <v>130</v>
      </c>
      <c r="G141" s="314"/>
      <c r="L141" s="215">
        <f>'Main Financials'!N118</f>
        <v>278</v>
      </c>
      <c r="N141" s="545">
        <f ca="1">N140+O140</f>
        <v>25907.266331233524</v>
      </c>
      <c r="O141" s="546">
        <f>L141</f>
        <v>278</v>
      </c>
    </row>
    <row r="142" spans="2:15" outlineLevel="1" x14ac:dyDescent="0.25">
      <c r="B142" s="342" t="s">
        <v>131</v>
      </c>
      <c r="C142" s="274"/>
      <c r="D142" s="274"/>
      <c r="L142" s="405">
        <f>'Main Financials'!N120</f>
        <v>0</v>
      </c>
      <c r="N142" s="545"/>
      <c r="O142" s="546"/>
    </row>
    <row r="143" spans="2:15" ht="13" outlineLevel="1" x14ac:dyDescent="0.3">
      <c r="B143" s="207" t="s">
        <v>605</v>
      </c>
      <c r="G143" s="314"/>
      <c r="L143" s="395">
        <f ca="1">SUM(L138:L142,L135)</f>
        <v>26185.266331233524</v>
      </c>
      <c r="N143" s="545">
        <f ca="1">N141+O141</f>
        <v>26185.266331233524</v>
      </c>
      <c r="O143" s="546">
        <v>0</v>
      </c>
    </row>
    <row r="144" spans="2:15" ht="13" outlineLevel="1" x14ac:dyDescent="0.3">
      <c r="B144" s="207" t="s">
        <v>606</v>
      </c>
      <c r="N144" s="545"/>
      <c r="O144" s="546"/>
    </row>
    <row r="145" spans="1:15" outlineLevel="1" x14ac:dyDescent="0.25">
      <c r="B145" s="341" t="s">
        <v>133</v>
      </c>
      <c r="G145" s="314"/>
      <c r="L145" s="215">
        <f>ABS('Main Financials'!N123)</f>
        <v>1130</v>
      </c>
      <c r="N145" s="545">
        <f ca="1">N143-O145</f>
        <v>25055.266331233524</v>
      </c>
      <c r="O145" s="546">
        <f>L145</f>
        <v>1130</v>
      </c>
    </row>
    <row r="146" spans="1:15" outlineLevel="1" x14ac:dyDescent="0.25">
      <c r="B146" s="341" t="s">
        <v>134</v>
      </c>
      <c r="G146" s="314"/>
      <c r="L146" s="215">
        <f>ABS('Main Financials'!N124)</f>
        <v>0</v>
      </c>
      <c r="N146" s="545"/>
      <c r="O146" s="546"/>
    </row>
    <row r="147" spans="1:15" outlineLevel="1" x14ac:dyDescent="0.25">
      <c r="B147" s="341" t="s">
        <v>135</v>
      </c>
      <c r="G147" s="314"/>
      <c r="L147" s="215">
        <f>ABS('Main Financials'!N125)</f>
        <v>284</v>
      </c>
      <c r="N147" s="545">
        <f ca="1">N145-O147</f>
        <v>24771.266331233524</v>
      </c>
      <c r="O147" s="546">
        <f>L147</f>
        <v>284</v>
      </c>
    </row>
    <row r="148" spans="1:15" ht="13" outlineLevel="1" x14ac:dyDescent="0.3">
      <c r="B148" s="207" t="s">
        <v>607</v>
      </c>
      <c r="N148" s="545"/>
      <c r="O148" s="546"/>
    </row>
    <row r="149" spans="1:15" outlineLevel="1" x14ac:dyDescent="0.25">
      <c r="B149" s="342" t="s">
        <v>608</v>
      </c>
      <c r="C149" s="274"/>
      <c r="D149" s="274"/>
      <c r="G149" s="314"/>
      <c r="L149" s="405">
        <f ca="1">'Main Financials'!N142-'Main Financials'!N119</f>
        <v>10913.409621983592</v>
      </c>
      <c r="N149" s="545">
        <f ca="1">N147-O149</f>
        <v>13857.856709249932</v>
      </c>
      <c r="O149" s="546">
        <f ca="1">L149</f>
        <v>10913.409621983592</v>
      </c>
    </row>
    <row r="150" spans="1:15" ht="13" outlineLevel="1" x14ac:dyDescent="0.3">
      <c r="B150" s="207" t="s">
        <v>609</v>
      </c>
      <c r="G150" s="314"/>
      <c r="L150" s="384">
        <f ca="1">L143-SUM(L145:L149)</f>
        <v>13857.856709249932</v>
      </c>
      <c r="N150" s="545">
        <f ca="1">L150</f>
        <v>13857.856709249932</v>
      </c>
      <c r="O150" s="546">
        <v>0</v>
      </c>
    </row>
    <row r="151" spans="1:15" outlineLevel="1" x14ac:dyDescent="0.25">
      <c r="B151" s="341" t="s">
        <v>610</v>
      </c>
      <c r="G151" s="314"/>
      <c r="L151" s="215">
        <f>'Main Financials'!N139*F162</f>
        <v>664.63717133484954</v>
      </c>
      <c r="N151" s="545">
        <f ca="1">N150-O151</f>
        <v>13193.219537915083</v>
      </c>
      <c r="O151" s="546">
        <f>L151</f>
        <v>664.63717133484954</v>
      </c>
    </row>
    <row r="152" spans="1:15" outlineLevel="1" x14ac:dyDescent="0.25">
      <c r="B152" s="342" t="s">
        <v>611</v>
      </c>
      <c r="C152" s="274"/>
      <c r="D152" s="274"/>
      <c r="L152" s="405">
        <v>0</v>
      </c>
      <c r="N152" s="545"/>
      <c r="O152" s="546"/>
    </row>
    <row r="153" spans="1:15" ht="13.5" outlineLevel="1" thickBot="1" x14ac:dyDescent="0.35">
      <c r="B153" s="207" t="s">
        <v>612</v>
      </c>
      <c r="G153" s="314"/>
      <c r="L153" s="384">
        <f ca="1">L150-SUM(L151:L152)</f>
        <v>13193.219537915083</v>
      </c>
      <c r="N153" s="547">
        <f ca="1">L153</f>
        <v>13193.219537915083</v>
      </c>
      <c r="O153" s="548">
        <v>0</v>
      </c>
    </row>
    <row r="154" spans="1:15" outlineLevel="1" x14ac:dyDescent="0.25">
      <c r="B154" s="341" t="s">
        <v>613</v>
      </c>
      <c r="L154" s="257">
        <v>0</v>
      </c>
    </row>
    <row r="155" spans="1:15" outlineLevel="1" x14ac:dyDescent="0.25">
      <c r="B155" s="341" t="s">
        <v>614</v>
      </c>
      <c r="L155" s="257">
        <v>0</v>
      </c>
    </row>
    <row r="156" spans="1:15" outlineLevel="1" x14ac:dyDescent="0.25"/>
    <row r="157" spans="1:15" outlineLevel="1" x14ac:dyDescent="0.25">
      <c r="B157" s="274" t="s">
        <v>615</v>
      </c>
      <c r="C157" s="274"/>
      <c r="D157" s="274"/>
      <c r="L157" s="405">
        <f>cs_fd_outstanding</f>
        <v>276.88299999999998</v>
      </c>
    </row>
    <row r="158" spans="1:15" ht="13" outlineLevel="1" x14ac:dyDescent="0.3">
      <c r="A158" t="s">
        <v>22</v>
      </c>
      <c r="B158" s="207" t="s">
        <v>616</v>
      </c>
      <c r="L158" s="383">
        <f ca="1">L153/L157</f>
        <v>47.649077545082527</v>
      </c>
    </row>
    <row r="159" spans="1:15" outlineLevel="1" x14ac:dyDescent="0.25"/>
    <row r="160" spans="1:15" ht="13" outlineLevel="1" x14ac:dyDescent="0.3">
      <c r="B160" s="207" t="s">
        <v>617</v>
      </c>
    </row>
    <row r="161" spans="1:20" outlineLevel="1" x14ac:dyDescent="0.25">
      <c r="B161" t="s">
        <v>618</v>
      </c>
      <c r="F161" s="396">
        <f ca="1">AVERAGE(CCA!O66:O74)</f>
        <v>10.361168476497456</v>
      </c>
    </row>
    <row r="162" spans="1:20" outlineLevel="1" x14ac:dyDescent="0.25">
      <c r="B162" t="s">
        <v>619</v>
      </c>
      <c r="F162" s="396">
        <f>CCA!AF68</f>
        <v>0.8381301025660145</v>
      </c>
    </row>
    <row r="163" spans="1:20" outlineLevel="1" x14ac:dyDescent="0.25">
      <c r="F163" s="409"/>
    </row>
    <row r="165" spans="1:20" s="33" customFormat="1" ht="18" x14ac:dyDescent="0.4">
      <c r="A165" s="33" t="s">
        <v>22</v>
      </c>
      <c r="B165" s="47" t="s">
        <v>620</v>
      </c>
      <c r="C165" s="47"/>
      <c r="D165" s="47"/>
      <c r="E165" s="47"/>
      <c r="F165" s="47"/>
      <c r="G165" s="47"/>
      <c r="H165" s="47"/>
      <c r="I165" s="47"/>
      <c r="J165" s="47"/>
      <c r="K165" s="47"/>
      <c r="L165" s="47"/>
      <c r="M165"/>
      <c r="N165"/>
      <c r="O165"/>
      <c r="P165"/>
      <c r="Q165"/>
      <c r="R165"/>
      <c r="S165"/>
      <c r="T165"/>
    </row>
    <row r="166" spans="1:20" outlineLevel="1" x14ac:dyDescent="0.25"/>
    <row r="167" spans="1:20" outlineLevel="1" x14ac:dyDescent="0.25">
      <c r="B167" t="s">
        <v>621</v>
      </c>
      <c r="D167" s="485">
        <f>L129</f>
        <v>5.7689984955573689E-2</v>
      </c>
      <c r="G167" t="s">
        <v>604</v>
      </c>
      <c r="K167" s="126" t="s">
        <v>622</v>
      </c>
      <c r="L167" s="487">
        <f ca="1">SUM(L138:L142)</f>
        <v>-1970.1687762551746</v>
      </c>
    </row>
    <row r="168" spans="1:20" outlineLevel="1" x14ac:dyDescent="0.25">
      <c r="B168" t="s">
        <v>568</v>
      </c>
      <c r="D168" s="485">
        <f>TGR</f>
        <v>0.02</v>
      </c>
      <c r="G168" t="s">
        <v>623</v>
      </c>
      <c r="K168" s="126" t="s">
        <v>624</v>
      </c>
      <c r="L168" s="487">
        <f ca="1">SUM(L145:L149)</f>
        <v>12327.409621983592</v>
      </c>
    </row>
    <row r="169" spans="1:20" outlineLevel="1" x14ac:dyDescent="0.25">
      <c r="G169" t="s">
        <v>625</v>
      </c>
      <c r="K169" s="126" t="s">
        <v>624</v>
      </c>
      <c r="L169" s="487">
        <f>SUM(L151:L152)</f>
        <v>664.63717133484954</v>
      </c>
    </row>
    <row r="170" spans="1:20" outlineLevel="1" x14ac:dyDescent="0.25">
      <c r="B170" t="s">
        <v>601</v>
      </c>
      <c r="D170" s="487">
        <f ca="1">L133</f>
        <v>5596.8819082736991</v>
      </c>
      <c r="G170" t="s">
        <v>615</v>
      </c>
      <c r="K170" s="126" t="s">
        <v>626</v>
      </c>
      <c r="L170" s="487">
        <f>L157</f>
        <v>276.88299999999998</v>
      </c>
    </row>
    <row r="171" spans="1:20" outlineLevel="1" x14ac:dyDescent="0.25"/>
    <row r="172" spans="1:20" outlineLevel="1" x14ac:dyDescent="0.25"/>
    <row r="173" spans="1:20" ht="13" outlineLevel="1" x14ac:dyDescent="0.3">
      <c r="D173" s="589" t="s">
        <v>627</v>
      </c>
      <c r="E173" s="589"/>
      <c r="F173" s="529" t="s">
        <v>621</v>
      </c>
      <c r="G173" s="530"/>
      <c r="H173" s="530"/>
      <c r="I173" s="531"/>
      <c r="J173" s="530"/>
      <c r="K173" s="530"/>
      <c r="L173" s="532"/>
    </row>
    <row r="174" spans="1:20" ht="13" outlineLevel="1" x14ac:dyDescent="0.3">
      <c r="D174" s="589"/>
      <c r="E174" s="589"/>
      <c r="F174" s="488">
        <f>G174-0.5%</f>
        <v>4.2689984955573697E-2</v>
      </c>
      <c r="G174" s="488">
        <f>H174-0.5%</f>
        <v>4.7689984955573694E-2</v>
      </c>
      <c r="H174" s="488">
        <f>I174-0.5%</f>
        <v>5.2689984955573692E-2</v>
      </c>
      <c r="I174" s="488">
        <f>$D$167</f>
        <v>5.7689984955573689E-2</v>
      </c>
      <c r="J174" s="488">
        <f>I174+0.5%</f>
        <v>6.2689984955573694E-2</v>
      </c>
      <c r="K174" s="488">
        <f>J174+0.5%</f>
        <v>6.7689984955573698E-2</v>
      </c>
      <c r="L174" s="489">
        <f>K174+0.5%</f>
        <v>7.2689984955573703E-2</v>
      </c>
    </row>
    <row r="175" spans="1:20" ht="13" outlineLevel="1" x14ac:dyDescent="0.3">
      <c r="D175" s="593" t="s">
        <v>628</v>
      </c>
      <c r="E175" s="490">
        <f>MAX(E176-0.25%,0)</f>
        <v>1.2500000000000001E-2</v>
      </c>
      <c r="F175" s="492">
        <f t="shared" ref="F175:L181" ca="1" si="82">(SUM((($L$123*(1+$E175))/(F$174-$E175))/(1+$L$129)^($L$127+0.5+$F$126/2),$D$170)+$L$167-$L$168-$L$169)/$L$170</f>
        <v>67.141316090621601</v>
      </c>
      <c r="G175" s="493">
        <f t="shared" ca="1" si="82"/>
        <v>52.795548144339925</v>
      </c>
      <c r="H175" s="493">
        <f t="shared" ca="1" si="82"/>
        <v>42.01926845791693</v>
      </c>
      <c r="I175" s="493">
        <f t="shared" ca="1" si="82"/>
        <v>33.627649819072758</v>
      </c>
      <c r="J175" s="493">
        <f t="shared" ca="1" si="82"/>
        <v>26.908001922254517</v>
      </c>
      <c r="K175" s="493">
        <f t="shared" ca="1" si="82"/>
        <v>21.40590244517718</v>
      </c>
      <c r="L175" s="494">
        <f t="shared" ca="1" si="82"/>
        <v>16.817925056872326</v>
      </c>
    </row>
    <row r="176" spans="1:20" ht="13" outlineLevel="1" x14ac:dyDescent="0.3">
      <c r="D176" s="593"/>
      <c r="E176" s="490">
        <f>MAX(E177-0.25%,0)</f>
        <v>1.5000000000000001E-2</v>
      </c>
      <c r="F176" s="495">
        <f t="shared" ca="1" si="82"/>
        <v>76.528824466384449</v>
      </c>
      <c r="G176" s="496">
        <f t="shared" ca="1" si="82"/>
        <v>59.650110669652037</v>
      </c>
      <c r="H176" s="496">
        <f t="shared" ca="1" si="82"/>
        <v>47.249698951476503</v>
      </c>
      <c r="I176" s="496">
        <f t="shared" ca="1" si="82"/>
        <v>37.754046213909724</v>
      </c>
      <c r="J176" s="496">
        <f t="shared" ca="1" si="82"/>
        <v>30.249514410101376</v>
      </c>
      <c r="K176" s="496">
        <f t="shared" ca="1" si="82"/>
        <v>24.169263104785458</v>
      </c>
      <c r="L176" s="497">
        <f t="shared" ca="1" si="82"/>
        <v>19.142964458669972</v>
      </c>
    </row>
    <row r="177" spans="4:12" ht="13" outlineLevel="1" x14ac:dyDescent="0.3">
      <c r="D177" s="593"/>
      <c r="E177" s="490">
        <f>MAX(E178-0.25%,0)</f>
        <v>1.7500000000000002E-2</v>
      </c>
      <c r="F177" s="495">
        <f t="shared" ca="1" si="82"/>
        <v>87.779674243962234</v>
      </c>
      <c r="G177" s="496">
        <f t="shared" ca="1" si="82"/>
        <v>67.639911012306371</v>
      </c>
      <c r="H177" s="492">
        <f t="shared" ca="1" si="82"/>
        <v>53.223299767524544</v>
      </c>
      <c r="I177" s="493">
        <f t="shared" ca="1" si="82"/>
        <v>42.393803885119198</v>
      </c>
      <c r="J177" s="494">
        <f t="shared" ca="1" si="82"/>
        <v>33.960745154231333</v>
      </c>
      <c r="K177" s="496">
        <f t="shared" ca="1" si="82"/>
        <v>27.207913811009057</v>
      </c>
      <c r="L177" s="497">
        <f t="shared" ca="1" si="82"/>
        <v>21.678643472316512</v>
      </c>
    </row>
    <row r="178" spans="4:12" ht="13" outlineLevel="1" x14ac:dyDescent="0.3">
      <c r="D178" s="593"/>
      <c r="E178" s="490">
        <f>$D$168</f>
        <v>0.02</v>
      </c>
      <c r="F178" s="495">
        <f t="shared" ca="1" si="82"/>
        <v>101.50977859125577</v>
      </c>
      <c r="G178" s="496">
        <f t="shared" ca="1" si="82"/>
        <v>77.07243520538411</v>
      </c>
      <c r="H178" s="495">
        <f t="shared" ca="1" si="82"/>
        <v>60.110575035268745</v>
      </c>
      <c r="I178" s="498">
        <f t="shared" ca="1" si="82"/>
        <v>47.649077545082513</v>
      </c>
      <c r="J178" s="497">
        <f t="shared" ca="1" si="82"/>
        <v>38.106648193044954</v>
      </c>
      <c r="K178" s="496">
        <f t="shared" ca="1" si="82"/>
        <v>30.565148252272021</v>
      </c>
      <c r="L178" s="497">
        <f t="shared" ca="1" si="82"/>
        <v>24.454944970082636</v>
      </c>
    </row>
    <row r="179" spans="4:12" ht="13" outlineLevel="1" x14ac:dyDescent="0.3">
      <c r="D179" s="593"/>
      <c r="E179" s="490">
        <f>E178+0.25%</f>
        <v>2.2499999999999999E-2</v>
      </c>
      <c r="F179" s="495">
        <f t="shared" ca="1" si="82"/>
        <v>118.64010943141329</v>
      </c>
      <c r="G179" s="496">
        <f t="shared" ca="1" si="82"/>
        <v>88.377236061134226</v>
      </c>
      <c r="H179" s="499">
        <f t="shared" ca="1" si="82"/>
        <v>68.138505933991112</v>
      </c>
      <c r="I179" s="500">
        <f t="shared" ca="1" si="82"/>
        <v>53.651051390709114</v>
      </c>
      <c r="J179" s="501">
        <f t="shared" ca="1" si="82"/>
        <v>42.768339312321437</v>
      </c>
      <c r="K179" s="496">
        <f t="shared" ca="1" si="82"/>
        <v>34.2938404893899</v>
      </c>
      <c r="L179" s="497">
        <f t="shared" ca="1" si="82"/>
        <v>27.507825699763583</v>
      </c>
    </row>
    <row r="180" spans="4:12" ht="13" outlineLevel="1" x14ac:dyDescent="0.3">
      <c r="D180" s="593"/>
      <c r="E180" s="490">
        <f>E179+0.25%</f>
        <v>2.4999999999999998E-2</v>
      </c>
      <c r="F180" s="495">
        <f t="shared" ca="1" si="82"/>
        <v>140.61225638480616</v>
      </c>
      <c r="G180" s="496">
        <f t="shared" ca="1" si="82"/>
        <v>102.17318022920566</v>
      </c>
      <c r="H180" s="496">
        <f t="shared" ca="1" si="82"/>
        <v>77.6160459443837</v>
      </c>
      <c r="I180" s="496">
        <f t="shared" ca="1" si="82"/>
        <v>60.571039400885432</v>
      </c>
      <c r="J180" s="496">
        <f t="shared" ca="1" si="82"/>
        <v>48.048456138688451</v>
      </c>
      <c r="K180" s="496">
        <f t="shared" ca="1" si="82"/>
        <v>38.459250172180113</v>
      </c>
      <c r="L180" s="497">
        <f t="shared" ca="1" si="82"/>
        <v>30.880782094442626</v>
      </c>
    </row>
    <row r="181" spans="4:12" ht="13" outlineLevel="1" x14ac:dyDescent="0.3">
      <c r="D181" s="593"/>
      <c r="E181" s="491">
        <f>E180+0.25%</f>
        <v>2.7499999999999997E-2</v>
      </c>
      <c r="F181" s="499">
        <f t="shared" ca="1" si="82"/>
        <v>169.81684860317301</v>
      </c>
      <c r="G181" s="500">
        <f t="shared" ca="1" si="82"/>
        <v>119.38565595944239</v>
      </c>
      <c r="H181" s="500">
        <f t="shared" ca="1" si="82"/>
        <v>88.974797878306234</v>
      </c>
      <c r="I181" s="500">
        <f t="shared" ca="1" si="82"/>
        <v>68.63710085567584</v>
      </c>
      <c r="J181" s="500">
        <f t="shared" ca="1" si="82"/>
        <v>54.078803013893697</v>
      </c>
      <c r="K181" s="500">
        <f t="shared" ca="1" si="82"/>
        <v>43.142874739523677</v>
      </c>
      <c r="L181" s="501">
        <f t="shared" ca="1" si="82"/>
        <v>34.626935824548461</v>
      </c>
    </row>
    <row r="182" spans="4:12" outlineLevel="1" x14ac:dyDescent="0.25"/>
    <row r="183" spans="4:12" outlineLevel="1" x14ac:dyDescent="0.25"/>
    <row r="184" spans="4:12" ht="13" outlineLevel="1" x14ac:dyDescent="0.3">
      <c r="D184" s="589" t="s">
        <v>629</v>
      </c>
      <c r="E184" s="590"/>
      <c r="F184" s="529" t="s">
        <v>621</v>
      </c>
      <c r="G184" s="529"/>
      <c r="H184" s="529"/>
      <c r="I184" s="529"/>
      <c r="J184" s="529"/>
      <c r="K184" s="529"/>
      <c r="L184" s="529"/>
    </row>
    <row r="185" spans="4:12" ht="13" outlineLevel="1" x14ac:dyDescent="0.3">
      <c r="D185" s="591"/>
      <c r="E185" s="592"/>
      <c r="F185" s="513">
        <v>3.9224401013154324E-2</v>
      </c>
      <c r="G185" s="514">
        <v>4.4224401013154321E-2</v>
      </c>
      <c r="H185" s="514">
        <v>4.9224401013154319E-2</v>
      </c>
      <c r="I185" s="514">
        <f>$D$167</f>
        <v>5.7689984955573689E-2</v>
      </c>
      <c r="J185" s="514">
        <v>5.9224401013154314E-2</v>
      </c>
      <c r="K185" s="514">
        <v>6.4224401013154311E-2</v>
      </c>
      <c r="L185" s="515">
        <v>6.9224401013154316E-2</v>
      </c>
    </row>
    <row r="186" spans="4:12" ht="13" outlineLevel="1" x14ac:dyDescent="0.3">
      <c r="D186" s="593" t="s">
        <v>628</v>
      </c>
      <c r="E186" s="516">
        <f>MAX(E187-0.25%,0)</f>
        <v>1.2500000000000001E-2</v>
      </c>
      <c r="F186" s="519">
        <f t="shared" ref="F186:L192" ca="1" si="83">F175/$I$178-1</f>
        <v>0.40907903258141309</v>
      </c>
      <c r="G186" s="520">
        <f t="shared" ca="1" si="83"/>
        <v>0.10800776981229387</v>
      </c>
      <c r="H186" s="520">
        <f t="shared" ca="1" si="83"/>
        <v>-0.11815148114544327</v>
      </c>
      <c r="I186" s="520">
        <f t="shared" ca="1" si="83"/>
        <v>-0.29426441073793241</v>
      </c>
      <c r="J186" s="520">
        <f t="shared" ca="1" si="83"/>
        <v>-0.4352880830317043</v>
      </c>
      <c r="K186" s="520">
        <f t="shared" ca="1" si="83"/>
        <v>-0.55075935258296904</v>
      </c>
      <c r="L186" s="521">
        <f t="shared" ca="1" si="83"/>
        <v>-0.64704615653975084</v>
      </c>
    </row>
    <row r="187" spans="4:12" ht="13" outlineLevel="1" x14ac:dyDescent="0.3">
      <c r="D187" s="594"/>
      <c r="E187" s="517">
        <f>MAX(E188-0.25%,0)</f>
        <v>1.5000000000000001E-2</v>
      </c>
      <c r="F187" s="522">
        <f t="shared" ca="1" si="83"/>
        <v>0.60609246619680657</v>
      </c>
      <c r="G187" s="523">
        <f t="shared" ca="1" si="83"/>
        <v>0.25186286372941669</v>
      </c>
      <c r="H187" s="523">
        <f t="shared" ca="1" si="83"/>
        <v>-8.3816647495041918E-3</v>
      </c>
      <c r="I187" s="523">
        <f t="shared" ca="1" si="83"/>
        <v>-0.20766469868825355</v>
      </c>
      <c r="J187" s="523">
        <f t="shared" ca="1" si="83"/>
        <v>-0.36516054520717178</v>
      </c>
      <c r="K187" s="523">
        <f t="shared" ca="1" si="83"/>
        <v>-0.49276535139808231</v>
      </c>
      <c r="L187" s="524">
        <f t="shared" ca="1" si="83"/>
        <v>-0.5982511006523028</v>
      </c>
    </row>
    <row r="188" spans="4:12" ht="13" outlineLevel="1" x14ac:dyDescent="0.3">
      <c r="D188" s="594"/>
      <c r="E188" s="517">
        <f>MAX(E189-0.25%,0)</f>
        <v>1.7500000000000002E-2</v>
      </c>
      <c r="F188" s="522">
        <f t="shared" ca="1" si="83"/>
        <v>0.84221140820429774</v>
      </c>
      <c r="G188" s="523">
        <f t="shared" ca="1" si="83"/>
        <v>0.41954292710724173</v>
      </c>
      <c r="H188" s="519">
        <f t="shared" ca="1" si="83"/>
        <v>0.11698489267012691</v>
      </c>
      <c r="I188" s="520">
        <f t="shared" ca="1" si="83"/>
        <v>-0.11029119409480925</v>
      </c>
      <c r="J188" s="521">
        <f t="shared" ca="1" si="83"/>
        <v>-0.28727381716676792</v>
      </c>
      <c r="K188" s="523">
        <f t="shared" ca="1" si="83"/>
        <v>-0.42899390265705217</v>
      </c>
      <c r="L188" s="524">
        <f t="shared" ca="1" si="83"/>
        <v>-0.54503540069992829</v>
      </c>
    </row>
    <row r="189" spans="4:12" ht="13" outlineLevel="1" x14ac:dyDescent="0.3">
      <c r="D189" s="594"/>
      <c r="E189" s="517">
        <f>$D$168</f>
        <v>0.02</v>
      </c>
      <c r="F189" s="522">
        <f t="shared" ca="1" si="83"/>
        <v>1.130361883610731</v>
      </c>
      <c r="G189" s="523">
        <f t="shared" ca="1" si="83"/>
        <v>0.61750109710860812</v>
      </c>
      <c r="H189" s="522">
        <f t="shared" ca="1" si="83"/>
        <v>0.26152652123004816</v>
      </c>
      <c r="I189" s="525">
        <f t="shared" ca="1" si="83"/>
        <v>0</v>
      </c>
      <c r="J189" s="524">
        <f t="shared" ca="1" si="83"/>
        <v>-0.20026472376110793</v>
      </c>
      <c r="K189" s="523">
        <f t="shared" ca="1" si="83"/>
        <v>-0.35853641188849394</v>
      </c>
      <c r="L189" s="524">
        <f t="shared" ca="1" si="83"/>
        <v>-0.48676981318379287</v>
      </c>
    </row>
    <row r="190" spans="4:12" ht="13" outlineLevel="1" x14ac:dyDescent="0.3">
      <c r="D190" s="594"/>
      <c r="E190" s="517">
        <v>1.7499999999999998E-2</v>
      </c>
      <c r="F190" s="522">
        <f t="shared" ca="1" si="83"/>
        <v>1.4898721138759425</v>
      </c>
      <c r="G190" s="523">
        <f t="shared" ca="1" si="83"/>
        <v>0.85475229772323158</v>
      </c>
      <c r="H190" s="526">
        <f t="shared" ca="1" si="83"/>
        <v>0.43000682163306969</v>
      </c>
      <c r="I190" s="527">
        <f t="shared" ca="1" si="83"/>
        <v>0.12596201552795883</v>
      </c>
      <c r="J190" s="528">
        <f t="shared" ca="1" si="83"/>
        <v>-0.1024309070441759</v>
      </c>
      <c r="K190" s="523">
        <f t="shared" ca="1" si="83"/>
        <v>-0.28028322359560354</v>
      </c>
      <c r="L190" s="524">
        <f t="shared" ca="1" si="83"/>
        <v>-0.42269972228240016</v>
      </c>
    </row>
    <row r="191" spans="4:12" ht="13" outlineLevel="1" x14ac:dyDescent="0.3">
      <c r="D191" s="594"/>
      <c r="E191" s="517">
        <v>1.9999999999999997E-2</v>
      </c>
      <c r="F191" s="522">
        <f t="shared" ca="1" si="83"/>
        <v>1.9509964018037458</v>
      </c>
      <c r="G191" s="523">
        <f t="shared" ca="1" si="83"/>
        <v>1.1442845379857758</v>
      </c>
      <c r="H191" s="523">
        <f t="shared" ca="1" si="83"/>
        <v>0.62890972802040834</v>
      </c>
      <c r="I191" s="523">
        <f t="shared" ca="1" si="83"/>
        <v>0.27119017873067919</v>
      </c>
      <c r="J191" s="523">
        <f t="shared" ca="1" si="83"/>
        <v>8.3816647495027485E-3</v>
      </c>
      <c r="K191" s="523">
        <f t="shared" ca="1" si="83"/>
        <v>-0.19286474883396376</v>
      </c>
      <c r="L191" s="524">
        <f t="shared" ca="1" si="83"/>
        <v>-0.35191227856981699</v>
      </c>
    </row>
    <row r="192" spans="4:12" ht="13" outlineLevel="1" x14ac:dyDescent="0.3">
      <c r="D192" s="595"/>
      <c r="E192" s="518">
        <v>2.2499999999999996E-2</v>
      </c>
      <c r="F192" s="526">
        <f t="shared" ca="1" si="83"/>
        <v>2.5639063199597758</v>
      </c>
      <c r="G192" s="527">
        <f t="shared" ca="1" si="83"/>
        <v>1.5055187237672611</v>
      </c>
      <c r="H192" s="527">
        <f t="shared" ca="1" si="83"/>
        <v>0.86729318724216564</v>
      </c>
      <c r="I192" s="527">
        <f t="shared" ca="1" si="83"/>
        <v>0.44047071615889721</v>
      </c>
      <c r="J192" s="527">
        <f t="shared" ca="1" si="83"/>
        <v>0.13493913838579119</v>
      </c>
      <c r="K192" s="527">
        <f t="shared" ca="1" si="83"/>
        <v>-9.4570619993542437E-2</v>
      </c>
      <c r="L192" s="528">
        <f t="shared" ca="1" si="83"/>
        <v>-0.27329263002443926</v>
      </c>
    </row>
    <row r="193" outlineLevel="1" x14ac:dyDescent="0.25"/>
    <row r="194" outlineLevel="1" x14ac:dyDescent="0.25"/>
    <row r="195" outlineLevel="1" x14ac:dyDescent="0.25"/>
  </sheetData>
  <mergeCells count="4">
    <mergeCell ref="D184:E185"/>
    <mergeCell ref="D186:D192"/>
    <mergeCell ref="D173:E174"/>
    <mergeCell ref="D175:D181"/>
  </mergeCells>
  <conditionalFormatting sqref="F175:L181">
    <cfRule type="colorScale" priority="2">
      <colorScale>
        <cfvo type="min"/>
        <cfvo type="max"/>
        <color theme="3"/>
        <color theme="3" tint="0.89999084444715716"/>
      </colorScale>
    </cfRule>
  </conditionalFormatting>
  <conditionalFormatting sqref="F186:L192">
    <cfRule type="colorScale" priority="1">
      <colorScale>
        <cfvo type="min"/>
        <cfvo type="max"/>
        <color theme="3"/>
        <color theme="3" tint="0.89999084444715716"/>
      </colorScale>
    </cfRule>
  </conditionalFormatting>
  <pageMargins left="0.7" right="0.7" top="0.75" bottom="0.75" header="0.3" footer="0.3"/>
  <ignoredErrors>
    <ignoredError sqref="E21" formula="1"/>
  </ignoredErrors>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AC9D-0919-4BF9-B117-DC1967A60CD6}">
  <sheetPr>
    <tabColor theme="9" tint="0.79998168889431442"/>
  </sheetPr>
  <dimension ref="B2:U31"/>
  <sheetViews>
    <sheetView showGridLines="0" workbookViewId="0">
      <selection activeCell="N22" sqref="N22:Q30"/>
    </sheetView>
  </sheetViews>
  <sheetFormatPr defaultColWidth="8.7265625" defaultRowHeight="12.5" x14ac:dyDescent="0.25"/>
  <cols>
    <col min="1" max="1" width="2.26953125" customWidth="1"/>
    <col min="10" max="12" width="9.1796875" bestFit="1" customWidth="1"/>
  </cols>
  <sheetData>
    <row r="2" spans="2:21" ht="13" x14ac:dyDescent="0.3">
      <c r="B2" s="4" t="s">
        <v>630</v>
      </c>
      <c r="C2" s="4"/>
      <c r="D2" s="4"/>
      <c r="E2" s="4"/>
      <c r="F2" s="4"/>
      <c r="G2" s="4"/>
      <c r="H2" s="4"/>
      <c r="I2" s="4"/>
      <c r="J2" s="4"/>
      <c r="K2" s="4"/>
      <c r="L2" s="4"/>
      <c r="M2" s="4"/>
      <c r="N2" s="4"/>
      <c r="O2" s="4"/>
      <c r="P2" s="4"/>
      <c r="Q2" s="4"/>
      <c r="R2" s="4"/>
      <c r="S2" s="4"/>
      <c r="T2" s="4"/>
      <c r="U2" s="4"/>
    </row>
    <row r="3" spans="2:21" ht="13" x14ac:dyDescent="0.3">
      <c r="B3" s="207"/>
      <c r="C3" s="207"/>
      <c r="D3" s="207"/>
      <c r="E3" s="207"/>
      <c r="F3" s="207"/>
      <c r="G3" s="207"/>
      <c r="H3" s="207"/>
      <c r="I3" s="207"/>
      <c r="J3" s="207"/>
      <c r="K3" s="207"/>
      <c r="L3" s="207"/>
      <c r="M3" s="207"/>
      <c r="N3" s="207"/>
      <c r="O3" s="207"/>
      <c r="P3" s="207"/>
      <c r="Q3" s="207"/>
      <c r="R3" s="207"/>
      <c r="S3" s="207"/>
      <c r="T3" s="207"/>
    </row>
    <row r="4" spans="2:21" ht="13" x14ac:dyDescent="0.3">
      <c r="B4" s="5"/>
      <c r="C4" s="5"/>
      <c r="D4" s="5"/>
      <c r="E4" s="380">
        <v>2015</v>
      </c>
      <c r="F4" s="380">
        <v>2016</v>
      </c>
      <c r="G4" s="380">
        <v>2017</v>
      </c>
      <c r="H4" s="380">
        <v>2018</v>
      </c>
      <c r="I4" s="380">
        <v>2019</v>
      </c>
      <c r="J4" s="380">
        <v>2020</v>
      </c>
      <c r="K4" s="380">
        <v>2021</v>
      </c>
      <c r="L4" s="380">
        <v>2022</v>
      </c>
      <c r="M4" s="380">
        <v>2023</v>
      </c>
      <c r="N4" s="380">
        <v>2024</v>
      </c>
      <c r="O4" s="381">
        <v>2025</v>
      </c>
      <c r="P4" s="381">
        <v>2026</v>
      </c>
      <c r="Q4" s="381">
        <v>2027</v>
      </c>
      <c r="R4" s="381">
        <v>2028</v>
      </c>
      <c r="S4" s="381">
        <v>2029</v>
      </c>
      <c r="T4" s="381">
        <v>2030</v>
      </c>
      <c r="U4" s="381">
        <f>+T4+1</f>
        <v>2031</v>
      </c>
    </row>
    <row r="5" spans="2:21" x14ac:dyDescent="0.25">
      <c r="B5" s="33"/>
      <c r="C5" s="33"/>
      <c r="D5" s="33"/>
      <c r="E5" s="33"/>
      <c r="F5" s="33"/>
      <c r="G5" s="33"/>
      <c r="H5" s="33"/>
      <c r="I5" s="33"/>
      <c r="J5" s="33"/>
      <c r="K5" s="33"/>
      <c r="L5" s="33"/>
      <c r="M5" s="33"/>
      <c r="N5" s="33"/>
      <c r="O5" s="33"/>
      <c r="P5" s="33"/>
      <c r="Q5" s="33"/>
      <c r="R5" s="33"/>
      <c r="S5" s="33"/>
      <c r="T5" s="33"/>
      <c r="U5" s="33"/>
    </row>
    <row r="6" spans="2:21" x14ac:dyDescent="0.25">
      <c r="B6" s="33" t="s">
        <v>565</v>
      </c>
      <c r="C6" s="33"/>
      <c r="D6" s="33"/>
      <c r="E6" s="77">
        <v>0.03</v>
      </c>
      <c r="F6" s="77">
        <v>1.0999999999999999E-2</v>
      </c>
      <c r="G6" s="77">
        <v>1.4990000000000002E-2</v>
      </c>
      <c r="H6" s="77">
        <v>1.695E-2</v>
      </c>
      <c r="I6" s="77">
        <v>1.559E-2</v>
      </c>
      <c r="J6" s="77">
        <v>1.57E-3</v>
      </c>
      <c r="K6" s="77">
        <v>5.3460000000000001E-2</v>
      </c>
      <c r="L6" s="77">
        <v>0.10762000000000001</v>
      </c>
      <c r="M6" s="77">
        <v>3.2149999999999998E-2</v>
      </c>
      <c r="N6" s="77">
        <v>2.6549999999999997E-2</v>
      </c>
      <c r="O6" s="77">
        <v>2.2530000000000001E-2</v>
      </c>
      <c r="P6" s="77">
        <v>2.0739999999999998E-2</v>
      </c>
      <c r="Q6" s="77">
        <v>2.1569999999999999E-2</v>
      </c>
      <c r="R6" s="77">
        <v>2.0969999999999999E-2</v>
      </c>
      <c r="S6" s="77">
        <v>2.1219999999999999E-2</v>
      </c>
      <c r="T6" s="77">
        <v>2.0649999999999998E-2</v>
      </c>
      <c r="U6" s="78">
        <v>0.02</v>
      </c>
    </row>
    <row r="7" spans="2:21" x14ac:dyDescent="0.25">
      <c r="B7" s="33"/>
      <c r="C7" s="33"/>
      <c r="D7" s="33"/>
      <c r="E7" s="33"/>
      <c r="F7" s="33"/>
      <c r="G7" s="33"/>
      <c r="H7" s="33"/>
      <c r="I7" s="33"/>
      <c r="J7" s="33"/>
      <c r="K7" s="33"/>
      <c r="L7" s="33"/>
      <c r="M7" s="33"/>
      <c r="N7" s="33"/>
      <c r="O7" s="33"/>
      <c r="P7" s="33"/>
      <c r="Q7" s="33"/>
      <c r="R7" s="33"/>
      <c r="S7" s="33"/>
      <c r="T7" s="33"/>
      <c r="U7" s="33"/>
    </row>
    <row r="8" spans="2:21" x14ac:dyDescent="0.25">
      <c r="B8" s="33" t="s">
        <v>631</v>
      </c>
      <c r="C8" s="33"/>
      <c r="D8" s="33"/>
      <c r="E8" s="79">
        <f t="shared" ref="E8:M8" si="0">F8*(1+F6)</f>
        <v>1.3123328697822494</v>
      </c>
      <c r="F8" s="79">
        <f t="shared" si="0"/>
        <v>1.2980542727816513</v>
      </c>
      <c r="G8" s="79">
        <f t="shared" si="0"/>
        <v>1.2788838045514255</v>
      </c>
      <c r="H8" s="79">
        <f t="shared" si="0"/>
        <v>1.2575680265022129</v>
      </c>
      <c r="I8" s="79">
        <f t="shared" si="0"/>
        <v>1.2382634985596677</v>
      </c>
      <c r="J8" s="79">
        <f t="shared" si="0"/>
        <v>1.2363224722781909</v>
      </c>
      <c r="K8" s="79">
        <f t="shared" si="0"/>
        <v>1.17358273904865</v>
      </c>
      <c r="L8" s="79">
        <f t="shared" si="0"/>
        <v>1.0595535825</v>
      </c>
      <c r="M8" s="79">
        <f t="shared" si="0"/>
        <v>1.0265500000000001</v>
      </c>
      <c r="N8" s="79">
        <v>1</v>
      </c>
      <c r="O8" s="79">
        <f t="shared" ref="O8:T8" si="1">N8*(1+O6)</f>
        <v>1.0225299999999999</v>
      </c>
      <c r="P8" s="79">
        <f t="shared" si="1"/>
        <v>1.0437372722</v>
      </c>
      <c r="Q8" s="79">
        <f t="shared" si="1"/>
        <v>1.066250685161354</v>
      </c>
      <c r="R8" s="79">
        <f t="shared" si="1"/>
        <v>1.0886099620291876</v>
      </c>
      <c r="S8" s="79">
        <f t="shared" si="1"/>
        <v>1.111710265423447</v>
      </c>
      <c r="T8" s="79">
        <f t="shared" si="1"/>
        <v>1.1346670824044411</v>
      </c>
      <c r="U8" s="79">
        <f t="shared" ref="U8" si="2">T8*(1+U6)</f>
        <v>1.1573604240525299</v>
      </c>
    </row>
    <row r="11" spans="2:21" ht="13" x14ac:dyDescent="0.3">
      <c r="B11" s="4" t="s">
        <v>632</v>
      </c>
      <c r="C11" s="4"/>
      <c r="D11" s="4"/>
      <c r="E11" s="4"/>
      <c r="F11" s="4"/>
      <c r="G11" s="4"/>
      <c r="H11" s="4"/>
      <c r="I11" s="4"/>
      <c r="J11" s="4"/>
      <c r="K11" s="4"/>
      <c r="L11" s="4"/>
      <c r="M11" s="4"/>
      <c r="N11" s="4"/>
      <c r="O11" s="4"/>
      <c r="P11" s="4"/>
      <c r="Q11" s="4"/>
      <c r="R11" s="4"/>
      <c r="S11" s="4"/>
      <c r="T11" s="4"/>
      <c r="U11" s="4"/>
    </row>
    <row r="12" spans="2:21" ht="13" x14ac:dyDescent="0.3">
      <c r="B12" s="207"/>
      <c r="C12" s="207"/>
      <c r="D12" s="207"/>
      <c r="E12" s="207"/>
      <c r="F12" s="207"/>
      <c r="G12" s="207"/>
      <c r="H12" s="207"/>
      <c r="I12" s="207"/>
      <c r="J12" s="207"/>
      <c r="K12" s="207"/>
      <c r="L12" s="207"/>
      <c r="M12" s="207"/>
      <c r="N12" s="207"/>
      <c r="O12" s="207"/>
      <c r="P12" s="207"/>
      <c r="Q12" s="207"/>
      <c r="R12" s="207"/>
      <c r="S12" s="207"/>
      <c r="T12" s="207"/>
    </row>
    <row r="13" spans="2:21" ht="13" x14ac:dyDescent="0.3">
      <c r="B13" s="5" t="s">
        <v>433</v>
      </c>
      <c r="C13" s="5"/>
      <c r="D13" s="5"/>
      <c r="E13" s="380">
        <v>2015</v>
      </c>
      <c r="F13" s="380">
        <v>2016</v>
      </c>
      <c r="G13" s="380">
        <v>2017</v>
      </c>
      <c r="H13" s="380">
        <v>2018</v>
      </c>
      <c r="I13" s="380">
        <v>2019</v>
      </c>
      <c r="J13" s="380">
        <v>2020</v>
      </c>
      <c r="K13" s="380">
        <v>2021</v>
      </c>
      <c r="L13" s="380">
        <v>2022</v>
      </c>
      <c r="M13" s="380">
        <v>2023</v>
      </c>
      <c r="N13" s="380">
        <v>2024</v>
      </c>
      <c r="O13" s="381">
        <v>2025</v>
      </c>
      <c r="P13" s="381">
        <v>2026</v>
      </c>
      <c r="Q13" s="381">
        <v>2027</v>
      </c>
      <c r="R13" s="381">
        <v>2028</v>
      </c>
      <c r="S13" s="381">
        <v>2029</v>
      </c>
      <c r="T13" s="381">
        <v>2030</v>
      </c>
      <c r="U13" s="381">
        <f>+T13+1</f>
        <v>2031</v>
      </c>
    </row>
    <row r="14" spans="2:21" x14ac:dyDescent="0.25">
      <c r="B14" t="s">
        <v>633</v>
      </c>
      <c r="E14" s="389">
        <f>'Main Financials'!E66/-'Main Financials'!E65</f>
        <v>9.5077957811066954E-2</v>
      </c>
      <c r="F14" s="389">
        <f>'Main Financials'!F66/-'Main Financials'!F65</f>
        <v>0.22944758590691605</v>
      </c>
      <c r="G14" s="389">
        <f>'Main Financials'!G66/-'Main Financials'!G65</f>
        <v>0.14604163251925914</v>
      </c>
      <c r="H14" s="389">
        <f>'Main Financials'!H66/-'Main Financials'!H65</f>
        <v>0.17321514135122185</v>
      </c>
      <c r="I14" s="389">
        <f>'Main Financials'!I66/-'Main Financials'!I65</f>
        <v>0.98710115410726407</v>
      </c>
      <c r="J14" s="389">
        <f>'Main Financials'!J66/-'Main Financials'!J65</f>
        <v>-5.5074744295830057E-2</v>
      </c>
      <c r="K14" s="389">
        <f>'Main Financials'!K66/-'Main Financials'!K65</f>
        <v>0.38131797824696095</v>
      </c>
      <c r="L14" s="389">
        <f>'Main Financials'!L66/-'Main Financials'!L65</f>
        <v>0.24756154203437064</v>
      </c>
      <c r="M14" s="389">
        <f>'Main Financials'!M66/-'Main Financials'!M65</f>
        <v>0.18428470754052148</v>
      </c>
      <c r="N14" s="389">
        <f>'Main Financials'!N66/-'Main Financials'!N65</f>
        <v>0.42067620286085827</v>
      </c>
    </row>
    <row r="15" spans="2:21" x14ac:dyDescent="0.25">
      <c r="B15" t="s">
        <v>520</v>
      </c>
      <c r="D15" s="275">
        <f>AVERAGE(E14:N14)</f>
        <v>0.28096491580826088</v>
      </c>
    </row>
    <row r="17" spans="2:21" x14ac:dyDescent="0.25">
      <c r="B17" t="s">
        <v>634</v>
      </c>
      <c r="E17" s="388">
        <v>0.38</v>
      </c>
      <c r="F17" s="388">
        <v>0.34429999999999999</v>
      </c>
      <c r="G17" s="388">
        <v>0.34429999999999999</v>
      </c>
      <c r="H17" s="388">
        <v>0.34429999999999999</v>
      </c>
      <c r="I17" s="388">
        <v>0.34429999999999999</v>
      </c>
      <c r="J17" s="388">
        <v>0.32020000000000004</v>
      </c>
      <c r="K17" s="388">
        <v>0.28410000000000002</v>
      </c>
      <c r="L17" s="388">
        <v>0.25829999999999997</v>
      </c>
      <c r="M17" s="388">
        <v>0.25829999999999997</v>
      </c>
      <c r="N17" s="388">
        <v>0.25829999999999997</v>
      </c>
      <c r="O17" s="388">
        <v>0.25</v>
      </c>
      <c r="P17" s="388">
        <v>0.25</v>
      </c>
      <c r="Q17" s="388">
        <v>0.25</v>
      </c>
      <c r="R17" s="388">
        <v>0.25</v>
      </c>
      <c r="S17" s="388">
        <v>0.25</v>
      </c>
      <c r="T17" s="388">
        <v>0.25</v>
      </c>
      <c r="U17" s="388">
        <v>0.25</v>
      </c>
    </row>
    <row r="18" spans="2:21" ht="13" x14ac:dyDescent="0.3">
      <c r="N18" s="279"/>
    </row>
    <row r="20" spans="2:21" ht="13" x14ac:dyDescent="0.3">
      <c r="O20" s="207" t="s">
        <v>635</v>
      </c>
    </row>
    <row r="21" spans="2:21" ht="13" x14ac:dyDescent="0.3">
      <c r="B21" s="5" t="s">
        <v>636</v>
      </c>
      <c r="C21" s="274"/>
      <c r="D21" s="274"/>
      <c r="E21" s="5" t="s">
        <v>637</v>
      </c>
      <c r="F21" s="274"/>
      <c r="G21" s="274"/>
      <c r="H21" s="274"/>
      <c r="I21" s="274"/>
      <c r="J21" s="274"/>
      <c r="K21" s="5" t="s">
        <v>638</v>
      </c>
      <c r="L21" s="274"/>
      <c r="M21" s="274"/>
      <c r="N21" s="280">
        <f>N4</f>
        <v>2024</v>
      </c>
      <c r="O21" s="278">
        <f>O4</f>
        <v>2025</v>
      </c>
      <c r="P21" s="278">
        <f>P4</f>
        <v>2026</v>
      </c>
      <c r="Q21" s="278">
        <f>Q4</f>
        <v>2027</v>
      </c>
    </row>
    <row r="22" spans="2:21" x14ac:dyDescent="0.25">
      <c r="B22" t="s">
        <v>434</v>
      </c>
      <c r="E22" t="s">
        <v>350</v>
      </c>
      <c r="M22" s="276" cm="1">
        <f t="array" aca="1" ref="M22" ca="1">AVERAGE(INDIRECT(B22&amp;"!E21:P21")/INDIRECT(B22&amp;"!E20:P20"))</f>
        <v>0.1262553381000929</v>
      </c>
      <c r="N22" s="277">
        <v>0.24</v>
      </c>
      <c r="O22" s="277">
        <v>0.24</v>
      </c>
      <c r="P22" s="277">
        <v>0.24</v>
      </c>
      <c r="Q22" s="277">
        <v>0.24</v>
      </c>
    </row>
    <row r="23" spans="2:21" x14ac:dyDescent="0.25">
      <c r="B23" t="s">
        <v>435</v>
      </c>
      <c r="E23" t="s">
        <v>343</v>
      </c>
      <c r="M23" s="276" cm="1">
        <f t="array" aca="1" ref="M23" ca="1">AVERAGE(INDIRECT(B23&amp;"!E21:P21")/INDIRECT(B23&amp;"!E20:P20"))</f>
        <v>0.23999519836675712</v>
      </c>
      <c r="N23" s="277">
        <v>0.15825</v>
      </c>
      <c r="O23" s="277">
        <v>0.15825</v>
      </c>
      <c r="P23" s="277">
        <v>0.15825</v>
      </c>
      <c r="Q23" s="277">
        <v>0.15825</v>
      </c>
    </row>
    <row r="24" spans="2:21" x14ac:dyDescent="0.25">
      <c r="B24" t="s">
        <v>96</v>
      </c>
      <c r="E24" t="s">
        <v>639</v>
      </c>
      <c r="M24" s="276" cm="1">
        <f t="array" aca="1" ref="M24" ca="1">AVERAGE(INDIRECT(B24&amp;"!E21:P21")/INDIRECT(B24&amp;"!E20:P20"))</f>
        <v>0.30429662725393947</v>
      </c>
      <c r="N24" s="277">
        <v>0.23200000000000001</v>
      </c>
      <c r="O24" s="277">
        <v>0.23200000000000001</v>
      </c>
      <c r="P24" s="277">
        <v>0.23200000000000001</v>
      </c>
      <c r="Q24" s="277">
        <v>0.23200000000000001</v>
      </c>
    </row>
    <row r="25" spans="2:21" x14ac:dyDescent="0.25">
      <c r="B25" t="s">
        <v>436</v>
      </c>
      <c r="E25" t="s">
        <v>343</v>
      </c>
      <c r="M25" s="276" cm="1">
        <f t="array" aca="1" ref="M25" ca="1">AVERAGE(INDIRECT(B25&amp;"!E21:P21")/INDIRECT(B25&amp;"!E20:P20"))</f>
        <v>0.28297959971762993</v>
      </c>
      <c r="N25" s="277">
        <v>0.15825</v>
      </c>
      <c r="O25" s="277">
        <v>0.15825</v>
      </c>
      <c r="P25" s="277">
        <v>0.15825</v>
      </c>
      <c r="Q25" s="277">
        <v>0.15825</v>
      </c>
    </row>
    <row r="26" spans="2:21" x14ac:dyDescent="0.25">
      <c r="B26" t="s">
        <v>437</v>
      </c>
      <c r="E26" t="s">
        <v>343</v>
      </c>
      <c r="M26" s="276" cm="1">
        <f t="array" aca="1" ref="M26" ca="1">AVERAGE(INDIRECT(B26&amp;"!E21:P21")/INDIRECT(B26&amp;"!E20:P20"))</f>
        <v>0.39429790277242943</v>
      </c>
      <c r="N26" s="277">
        <v>0.15825</v>
      </c>
      <c r="O26" s="277">
        <v>0.15825</v>
      </c>
      <c r="P26" s="277">
        <v>0.15825</v>
      </c>
      <c r="Q26" s="277">
        <v>0.15825</v>
      </c>
    </row>
    <row r="27" spans="2:21" x14ac:dyDescent="0.25">
      <c r="B27" t="s">
        <v>439</v>
      </c>
      <c r="E27" t="s">
        <v>639</v>
      </c>
      <c r="M27" s="276" cm="1">
        <f t="array" aca="1" ref="M27" ca="1">AVERAGE(INDIRECT(B27&amp;"!E21:P21")/INDIRECT(B27&amp;"!E20:P20"))</f>
        <v>0.32947895060674298</v>
      </c>
      <c r="N27" s="277">
        <v>0.23200000000000001</v>
      </c>
      <c r="O27" s="277">
        <v>0.23200000000000001</v>
      </c>
      <c r="P27" s="277">
        <v>0.23200000000000001</v>
      </c>
      <c r="Q27" s="277">
        <v>0.23200000000000001</v>
      </c>
    </row>
    <row r="28" spans="2:21" x14ac:dyDescent="0.25">
      <c r="B28" t="s">
        <v>441</v>
      </c>
      <c r="E28" t="s">
        <v>639</v>
      </c>
      <c r="M28" s="276" cm="1">
        <f t="array" aca="1" ref="M28" ca="1">AVERAGE(INDIRECT(B28&amp;"!E21:P21")/INDIRECT(B28&amp;"!E20:P20"))</f>
        <v>0.30704152531162116</v>
      </c>
      <c r="N28" s="277">
        <v>0.23200000000000001</v>
      </c>
      <c r="O28" s="277">
        <v>0.23200000000000001</v>
      </c>
      <c r="P28" s="277">
        <v>0.23200000000000001</v>
      </c>
      <c r="Q28" s="277">
        <v>0.23200000000000001</v>
      </c>
    </row>
    <row r="29" spans="2:21" x14ac:dyDescent="0.25">
      <c r="B29" t="s">
        <v>438</v>
      </c>
      <c r="E29" t="s">
        <v>640</v>
      </c>
      <c r="M29" s="276" cm="1">
        <f t="array" aca="1" ref="M29" ca="1">AVERAGE(INDIRECT(B29&amp;"!E21:P21")/INDIRECT(B29&amp;"!E20:P20"))</f>
        <v>-3.2402270686502289E-2</v>
      </c>
      <c r="N29" s="277">
        <v>0.21</v>
      </c>
      <c r="O29" s="277">
        <v>0.21</v>
      </c>
      <c r="P29" s="277">
        <v>0.21</v>
      </c>
      <c r="Q29" s="277">
        <v>0.21</v>
      </c>
    </row>
    <row r="30" spans="2:21" x14ac:dyDescent="0.25">
      <c r="B30" t="s">
        <v>440</v>
      </c>
      <c r="E30" t="s">
        <v>640</v>
      </c>
      <c r="M30" s="276" cm="1">
        <f t="array" aca="1" ref="M30" ca="1">AVERAGE(INDIRECT(B30&amp;"!E21:P21")/INDIRECT(B30&amp;"!E20:P20"))</f>
        <v>0.27553667759494765</v>
      </c>
      <c r="N30" s="277">
        <v>0.21</v>
      </c>
      <c r="O30" s="277">
        <v>0.21</v>
      </c>
      <c r="P30" s="277">
        <v>0.21</v>
      </c>
      <c r="Q30" s="277">
        <v>0.21</v>
      </c>
    </row>
    <row r="31" spans="2:21" x14ac:dyDescent="0.25">
      <c r="N31" t="s">
        <v>641</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922F-34FF-4050-A9AC-3FBC73CD87DE}">
  <sheetPr>
    <tabColor theme="4" tint="0.79998168889431442"/>
  </sheetPr>
  <dimension ref="A2:K155"/>
  <sheetViews>
    <sheetView showGridLines="0" workbookViewId="0">
      <selection activeCell="S25" sqref="S25"/>
    </sheetView>
  </sheetViews>
  <sheetFormatPr defaultColWidth="8.7265625" defaultRowHeight="12.5" outlineLevelRow="1" x14ac:dyDescent="0.25"/>
  <cols>
    <col min="1" max="1" width="2.26953125" customWidth="1"/>
    <col min="2" max="2" width="71" customWidth="1"/>
    <col min="3" max="11" width="12.26953125" customWidth="1"/>
    <col min="12" max="13" width="10.7265625" customWidth="1"/>
  </cols>
  <sheetData>
    <row r="2" spans="1:11" ht="18" x14ac:dyDescent="0.4">
      <c r="A2" t="s">
        <v>22</v>
      </c>
      <c r="B2" s="47" t="s">
        <v>642</v>
      </c>
      <c r="C2" s="47"/>
      <c r="D2" s="47"/>
      <c r="E2" s="47"/>
      <c r="F2" s="47"/>
      <c r="G2" s="47"/>
      <c r="H2" s="47"/>
      <c r="I2" s="47"/>
      <c r="J2" s="47"/>
      <c r="K2" s="47"/>
    </row>
    <row r="3" spans="1:11" ht="13" x14ac:dyDescent="0.3">
      <c r="B3" s="1" t="s">
        <v>58</v>
      </c>
    </row>
    <row r="4" spans="1:11" x14ac:dyDescent="0.25">
      <c r="B4" s="156"/>
      <c r="C4" s="156"/>
      <c r="D4" s="156">
        <v>2017</v>
      </c>
      <c r="E4" s="156">
        <v>2018</v>
      </c>
      <c r="F4" s="156">
        <v>2019</v>
      </c>
      <c r="G4" s="156">
        <v>2020</v>
      </c>
      <c r="H4" s="156">
        <v>2021</v>
      </c>
      <c r="I4" s="156">
        <v>2022</v>
      </c>
      <c r="J4" s="156">
        <v>2023</v>
      </c>
      <c r="K4" s="156">
        <v>2024</v>
      </c>
    </row>
    <row r="5" spans="1:11" ht="13.5" thickBot="1" x14ac:dyDescent="0.35">
      <c r="B5" s="158"/>
      <c r="C5" s="158"/>
      <c r="D5" s="158">
        <v>2017</v>
      </c>
      <c r="E5" s="158">
        <v>2018</v>
      </c>
      <c r="F5" s="158">
        <v>2019</v>
      </c>
      <c r="G5" s="158">
        <v>2020</v>
      </c>
      <c r="H5" s="158">
        <v>2021</v>
      </c>
      <c r="I5" s="158">
        <v>2022</v>
      </c>
      <c r="J5" s="158">
        <v>2023</v>
      </c>
      <c r="K5" s="158">
        <v>2024</v>
      </c>
    </row>
    <row r="6" spans="1:11" ht="13" x14ac:dyDescent="0.3">
      <c r="B6" s="153" t="s">
        <v>643</v>
      </c>
      <c r="C6" s="153"/>
      <c r="D6" s="153"/>
      <c r="E6" s="153"/>
      <c r="F6" s="153"/>
      <c r="G6" s="153"/>
      <c r="H6" s="153"/>
      <c r="I6" s="153"/>
      <c r="J6" s="153"/>
      <c r="K6" s="153"/>
    </row>
    <row r="7" spans="1:11" ht="13" x14ac:dyDescent="0.3">
      <c r="B7" t="s">
        <v>644</v>
      </c>
      <c r="D7" s="390">
        <f>ABS(D61/D60)</f>
        <v>0.7735525987229338</v>
      </c>
      <c r="E7" s="390">
        <f t="shared" ref="E7:J7" si="0">ABS(E61/E60)</f>
        <v>0.77071883930534191</v>
      </c>
      <c r="F7" s="390">
        <f t="shared" si="0"/>
        <v>0.77773759445723967</v>
      </c>
      <c r="G7" s="390">
        <f t="shared" si="0"/>
        <v>0.76807566671542082</v>
      </c>
      <c r="H7" s="390">
        <f t="shared" si="0"/>
        <v>0.76791284403669724</v>
      </c>
      <c r="I7" s="390">
        <f t="shared" si="0"/>
        <v>0.67573451747106117</v>
      </c>
      <c r="J7" s="390">
        <f t="shared" si="0"/>
        <v>0.72989537192607323</v>
      </c>
      <c r="K7" s="390">
        <f>ABS(K61/K60)</f>
        <v>0.73502631953336173</v>
      </c>
    </row>
    <row r="8" spans="1:11" ht="13" x14ac:dyDescent="0.3">
      <c r="B8" t="s">
        <v>645</v>
      </c>
      <c r="D8" s="390">
        <f>ABS(D63/D60)</f>
        <v>0.10691494320238568</v>
      </c>
      <c r="E8" s="390">
        <f t="shared" ref="E8:K8" si="1">ABS(E63/E60)</f>
        <v>0.11538697789853276</v>
      </c>
      <c r="F8" s="390">
        <f t="shared" si="1"/>
        <v>0.10822848659040295</v>
      </c>
      <c r="G8" s="390">
        <f t="shared" si="1"/>
        <v>0.16496026522353857</v>
      </c>
      <c r="H8" s="390">
        <f t="shared" si="1"/>
        <v>0.10724770642201835</v>
      </c>
      <c r="I8" s="390">
        <f t="shared" si="1"/>
        <v>0.1515595697441314</v>
      </c>
      <c r="J8" s="390">
        <f t="shared" si="1"/>
        <v>0.16186803115930964</v>
      </c>
      <c r="K8" s="390">
        <f t="shared" si="1"/>
        <v>0.16278987053634938</v>
      </c>
    </row>
    <row r="9" spans="1:11" x14ac:dyDescent="0.25">
      <c r="D9" s="391"/>
      <c r="E9" s="391"/>
      <c r="F9" s="391"/>
      <c r="G9" s="391"/>
      <c r="H9" s="391"/>
      <c r="I9" s="391"/>
      <c r="J9" s="391"/>
      <c r="K9" s="391"/>
    </row>
    <row r="10" spans="1:11" ht="13" x14ac:dyDescent="0.3">
      <c r="B10" s="153" t="s">
        <v>646</v>
      </c>
      <c r="C10" s="153"/>
      <c r="D10" s="392"/>
      <c r="E10" s="392"/>
      <c r="F10" s="392"/>
      <c r="G10" s="392"/>
      <c r="H10" s="392"/>
      <c r="I10" s="392"/>
      <c r="J10" s="392"/>
      <c r="K10" s="392"/>
    </row>
    <row r="11" spans="1:11" ht="13" x14ac:dyDescent="0.3">
      <c r="B11" t="s">
        <v>647</v>
      </c>
      <c r="D11" s="390">
        <f>ABS(D62/D60)</f>
        <v>0.22644740127706622</v>
      </c>
      <c r="E11" s="390">
        <f t="shared" ref="E11:K11" si="2">ABS(E62/E60)</f>
        <v>0.22928116069465806</v>
      </c>
      <c r="F11" s="390">
        <f t="shared" si="2"/>
        <v>0.22226240554276033</v>
      </c>
      <c r="G11" s="390">
        <f t="shared" si="2"/>
        <v>0.23192433328457915</v>
      </c>
      <c r="H11" s="390">
        <f t="shared" si="2"/>
        <v>0.23208715596330276</v>
      </c>
      <c r="I11" s="390">
        <f t="shared" si="2"/>
        <v>0.32426548252893878</v>
      </c>
      <c r="J11" s="390">
        <f t="shared" si="2"/>
        <v>0.27010462807392677</v>
      </c>
      <c r="K11" s="390">
        <f t="shared" si="2"/>
        <v>0.26497368046663833</v>
      </c>
    </row>
    <row r="12" spans="1:11" ht="13" x14ac:dyDescent="0.3">
      <c r="B12" t="s">
        <v>648</v>
      </c>
      <c r="D12" s="390">
        <f>ABS(D64/D60)</f>
        <v>0.11953245807468055</v>
      </c>
      <c r="E12" s="390">
        <f t="shared" ref="E12:K12" si="3">ABS(E64/E60)</f>
        <v>0.1138941827961253</v>
      </c>
      <c r="F12" s="390">
        <f t="shared" si="3"/>
        <v>0.11403391895235739</v>
      </c>
      <c r="G12" s="390">
        <f t="shared" si="3"/>
        <v>6.6964068061040577E-2</v>
      </c>
      <c r="H12" s="390">
        <f t="shared" si="3"/>
        <v>0.1248394495412844</v>
      </c>
      <c r="I12" s="390">
        <f t="shared" si="3"/>
        <v>0.1727059127848074</v>
      </c>
      <c r="J12" s="390">
        <f t="shared" si="3"/>
        <v>0.10823659691461714</v>
      </c>
      <c r="K12" s="390">
        <f t="shared" si="3"/>
        <v>0.10218380993028892</v>
      </c>
    </row>
    <row r="13" spans="1:11" ht="13" x14ac:dyDescent="0.3">
      <c r="B13" t="s">
        <v>649</v>
      </c>
      <c r="D13" s="390">
        <f>ABS(D67/D60)</f>
        <v>8.1421895623015633E-2</v>
      </c>
      <c r="E13" s="390">
        <f t="shared" ref="E13:K13" si="4">ABS(E67/E60)</f>
        <v>7.0235216531105607E-2</v>
      </c>
      <c r="F13" s="390">
        <f t="shared" si="4"/>
        <v>6.5515731769990676E-2</v>
      </c>
      <c r="G13" s="390">
        <f t="shared" si="4"/>
        <v>2.9740139437373289E-3</v>
      </c>
      <c r="H13" s="390">
        <f t="shared" si="4"/>
        <v>6.0802752293577983E-2</v>
      </c>
      <c r="I13" s="390">
        <f t="shared" si="4"/>
        <v>9.6786014528680131E-2</v>
      </c>
      <c r="J13" s="390">
        <f t="shared" si="4"/>
        <v>7.1043989613563202E-2</v>
      </c>
      <c r="K13" s="390">
        <f t="shared" si="4"/>
        <v>6.4482856736377978E-2</v>
      </c>
    </row>
    <row r="14" spans="1:11" x14ac:dyDescent="0.25">
      <c r="D14" s="393"/>
      <c r="E14" s="393"/>
      <c r="F14" s="393"/>
      <c r="G14" s="393"/>
      <c r="H14" s="393"/>
      <c r="I14" s="393"/>
      <c r="J14" s="393"/>
      <c r="K14" s="393"/>
    </row>
    <row r="15" spans="1:11" ht="13" x14ac:dyDescent="0.3">
      <c r="B15" s="153" t="s">
        <v>650</v>
      </c>
      <c r="C15" s="153"/>
      <c r="D15" s="392"/>
      <c r="E15" s="392"/>
      <c r="F15" s="392"/>
      <c r="G15" s="392"/>
      <c r="H15" s="392"/>
      <c r="I15" s="392"/>
      <c r="J15" s="392"/>
      <c r="K15" s="392"/>
    </row>
    <row r="16" spans="1:11" ht="13" x14ac:dyDescent="0.3">
      <c r="B16" t="s">
        <v>651</v>
      </c>
      <c r="D16" s="391"/>
      <c r="E16" s="390">
        <f ca="1">E69*(1-Macro!H17)/AVERAGE('Ratio''s'!D95:E95)</f>
        <v>9.3039786946600783E-2</v>
      </c>
      <c r="F16" s="390">
        <f ca="1">F69*(1-Macro!I17)/AVERAGE('Ratio''s'!E95:F95)</f>
        <v>6.6300410439936314E-2</v>
      </c>
      <c r="G16" s="390">
        <f ca="1">G69*(1-Macro!J17)/AVERAGE('Ratio''s'!F95:G95)</f>
        <v>-5.8526796400102034E-2</v>
      </c>
      <c r="H16" s="390">
        <f ca="1">H69*(1-Macro!K17)/AVERAGE('Ratio''s'!G95:H95)</f>
        <v>4.1626844596602659E-2</v>
      </c>
      <c r="I16" s="390">
        <f ca="1">I69*(1-Macro!L17)/AVERAGE('Ratio''s'!H95:I95)</f>
        <v>7.3430940543647891E-2</v>
      </c>
      <c r="J16" s="390">
        <f ca="1">J69*(1-Macro!M17)/AVERAGE('Ratio''s'!I95:J95)</f>
        <v>8.7363537657768345E-2</v>
      </c>
      <c r="K16" s="390">
        <f ca="1">K69*(1-Macro!N17)/AVERAGE('Ratio''s'!J95:K95)</f>
        <v>8.7055398383605959E-2</v>
      </c>
    </row>
    <row r="17" spans="2:11" ht="13" x14ac:dyDescent="0.3">
      <c r="B17" t="s">
        <v>652</v>
      </c>
      <c r="D17" s="391"/>
      <c r="E17" s="390">
        <f ca="1">E69*(1-Macro!H17)/AVERAGE('Ratio''s'!D95-D76,E95-E76)</f>
        <v>0.13319988730013349</v>
      </c>
      <c r="F17" s="390">
        <f ca="1">F69*(1-Macro!I17)/AVERAGE('Ratio''s'!E95-E76,F95-F76)</f>
        <v>9.6285910052732335E-2</v>
      </c>
      <c r="G17" s="390">
        <f ca="1">G69*(1-Macro!J17)/AVERAGE('Ratio''s'!F95-F76,G95-G76)</f>
        <v>-8.1957794814384879E-2</v>
      </c>
      <c r="H17" s="390">
        <f ca="1">H69*(1-Macro!K17)/AVERAGE('Ratio''s'!G95-G76,H95-H76)</f>
        <v>5.6638827272244889E-2</v>
      </c>
      <c r="I17" s="390">
        <f ca="1">I69*(1-Macro!L17)/AVERAGE('Ratio''s'!H95-H76,I95-I76)</f>
        <v>9.7650502838313724E-2</v>
      </c>
      <c r="J17" s="390">
        <f ca="1">J69*(1-Macro!M17)/AVERAGE('Ratio''s'!I95-I76,J95-J76)</f>
        <v>0.11216469418808522</v>
      </c>
      <c r="K17" s="390">
        <f ca="1">K69*(1-Macro!N17)/AVERAGE('Ratio''s'!J95-J76,K95-K76)</f>
        <v>0.1120206020826874</v>
      </c>
    </row>
    <row r="18" spans="2:11" x14ac:dyDescent="0.25">
      <c r="D18" s="393"/>
      <c r="E18" s="393"/>
      <c r="F18" s="393"/>
      <c r="G18" s="393"/>
      <c r="H18" s="393"/>
      <c r="I18" s="393"/>
      <c r="J18" s="393"/>
      <c r="K18" s="393"/>
    </row>
    <row r="19" spans="2:11" ht="13" x14ac:dyDescent="0.3">
      <c r="B19" s="153" t="s">
        <v>653</v>
      </c>
      <c r="C19" s="153"/>
      <c r="D19" s="392"/>
      <c r="E19" s="392"/>
      <c r="F19" s="392"/>
      <c r="G19" s="392"/>
      <c r="H19" s="392"/>
      <c r="I19" s="392"/>
      <c r="J19" s="392"/>
      <c r="K19" s="392"/>
    </row>
    <row r="20" spans="2:11" ht="13" x14ac:dyDescent="0.3">
      <c r="B20" t="s">
        <v>654</v>
      </c>
      <c r="D20" s="390">
        <f ca="1">ABS(D80/D60)</f>
        <v>0.25773195876288663</v>
      </c>
      <c r="E20" s="390">
        <f t="shared" ref="E20:K20" ca="1" si="5">ABS(E80/E60)</f>
        <v>0.2615776361105005</v>
      </c>
      <c r="F20" s="390">
        <f t="shared" ca="1" si="5"/>
        <v>0.27875592439613989</v>
      </c>
      <c r="G20" s="390">
        <f t="shared" ca="1" si="5"/>
        <v>0.37985057575890285</v>
      </c>
      <c r="H20" s="390">
        <f t="shared" ca="1" si="5"/>
        <v>0.35253395004678667</v>
      </c>
      <c r="I20" s="390">
        <f t="shared" ca="1" si="5"/>
        <v>0.38516922304620993</v>
      </c>
      <c r="J20" s="390">
        <f t="shared" ca="1" si="5"/>
        <v>0.36127233847563778</v>
      </c>
      <c r="K20" s="390">
        <f t="shared" ca="1" si="5"/>
        <v>0.32494682070677888</v>
      </c>
    </row>
    <row r="22" spans="2:11" x14ac:dyDescent="0.25">
      <c r="B22" s="162" t="s">
        <v>655</v>
      </c>
      <c r="C22" s="162"/>
      <c r="D22" s="385">
        <f>ABS(D81/D61)*365</f>
        <v>53.256167857966339</v>
      </c>
      <c r="E22" s="385">
        <f t="shared" ref="E22:K22" si="6">ABS(E81/E61)*365</f>
        <v>51.003874310705463</v>
      </c>
      <c r="F22" s="385">
        <f t="shared" si="6"/>
        <v>51.632403328438571</v>
      </c>
      <c r="G22" s="385">
        <f t="shared" si="6"/>
        <v>65.335787736447884</v>
      </c>
      <c r="H22" s="385">
        <f t="shared" si="6"/>
        <v>52.240972491861051</v>
      </c>
      <c r="I22" s="385">
        <f t="shared" si="6"/>
        <v>60.697492663008802</v>
      </c>
      <c r="J22" s="385">
        <f t="shared" si="6"/>
        <v>47.013000601637508</v>
      </c>
      <c r="K22" s="385">
        <f t="shared" si="6"/>
        <v>48.28752540404529</v>
      </c>
    </row>
    <row r="23" spans="2:11" x14ac:dyDescent="0.25">
      <c r="B23" t="s">
        <v>656</v>
      </c>
      <c r="D23" s="386">
        <f>(D83/'Main Financials'!G32)*365</f>
        <v>39.306014602356548</v>
      </c>
      <c r="E23" s="386">
        <f>(E83/'Main Financials'!H32)*365</f>
        <v>36.784157259634107</v>
      </c>
      <c r="F23" s="386">
        <f>(F83/'Main Financials'!I32)*365</f>
        <v>39.670683057884879</v>
      </c>
      <c r="G23" s="386">
        <f>(G83/'Main Financials'!J32)*365</f>
        <v>46.115410009243355</v>
      </c>
      <c r="H23" s="386">
        <f>(H83/'Main Financials'!K32)*365</f>
        <v>40.199306119436038</v>
      </c>
      <c r="I23" s="386">
        <f>(I83/'Main Financials'!L32)*365</f>
        <v>43.126898726838434</v>
      </c>
      <c r="J23" s="386">
        <f>(J83/'Main Financials'!M32)*365</f>
        <v>42.806957424714447</v>
      </c>
      <c r="K23" s="386">
        <f>(K83/'Main Financials'!N32)*365</f>
        <v>44.339852332785675</v>
      </c>
    </row>
    <row r="24" spans="2:11" x14ac:dyDescent="0.25">
      <c r="B24" t="s">
        <v>657</v>
      </c>
      <c r="D24" s="386">
        <f>(D87/D61)*365</f>
        <v>83.351625547613551</v>
      </c>
      <c r="E24" s="386">
        <f t="shared" ref="E24:K24" si="7">(E87/E61)*365</f>
        <v>82.461613424605446</v>
      </c>
      <c r="F24" s="386">
        <f t="shared" si="7"/>
        <v>85.595447870778273</v>
      </c>
      <c r="G24" s="386">
        <f t="shared" si="7"/>
        <v>95.883743811095584</v>
      </c>
      <c r="H24" s="386">
        <f t="shared" si="7"/>
        <v>86.941100922911502</v>
      </c>
      <c r="I24" s="386">
        <f t="shared" si="7"/>
        <v>97.863500063799933</v>
      </c>
      <c r="J24" s="386">
        <f t="shared" si="7"/>
        <v>76.047633995134575</v>
      </c>
      <c r="K24" s="386">
        <f t="shared" si="7"/>
        <v>86.622592664279495</v>
      </c>
    </row>
    <row r="25" spans="2:11" x14ac:dyDescent="0.25">
      <c r="B25" t="s">
        <v>658</v>
      </c>
      <c r="D25" s="386">
        <f>(ABS(D87/D60))*365</f>
        <v>64.476866550137345</v>
      </c>
      <c r="E25" s="386">
        <f t="shared" ref="E25:K25" si="8">(ABS(E87/E60))*365</f>
        <v>63.554718985857704</v>
      </c>
      <c r="F25" s="386">
        <f t="shared" si="8"/>
        <v>66.570797723509145</v>
      </c>
      <c r="G25" s="386">
        <f t="shared" si="8"/>
        <v>73.645970454877855</v>
      </c>
      <c r="H25" s="386">
        <f t="shared" si="8"/>
        <v>66.763188073394488</v>
      </c>
      <c r="I25" s="386">
        <f t="shared" si="8"/>
        <v>66.129744993641012</v>
      </c>
      <c r="J25" s="386">
        <f t="shared" si="8"/>
        <v>55.506816098976643</v>
      </c>
      <c r="K25" s="386">
        <f t="shared" si="8"/>
        <v>63.669885474462937</v>
      </c>
    </row>
    <row r="26" spans="2:11" x14ac:dyDescent="0.25">
      <c r="D26" s="189"/>
      <c r="E26" s="189"/>
      <c r="F26" s="189"/>
      <c r="G26" s="189"/>
      <c r="H26" s="189"/>
      <c r="I26" s="189"/>
      <c r="J26" s="189"/>
      <c r="K26" s="189"/>
    </row>
    <row r="27" spans="2:11" ht="13" x14ac:dyDescent="0.3">
      <c r="B27" s="153" t="s">
        <v>659</v>
      </c>
      <c r="C27" s="153"/>
      <c r="D27" s="153"/>
      <c r="E27" s="153"/>
      <c r="F27" s="153"/>
      <c r="G27" s="153"/>
      <c r="H27" s="153"/>
      <c r="I27" s="153"/>
      <c r="J27" s="153"/>
      <c r="K27" s="153"/>
    </row>
    <row r="28" spans="2:11" ht="13" x14ac:dyDescent="0.3">
      <c r="B28" t="s">
        <v>660</v>
      </c>
      <c r="D28" s="390">
        <f>ABS(D152/D60)</f>
        <v>5.2652231298826388E-2</v>
      </c>
      <c r="E28" s="390">
        <f t="shared" ref="E28:K28" si="9">ABS(E152/E60)</f>
        <v>5.8987323221220786E-2</v>
      </c>
      <c r="F28" s="390">
        <f t="shared" si="9"/>
        <v>7.9334564211888767E-2</v>
      </c>
      <c r="G28" s="390">
        <f t="shared" si="9"/>
        <v>8.70508507630052E-2</v>
      </c>
      <c r="H28" s="390">
        <f t="shared" si="9"/>
        <v>3.9816513761467887E-2</v>
      </c>
      <c r="I28" s="390">
        <f t="shared" si="9"/>
        <v>3.5114569636351879E-2</v>
      </c>
      <c r="J28" s="390">
        <f t="shared" si="9"/>
        <v>4.3206812280433798E-2</v>
      </c>
      <c r="K28" s="390">
        <f t="shared" si="9"/>
        <v>4.5756864418836245E-2</v>
      </c>
    </row>
    <row r="29" spans="2:11" ht="13" x14ac:dyDescent="0.3">
      <c r="B29" t="s">
        <v>661</v>
      </c>
      <c r="D29" s="390">
        <f>ABS(D152/D134)</f>
        <v>0.21811733412147186</v>
      </c>
      <c r="E29" s="390">
        <f t="shared" ref="E29:K29" si="10">ABS(E152/E134)</f>
        <v>0.22607596714175385</v>
      </c>
      <c r="F29" s="390">
        <f t="shared" si="10"/>
        <v>0.29138702460850113</v>
      </c>
      <c r="G29" s="390">
        <f t="shared" si="10"/>
        <v>0.211301775147929</v>
      </c>
      <c r="H29" s="390">
        <f t="shared" si="10"/>
        <v>0.10131310183834258</v>
      </c>
      <c r="I29" s="390">
        <f t="shared" si="10"/>
        <v>0.10076080905548339</v>
      </c>
      <c r="J29" s="390">
        <f t="shared" si="10"/>
        <v>0.19333618111917983</v>
      </c>
      <c r="K29" s="390">
        <f t="shared" si="10"/>
        <v>0.2100236715370174</v>
      </c>
    </row>
    <row r="30" spans="2:11" ht="13" x14ac:dyDescent="0.3">
      <c r="D30" s="394"/>
      <c r="E30" s="394"/>
      <c r="F30" s="394"/>
      <c r="G30" s="394"/>
      <c r="H30" s="394"/>
      <c r="I30" s="394"/>
      <c r="J30" s="394"/>
      <c r="K30" s="394"/>
    </row>
    <row r="31" spans="2:11" ht="13" x14ac:dyDescent="0.3">
      <c r="B31" t="s">
        <v>662</v>
      </c>
      <c r="D31" s="390">
        <f>ABS(D153/D60)</f>
        <v>2.3293974958085117E-2</v>
      </c>
      <c r="E31" s="390">
        <f t="shared" ref="E31:K31" si="11">ABS(E153/E60)</f>
        <v>3.2461346816150073E-2</v>
      </c>
      <c r="F31" s="390">
        <f t="shared" si="11"/>
        <v>3.9705350514875233E-2</v>
      </c>
      <c r="G31" s="390">
        <f t="shared" si="11"/>
        <v>3.6565745209887368E-2</v>
      </c>
      <c r="H31" s="390">
        <f t="shared" si="11"/>
        <v>2.6788990825688072E-2</v>
      </c>
      <c r="I31" s="390">
        <f t="shared" si="11"/>
        <v>3.0889612209264727E-2</v>
      </c>
      <c r="J31" s="390">
        <f t="shared" si="11"/>
        <v>2.604246219642585E-2</v>
      </c>
      <c r="K31" s="390">
        <f t="shared" si="11"/>
        <v>2.6675202731540757E-2</v>
      </c>
    </row>
    <row r="32" spans="2:11" ht="13" x14ac:dyDescent="0.3">
      <c r="B32" t="s">
        <v>663</v>
      </c>
      <c r="D32" s="390">
        <f>ABS(D153/D142)</f>
        <v>0.2466271677938062</v>
      </c>
      <c r="E32" s="390">
        <f t="shared" ref="E32:K32" si="12">ABS(E153/E142)</f>
        <v>0.30872373367711875</v>
      </c>
      <c r="F32" s="390">
        <f t="shared" si="12"/>
        <v>0.32011782163537955</v>
      </c>
      <c r="G32" s="390">
        <f t="shared" si="12"/>
        <v>0.21585839689163908</v>
      </c>
      <c r="H32" s="390">
        <f t="shared" si="12"/>
        <v>0.18402394832204191</v>
      </c>
      <c r="I32" s="390">
        <f t="shared" si="12"/>
        <v>0.22397624257580495</v>
      </c>
      <c r="J32" s="390">
        <f t="shared" si="12"/>
        <v>0.29021276595744683</v>
      </c>
      <c r="K32" s="390">
        <f t="shared" si="12"/>
        <v>0.32425421530479898</v>
      </c>
    </row>
    <row r="33" spans="2:11" ht="13" x14ac:dyDescent="0.3">
      <c r="D33" s="394"/>
      <c r="E33" s="394"/>
      <c r="F33" s="394"/>
      <c r="G33" s="394"/>
      <c r="H33" s="394"/>
      <c r="I33" s="394"/>
      <c r="J33" s="394"/>
      <c r="K33" s="394"/>
    </row>
    <row r="34" spans="2:11" ht="13" x14ac:dyDescent="0.3">
      <c r="B34" t="s">
        <v>664</v>
      </c>
      <c r="D34" s="390">
        <f>ABS(SUM(D65:D66)/D60)</f>
        <v>3.8110562451664921E-2</v>
      </c>
      <c r="E34" s="390">
        <f t="shared" ref="E34:K34" si="13">ABS(SUM(E65:E66)/E60)</f>
        <v>4.3658966265019687E-2</v>
      </c>
      <c r="F34" s="390">
        <f t="shared" si="13"/>
        <v>4.8518187182366716E-2</v>
      </c>
      <c r="G34" s="390">
        <f t="shared" si="13"/>
        <v>6.9938082004777913E-2</v>
      </c>
      <c r="H34" s="390">
        <f t="shared" si="13"/>
        <v>6.4036697247706428E-2</v>
      </c>
      <c r="I34" s="390">
        <f t="shared" si="13"/>
        <v>7.5919898256127272E-2</v>
      </c>
      <c r="J34" s="390">
        <f t="shared" si="13"/>
        <v>3.7192607301053927E-2</v>
      </c>
      <c r="K34" s="390">
        <f t="shared" si="13"/>
        <v>3.7700953193910938E-2</v>
      </c>
    </row>
    <row r="35" spans="2:11" ht="13" x14ac:dyDescent="0.3">
      <c r="B35" t="s">
        <v>665</v>
      </c>
      <c r="D35" s="390">
        <f>ABS(SUM(D65:D66)/D134)</f>
        <v>0.15787696131336229</v>
      </c>
      <c r="E35" s="390">
        <f t="shared" ref="E35:K35" si="14">ABS(SUM(E65:E66)/E134)</f>
        <v>0.16732820687178926</v>
      </c>
      <c r="F35" s="390">
        <f t="shared" si="14"/>
        <v>0.17820190156599552</v>
      </c>
      <c r="G35" s="390">
        <f t="shared" si="14"/>
        <v>0.16976331360946745</v>
      </c>
      <c r="H35" s="390">
        <f t="shared" si="14"/>
        <v>0.16294134811788735</v>
      </c>
      <c r="I35" s="390">
        <f t="shared" si="14"/>
        <v>0.21785117832622009</v>
      </c>
      <c r="J35" s="390">
        <f t="shared" si="14"/>
        <v>0.1664246048697138</v>
      </c>
      <c r="K35" s="390">
        <f t="shared" si="14"/>
        <v>0.17304709819606562</v>
      </c>
    </row>
    <row r="36" spans="2:11" ht="13" x14ac:dyDescent="0.3">
      <c r="D36" s="394"/>
      <c r="E36" s="394"/>
      <c r="F36" s="394"/>
      <c r="G36" s="394"/>
      <c r="H36" s="394"/>
      <c r="I36" s="394"/>
      <c r="J36" s="394"/>
      <c r="K36" s="394"/>
    </row>
    <row r="37" spans="2:11" ht="13" x14ac:dyDescent="0.3">
      <c r="B37" t="s">
        <v>666</v>
      </c>
      <c r="D37" s="390">
        <f>ABS(D68/D60)</f>
        <v>1.7140512966860488E-2</v>
      </c>
      <c r="E37" s="390">
        <f t="shared" ref="E37:K37" si="15">ABS(E68/E60)</f>
        <v>1.7403092254707996E-2</v>
      </c>
      <c r="F37" s="390">
        <f t="shared" si="15"/>
        <v>2.3906960808573005E-2</v>
      </c>
      <c r="G37" s="390">
        <f t="shared" si="15"/>
        <v>4.5829067329725505E-2</v>
      </c>
      <c r="H37" s="390">
        <f t="shared" si="15"/>
        <v>2.8738532110091742E-2</v>
      </c>
      <c r="I37" s="390">
        <f t="shared" si="15"/>
        <v>4.9039684421547283E-2</v>
      </c>
      <c r="J37" s="390">
        <f t="shared" si="15"/>
        <v>2.3617687490453648E-2</v>
      </c>
      <c r="K37" s="390">
        <f t="shared" si="15"/>
        <v>1.8637074975103141E-2</v>
      </c>
    </row>
    <row r="38" spans="2:11" ht="13" x14ac:dyDescent="0.3">
      <c r="B38" t="s">
        <v>667</v>
      </c>
      <c r="D38" s="390">
        <f>ABS(D68/D142)</f>
        <v>0.18147680570432445</v>
      </c>
      <c r="E38" s="390">
        <f t="shared" ref="E38:K38" si="16">ABS(E68/E142)</f>
        <v>0.16551215970274424</v>
      </c>
      <c r="F38" s="390">
        <f t="shared" si="16"/>
        <v>0.19274591753309528</v>
      </c>
      <c r="G38" s="390">
        <f t="shared" si="16"/>
        <v>0.27054252410418766</v>
      </c>
      <c r="H38" s="390">
        <f t="shared" si="16"/>
        <v>0.19741610209547819</v>
      </c>
      <c r="I38" s="390">
        <f t="shared" si="16"/>
        <v>0.35557986870897157</v>
      </c>
      <c r="J38" s="390">
        <f t="shared" si="16"/>
        <v>0.26319148936170211</v>
      </c>
      <c r="K38" s="390">
        <f t="shared" si="16"/>
        <v>0.22654561175961954</v>
      </c>
    </row>
    <row r="39" spans="2:11" ht="13" x14ac:dyDescent="0.3">
      <c r="D39" s="394"/>
      <c r="E39" s="394"/>
      <c r="F39" s="394"/>
      <c r="G39" s="394"/>
      <c r="H39" s="394"/>
      <c r="I39" s="394"/>
      <c r="J39" s="394"/>
      <c r="K39" s="394"/>
    </row>
    <row r="40" spans="2:11" ht="13" x14ac:dyDescent="0.3">
      <c r="B40" s="153" t="s">
        <v>668</v>
      </c>
      <c r="C40" s="153"/>
      <c r="D40" s="392"/>
      <c r="E40" s="392"/>
      <c r="F40" s="392"/>
      <c r="G40" s="392"/>
      <c r="H40" s="392"/>
      <c r="I40" s="392"/>
      <c r="J40" s="392"/>
      <c r="K40" s="392"/>
    </row>
    <row r="41" spans="2:11" ht="13" x14ac:dyDescent="0.3">
      <c r="B41" t="s">
        <v>669</v>
      </c>
      <c r="D41" s="390">
        <f>ABS(D78/D60)</f>
        <v>2.5594834659151716E-2</v>
      </c>
      <c r="E41" s="390">
        <f t="shared" ref="E41:K41" si="17">ABS(E78/E60)</f>
        <v>2.7203781050780394E-2</v>
      </c>
      <c r="F41" s="390">
        <f t="shared" si="17"/>
        <v>2.3297866265679427E-2</v>
      </c>
      <c r="G41" s="390">
        <f t="shared" si="17"/>
        <v>2.3304568280434885E-2</v>
      </c>
      <c r="H41" s="390">
        <f t="shared" si="17"/>
        <v>2.2155963302752293E-2</v>
      </c>
      <c r="I41" s="390">
        <f t="shared" si="17"/>
        <v>2.0219439115345648E-2</v>
      </c>
      <c r="J41" s="390">
        <f t="shared" si="17"/>
        <v>1.4968687948678788E-2</v>
      </c>
      <c r="K41" s="390">
        <f t="shared" si="17"/>
        <v>1.8725992317541611E-2</v>
      </c>
    </row>
    <row r="42" spans="2:11" ht="13" x14ac:dyDescent="0.3">
      <c r="D42" s="394"/>
      <c r="E42" s="394"/>
      <c r="F42" s="394"/>
      <c r="G42" s="394"/>
      <c r="H42" s="394"/>
      <c r="I42" s="394"/>
      <c r="J42" s="394"/>
      <c r="K42" s="394"/>
    </row>
    <row r="43" spans="2:11" ht="13" x14ac:dyDescent="0.3">
      <c r="B43" t="s">
        <v>670</v>
      </c>
      <c r="D43" s="390">
        <f>ABS(D91/D60)</f>
        <v>4.387685941568866E-3</v>
      </c>
      <c r="E43" s="390">
        <f t="shared" ref="E43:K43" si="18">ABS(E91/E60)</f>
        <v>5.2942038543269589E-3</v>
      </c>
      <c r="F43" s="390">
        <f t="shared" si="18"/>
        <v>4.2446275957896337E-3</v>
      </c>
      <c r="G43" s="390">
        <f t="shared" si="18"/>
        <v>5.3873531275900723E-3</v>
      </c>
      <c r="H43" s="390">
        <f t="shared" si="18"/>
        <v>6.1009174311926605E-3</v>
      </c>
      <c r="I43" s="390">
        <f t="shared" si="18"/>
        <v>6.7254424349550562E-3</v>
      </c>
      <c r="J43" s="390">
        <f t="shared" si="18"/>
        <v>6.8542844050710266E-3</v>
      </c>
      <c r="K43" s="390">
        <f t="shared" si="18"/>
        <v>6.5798833404467202E-3</v>
      </c>
    </row>
    <row r="44" spans="2:11" ht="13" x14ac:dyDescent="0.3">
      <c r="B44" t="s">
        <v>671</v>
      </c>
      <c r="D44" s="390">
        <f>ABS(D92/D60)</f>
        <v>4.3323939642564126E-2</v>
      </c>
      <c r="E44" s="390">
        <f t="shared" ref="E44:K44" si="19">ABS(E92/E60)</f>
        <v>4.8875210669011508E-2</v>
      </c>
      <c r="F44" s="390">
        <f t="shared" si="19"/>
        <v>5.1715933532558003E-2</v>
      </c>
      <c r="G44" s="390">
        <f t="shared" si="19"/>
        <v>7.5837355565306408E-2</v>
      </c>
      <c r="H44" s="390">
        <f t="shared" si="19"/>
        <v>7.0275229357798161E-2</v>
      </c>
      <c r="I44" s="390">
        <f t="shared" si="19"/>
        <v>5.7834493759565432E-2</v>
      </c>
      <c r="J44" s="390">
        <f t="shared" si="19"/>
        <v>4.9831984114861783E-2</v>
      </c>
      <c r="K44" s="390">
        <f t="shared" si="19"/>
        <v>4.6770522122634793E-2</v>
      </c>
    </row>
    <row r="45" spans="2:11" ht="13" x14ac:dyDescent="0.3">
      <c r="B45" t="s">
        <v>672</v>
      </c>
      <c r="D45" s="390">
        <f>ABS('Main Financials'!G210/D60)</f>
        <v>2.8163236185923736E-2</v>
      </c>
      <c r="E45" s="390">
        <f>ABS('Main Financials'!H210/E60)</f>
        <v>2.8797537920422073E-2</v>
      </c>
      <c r="F45" s="390">
        <f>ABS('Main Financials'!I210/F60)</f>
        <v>3.3005310543045854E-2</v>
      </c>
      <c r="G45" s="390">
        <f>ABS('Main Financials'!J210/G60)</f>
        <v>4.1075520452440145E-2</v>
      </c>
      <c r="H45" s="390">
        <f>ABS('Main Financials'!K210/H60)</f>
        <v>3.3417431192660552E-2</v>
      </c>
      <c r="I45" s="390">
        <f>ABS('Main Financials'!L210/I60)</f>
        <v>2.9574701989610052E-2</v>
      </c>
      <c r="J45" s="390">
        <f>ABS('Main Financials'!M210/J60)</f>
        <v>1.7985336795478851E-2</v>
      </c>
      <c r="K45" s="390">
        <f>ABS('Main Financials'!N210/K60)</f>
        <v>1.5382700241855169E-2</v>
      </c>
    </row>
    <row r="46" spans="2:11" ht="13" x14ac:dyDescent="0.3">
      <c r="B46" t="s">
        <v>673</v>
      </c>
      <c r="D46" s="390">
        <f>ABS(D90/D60)</f>
        <v>1.8781436164520389E-2</v>
      </c>
      <c r="E46" s="390">
        <f t="shared" ref="E46:K46" si="20">ABS(E90/E60)</f>
        <v>2.6324466915805676E-2</v>
      </c>
      <c r="F46" s="390">
        <f t="shared" si="20"/>
        <v>3.2262976568894305E-2</v>
      </c>
      <c r="G46" s="390">
        <f t="shared" si="20"/>
        <v>3.4176783189508064E-2</v>
      </c>
      <c r="H46" s="390">
        <f t="shared" si="20"/>
        <v>3.4288990825688072E-2</v>
      </c>
      <c r="I46" s="390">
        <f t="shared" si="20"/>
        <v>3.291586730184734E-2</v>
      </c>
      <c r="J46" s="390">
        <f t="shared" si="20"/>
        <v>2.6920727050557515E-2</v>
      </c>
      <c r="K46" s="390">
        <f t="shared" si="20"/>
        <v>2.256722151088348E-2</v>
      </c>
    </row>
    <row r="47" spans="2:11" ht="13" x14ac:dyDescent="0.3">
      <c r="B47" t="s">
        <v>674</v>
      </c>
      <c r="D47" s="390"/>
      <c r="E47" s="390">
        <f ca="1">ABS(E90/D95)</f>
        <v>7.1994855253319737E-2</v>
      </c>
      <c r="F47" s="390">
        <f t="shared" ref="F47:K47" ca="1" si="21">ABS(F90/E95)</f>
        <v>8.1922245896073609E-2</v>
      </c>
      <c r="G47" s="390">
        <f t="shared" ca="1" si="21"/>
        <v>6.2178463721837857E-2</v>
      </c>
      <c r="H47" s="390">
        <f t="shared" ca="1" si="21"/>
        <v>6.2397663869363316E-2</v>
      </c>
      <c r="I47" s="390">
        <f t="shared" ca="1" si="21"/>
        <v>6.3291453454742339E-2</v>
      </c>
      <c r="J47" s="390">
        <f t="shared" ca="1" si="21"/>
        <v>6.8382251500039154E-2</v>
      </c>
      <c r="K47" s="390">
        <f t="shared" ca="1" si="21"/>
        <v>5.8864458669635404E-2</v>
      </c>
    </row>
    <row r="48" spans="2:11" x14ac:dyDescent="0.25">
      <c r="D48" s="393"/>
      <c r="E48" s="393"/>
      <c r="F48" s="393"/>
      <c r="G48" s="393"/>
      <c r="H48" s="393"/>
      <c r="I48" s="393"/>
      <c r="J48" s="393"/>
      <c r="K48" s="393"/>
    </row>
    <row r="49" spans="1:11" ht="13" x14ac:dyDescent="0.3">
      <c r="B49" s="153" t="s">
        <v>675</v>
      </c>
      <c r="C49" s="153"/>
      <c r="D49" s="153"/>
      <c r="E49" s="153"/>
      <c r="F49" s="153"/>
      <c r="G49" s="153"/>
      <c r="H49" s="153"/>
      <c r="I49" s="153"/>
      <c r="J49" s="153"/>
      <c r="K49" s="153"/>
    </row>
    <row r="50" spans="1:11" x14ac:dyDescent="0.25">
      <c r="B50" t="s">
        <v>676</v>
      </c>
      <c r="D50" s="387">
        <f>ABS(D124/D64)</f>
        <v>1.4463120890841414</v>
      </c>
      <c r="E50" s="387">
        <f t="shared" ref="E50:K50" si="22">ABS(E124/E64)</f>
        <v>1.4918721778966451</v>
      </c>
      <c r="F50" s="387">
        <f t="shared" si="22"/>
        <v>1.9318978467701553</v>
      </c>
      <c r="G50" s="387">
        <f t="shared" si="22"/>
        <v>6.3148889697852031</v>
      </c>
      <c r="H50" s="387">
        <f t="shared" si="22"/>
        <v>3.0933308837038398</v>
      </c>
      <c r="I50" s="387">
        <f t="shared" si="22"/>
        <v>1.9150024962556165</v>
      </c>
      <c r="J50" s="387">
        <f t="shared" si="22"/>
        <v>2.1880402187334682</v>
      </c>
      <c r="K50" s="387">
        <f t="shared" si="22"/>
        <v>1.9582318134354308</v>
      </c>
    </row>
    <row r="51" spans="1:11" x14ac:dyDescent="0.25">
      <c r="B51" t="s">
        <v>677</v>
      </c>
      <c r="D51" s="387">
        <f ca="1">ABS((D124-D102)/D64)</f>
        <v>1.4463120890841414</v>
      </c>
      <c r="E51" s="387">
        <f t="shared" ref="E51:K51" ca="1" si="23">ABS((E124-E102)/E64)</f>
        <v>1.4918721778966451</v>
      </c>
      <c r="F51" s="387">
        <f t="shared" ca="1" si="23"/>
        <v>1.9318978467701553</v>
      </c>
      <c r="G51" s="387">
        <f t="shared" ca="1" si="23"/>
        <v>5.6476994243835721</v>
      </c>
      <c r="H51" s="387">
        <f t="shared" ca="1" si="23"/>
        <v>2.6511997468381221</v>
      </c>
      <c r="I51" s="387">
        <f t="shared" ca="1" si="23"/>
        <v>1.7319502529127215</v>
      </c>
      <c r="J51" s="387">
        <f t="shared" ca="1" si="23"/>
        <v>2.1880402187334682</v>
      </c>
      <c r="K51" s="387">
        <f t="shared" ca="1" si="23"/>
        <v>1.8993055381106123</v>
      </c>
    </row>
    <row r="52" spans="1:11" ht="13" x14ac:dyDescent="0.3">
      <c r="B52" t="s">
        <v>678</v>
      </c>
      <c r="D52" s="390">
        <f>ABS(D124/D128)</f>
        <v>0.22470878832805699</v>
      </c>
      <c r="E52" s="390">
        <f t="shared" ref="E52:K52" si="24">ABS(E124/E128)</f>
        <v>0.20421134093388274</v>
      </c>
      <c r="F52" s="390">
        <f t="shared" si="24"/>
        <v>0.24675407739047009</v>
      </c>
      <c r="G52" s="390">
        <f t="shared" si="24"/>
        <v>0.40639568935223147</v>
      </c>
      <c r="H52" s="390">
        <f t="shared" si="24"/>
        <v>0.37640562473452416</v>
      </c>
      <c r="I52" s="390">
        <f t="shared" si="24"/>
        <v>0.34185196738113277</v>
      </c>
      <c r="J52" s="390">
        <f t="shared" si="24"/>
        <v>0.28821041869975372</v>
      </c>
      <c r="K52" s="390">
        <f t="shared" si="24"/>
        <v>0.26566558058270767</v>
      </c>
    </row>
    <row r="53" spans="1:11" x14ac:dyDescent="0.25">
      <c r="B53" t="s">
        <v>679</v>
      </c>
      <c r="D53" s="387">
        <f>ABS(D124/D114)</f>
        <v>0.29240857832327138</v>
      </c>
      <c r="E53" s="387">
        <f t="shared" ref="E53:K53" si="25">ABS(E124/E114)</f>
        <v>0.26093936667456796</v>
      </c>
      <c r="F53" s="387">
        <f t="shared" si="25"/>
        <v>0.33485707672723064</v>
      </c>
      <c r="G53" s="387">
        <f t="shared" si="25"/>
        <v>0.70026642984014209</v>
      </c>
      <c r="H53" s="387">
        <f t="shared" si="25"/>
        <v>0.61628843338213768</v>
      </c>
      <c r="I53" s="387">
        <f t="shared" si="25"/>
        <v>0.53278005417042851</v>
      </c>
      <c r="J53" s="387">
        <f t="shared" si="25"/>
        <v>0.41691314869588597</v>
      </c>
      <c r="K53" s="387">
        <f t="shared" si="25"/>
        <v>0.37124286515556437</v>
      </c>
    </row>
    <row r="55" spans="1:11" ht="18" x14ac:dyDescent="0.4">
      <c r="A55" t="s">
        <v>22</v>
      </c>
      <c r="B55" s="47" t="s">
        <v>680</v>
      </c>
      <c r="C55" s="47"/>
      <c r="D55" s="47"/>
      <c r="E55" s="47"/>
      <c r="F55" s="47"/>
      <c r="G55" s="47"/>
      <c r="H55" s="47"/>
      <c r="I55" s="47"/>
      <c r="J55" s="47"/>
      <c r="K55" s="47"/>
    </row>
    <row r="56" spans="1:11" outlineLevel="1" x14ac:dyDescent="0.25"/>
    <row r="57" spans="1:11" ht="13" outlineLevel="1" x14ac:dyDescent="0.3">
      <c r="B57" s="49" t="s">
        <v>57</v>
      </c>
      <c r="C57" s="49"/>
      <c r="D57" s="49"/>
      <c r="E57" s="49"/>
      <c r="F57" s="49"/>
      <c r="G57" s="49"/>
      <c r="H57" s="49"/>
      <c r="I57" s="49"/>
      <c r="J57" s="49"/>
      <c r="K57" s="49"/>
    </row>
    <row r="58" spans="1:11" ht="13" outlineLevel="1" x14ac:dyDescent="0.3">
      <c r="B58" s="1" t="s">
        <v>58</v>
      </c>
      <c r="C58" s="33"/>
      <c r="D58" s="156">
        <f>'Main Financials'!G6</f>
        <v>2017</v>
      </c>
      <c r="E58" s="156">
        <f>'Main Financials'!H6</f>
        <v>2018</v>
      </c>
      <c r="F58" s="156">
        <f>'Main Financials'!I6</f>
        <v>2019</v>
      </c>
      <c r="G58" s="156">
        <f>'Main Financials'!J6</f>
        <v>2020</v>
      </c>
      <c r="H58" s="156">
        <f>'Main Financials'!K6</f>
        <v>2021</v>
      </c>
      <c r="I58" s="156">
        <f>'Main Financials'!L6</f>
        <v>2022</v>
      </c>
      <c r="J58" s="156">
        <f>'Main Financials'!M6</f>
        <v>2023</v>
      </c>
      <c r="K58" s="156">
        <f>'Main Financials'!N6</f>
        <v>2024</v>
      </c>
    </row>
    <row r="59" spans="1:11" ht="13.5" outlineLevel="1" thickBot="1" x14ac:dyDescent="0.35">
      <c r="B59" s="51"/>
      <c r="C59" s="51"/>
      <c r="D59" s="158">
        <f>'Main Financials'!G7</f>
        <v>2017</v>
      </c>
      <c r="E59" s="158">
        <f>'Main Financials'!H7</f>
        <v>2018</v>
      </c>
      <c r="F59" s="158">
        <f>'Main Financials'!I7</f>
        <v>2019</v>
      </c>
      <c r="G59" s="158">
        <f>'Main Financials'!J7</f>
        <v>2020</v>
      </c>
      <c r="H59" s="158">
        <f>'Main Financials'!K7</f>
        <v>2021</v>
      </c>
      <c r="I59" s="158">
        <f>'Main Financials'!L7</f>
        <v>2022</v>
      </c>
      <c r="J59" s="158">
        <f>'Main Financials'!M7</f>
        <v>2023</v>
      </c>
      <c r="K59" s="158">
        <f>'Main Financials'!N7</f>
        <v>2024</v>
      </c>
    </row>
    <row r="60" spans="1:11" outlineLevel="1" x14ac:dyDescent="0.25">
      <c r="B60" s="33" t="str">
        <f>'Main Financials'!B8</f>
        <v>Revenues</v>
      </c>
      <c r="C60" s="33"/>
      <c r="D60" s="366">
        <f>'Main Financials'!G8</f>
        <v>56065.999999999993</v>
      </c>
      <c r="E60" s="366">
        <f>'Main Financials'!H8</f>
        <v>54587.999999999993</v>
      </c>
      <c r="F60" s="366">
        <f>'Main Financials'!I8</f>
        <v>52537</v>
      </c>
      <c r="G60" s="366">
        <f>'Main Financials'!J8</f>
        <v>41022.000000000007</v>
      </c>
      <c r="H60" s="366">
        <f>'Main Financials'!K8</f>
        <v>43600</v>
      </c>
      <c r="I60" s="366">
        <f>'Main Financials'!L8</f>
        <v>46391</v>
      </c>
      <c r="J60" s="366">
        <f>'Main Financials'!M8</f>
        <v>52375.999999999985</v>
      </c>
      <c r="K60" s="366">
        <f>'Main Financials'!N8</f>
        <v>56232.000000000007</v>
      </c>
    </row>
    <row r="61" spans="1:11" outlineLevel="1" x14ac:dyDescent="0.25">
      <c r="B61" s="33" t="str">
        <f>'Main Financials'!B9</f>
        <v>Cost of sales (excl. D&amp;A exp.)</v>
      </c>
      <c r="C61" s="33"/>
      <c r="D61" s="366">
        <f>'Main Financials'!G9</f>
        <v>-43370</v>
      </c>
      <c r="E61" s="366">
        <f>'Main Financials'!H9</f>
        <v>-42072</v>
      </c>
      <c r="F61" s="366">
        <f>'Main Financials'!I9</f>
        <v>-40860</v>
      </c>
      <c r="G61" s="366">
        <f>'Main Financials'!J9</f>
        <v>-31508</v>
      </c>
      <c r="H61" s="366">
        <f>'Main Financials'!K9</f>
        <v>-33481</v>
      </c>
      <c r="I61" s="366">
        <f>'Main Financials'!L9</f>
        <v>-31348</v>
      </c>
      <c r="J61" s="366">
        <f>'Main Financials'!M9</f>
        <v>-38229</v>
      </c>
      <c r="K61" s="366">
        <f>'Main Financials'!N9</f>
        <v>-41332</v>
      </c>
    </row>
    <row r="62" spans="1:11" outlineLevel="1" x14ac:dyDescent="0.25">
      <c r="B62" s="88" t="str">
        <f>'Main Financials'!B10</f>
        <v>Gross profit</v>
      </c>
      <c r="C62" s="365"/>
      <c r="D62" s="367">
        <f>'Main Financials'!G10</f>
        <v>12695.999999999993</v>
      </c>
      <c r="E62" s="367">
        <f>'Main Financials'!H10</f>
        <v>12515.999999999993</v>
      </c>
      <c r="F62" s="367">
        <f>'Main Financials'!I10</f>
        <v>11677</v>
      </c>
      <c r="G62" s="367">
        <f>'Main Financials'!J10</f>
        <v>9514.0000000000073</v>
      </c>
      <c r="H62" s="367">
        <f>'Main Financials'!K10</f>
        <v>10119</v>
      </c>
      <c r="I62" s="367">
        <f>'Main Financials'!L10</f>
        <v>15043</v>
      </c>
      <c r="J62" s="367">
        <f>'Main Financials'!M10</f>
        <v>14146.999999999985</v>
      </c>
      <c r="K62" s="367">
        <f>'Main Financials'!N10</f>
        <v>14900.000000000007</v>
      </c>
    </row>
    <row r="63" spans="1:11" outlineLevel="1" x14ac:dyDescent="0.25">
      <c r="B63" s="33" t="str">
        <f>'Main Financials'!B11</f>
        <v>Total SGA + other operating expenses (excl. D&amp;A)</v>
      </c>
      <c r="C63" s="33"/>
      <c r="D63" s="366">
        <f>'Main Financials'!G11</f>
        <v>-5994.2932055849542</v>
      </c>
      <c r="E63" s="366">
        <f>'Main Financials'!H11</f>
        <v>-6298.7443495251055</v>
      </c>
      <c r="F63" s="366">
        <f>'Main Financials'!I11</f>
        <v>-5686</v>
      </c>
      <c r="G63" s="366">
        <f>'Main Financials'!J11</f>
        <v>-6767</v>
      </c>
      <c r="H63" s="366">
        <f>'Main Financials'!K11</f>
        <v>-4676</v>
      </c>
      <c r="I63" s="366">
        <f>'Main Financials'!L11</f>
        <v>-7031</v>
      </c>
      <c r="J63" s="366">
        <f>'Main Financials'!M11</f>
        <v>-8478</v>
      </c>
      <c r="K63" s="366">
        <f>'Main Financials'!N11</f>
        <v>-9154</v>
      </c>
    </row>
    <row r="64" spans="1:11" outlineLevel="1" x14ac:dyDescent="0.25">
      <c r="B64" s="88" t="str">
        <f>'Main Financials'!B12</f>
        <v>EBITDA</v>
      </c>
      <c r="C64" s="365"/>
      <c r="D64" s="367">
        <f>'Main Financials'!G12</f>
        <v>6701.7067944150385</v>
      </c>
      <c r="E64" s="367">
        <f>'Main Financials'!H12</f>
        <v>6217.2556504748873</v>
      </c>
      <c r="F64" s="367">
        <f>'Main Financials'!I12</f>
        <v>5991</v>
      </c>
      <c r="G64" s="367">
        <f>'Main Financials'!J12</f>
        <v>2747.0000000000073</v>
      </c>
      <c r="H64" s="367">
        <f>'Main Financials'!K12</f>
        <v>5443</v>
      </c>
      <c r="I64" s="367">
        <f>'Main Financials'!L12</f>
        <v>8012</v>
      </c>
      <c r="J64" s="367">
        <f>'Main Financials'!M12</f>
        <v>5668.9999999999854</v>
      </c>
      <c r="K64" s="367">
        <f>'Main Financials'!N12</f>
        <v>5746.0000000000073</v>
      </c>
    </row>
    <row r="65" spans="2:11" outlineLevel="1" x14ac:dyDescent="0.25">
      <c r="B65" s="33" t="str">
        <f>'Main Financials'!B13</f>
        <v>Depreciation expenses</v>
      </c>
      <c r="C65" s="33"/>
      <c r="D65" s="366">
        <f>'Main Financials'!G13</f>
        <v>-2061</v>
      </c>
      <c r="E65" s="366">
        <f>'Main Financials'!H13</f>
        <v>-2294</v>
      </c>
      <c r="F65" s="366">
        <f>'Main Financials'!I13</f>
        <v>-2549</v>
      </c>
      <c r="G65" s="366">
        <f>'Main Financials'!J13</f>
        <v>-2869</v>
      </c>
      <c r="H65" s="366">
        <f>'Main Financials'!K13</f>
        <v>-2792</v>
      </c>
      <c r="I65" s="366">
        <f>'Main Financials'!L13</f>
        <v>-3522</v>
      </c>
      <c r="J65" s="366">
        <f>'Main Financials'!M13</f>
        <v>-1948</v>
      </c>
      <c r="K65" s="366">
        <f>'Main Financials'!N13</f>
        <v>-2120</v>
      </c>
    </row>
    <row r="66" spans="2:11" outlineLevel="1" x14ac:dyDescent="0.25">
      <c r="B66" s="33" t="str">
        <f>'Main Financials'!B14</f>
        <v>Depreciation on right-of-use assets (i.e., operating lease assets)</v>
      </c>
      <c r="C66" s="33"/>
      <c r="D66" s="366">
        <f>'Main Financials'!G14</f>
        <v>-75.706794415045209</v>
      </c>
      <c r="E66" s="366">
        <f>'Main Financials'!H14</f>
        <v>-89.255650474894708</v>
      </c>
      <c r="F66" s="366">
        <f>'Main Financials'!I14</f>
        <v>0</v>
      </c>
      <c r="G66" s="366">
        <f>'Main Financials'!J14</f>
        <v>0</v>
      </c>
      <c r="H66" s="366">
        <f>'Main Financials'!K14</f>
        <v>0</v>
      </c>
      <c r="I66" s="366">
        <f>'Main Financials'!L14</f>
        <v>0</v>
      </c>
      <c r="J66" s="366">
        <f>'Main Financials'!M14</f>
        <v>0</v>
      </c>
      <c r="K66" s="366">
        <f>'Main Financials'!N14</f>
        <v>0</v>
      </c>
    </row>
    <row r="67" spans="2:11" outlineLevel="1" x14ac:dyDescent="0.25">
      <c r="B67" s="88" t="str">
        <f>'Main Financials'!B15</f>
        <v>EBITA</v>
      </c>
      <c r="C67" s="365"/>
      <c r="D67" s="367">
        <f>'Main Financials'!G15</f>
        <v>4564.9999999999936</v>
      </c>
      <c r="E67" s="367">
        <f>'Main Financials'!H15</f>
        <v>3833.9999999999927</v>
      </c>
      <c r="F67" s="367">
        <f>'Main Financials'!I15</f>
        <v>3442</v>
      </c>
      <c r="G67" s="367">
        <f>'Main Financials'!J15</f>
        <v>-121.99999999999272</v>
      </c>
      <c r="H67" s="367">
        <f>'Main Financials'!K15</f>
        <v>2651</v>
      </c>
      <c r="I67" s="367">
        <f>'Main Financials'!L15</f>
        <v>4490</v>
      </c>
      <c r="J67" s="367">
        <f>'Main Financials'!M15</f>
        <v>3720.9999999999854</v>
      </c>
      <c r="K67" s="367">
        <f>'Main Financials'!N15</f>
        <v>3626.0000000000073</v>
      </c>
    </row>
    <row r="68" spans="2:11" outlineLevel="1" x14ac:dyDescent="0.25">
      <c r="B68" s="33" t="str">
        <f>'Main Financials'!B16</f>
        <v>Amortization expenses</v>
      </c>
      <c r="C68" s="33"/>
      <c r="D68" s="366">
        <f>'Main Financials'!G16</f>
        <v>-961</v>
      </c>
      <c r="E68" s="366">
        <f>'Main Financials'!H16</f>
        <v>-950</v>
      </c>
      <c r="F68" s="366">
        <f>'Main Financials'!I16</f>
        <v>-1256</v>
      </c>
      <c r="G68" s="366">
        <f>'Main Financials'!J16</f>
        <v>-1880</v>
      </c>
      <c r="H68" s="366">
        <f>'Main Financials'!K16</f>
        <v>-1253</v>
      </c>
      <c r="I68" s="366">
        <f>'Main Financials'!L16</f>
        <v>-2275</v>
      </c>
      <c r="J68" s="366">
        <f>'Main Financials'!M16</f>
        <v>-1237</v>
      </c>
      <c r="K68" s="366">
        <f>'Main Financials'!N16</f>
        <v>-1048</v>
      </c>
    </row>
    <row r="69" spans="2:11" outlineLevel="1" x14ac:dyDescent="0.25">
      <c r="B69" s="88" t="str">
        <f>'Main Financials'!B17</f>
        <v>EBIT before non-recurring items</v>
      </c>
      <c r="C69" s="365"/>
      <c r="D69" s="367">
        <f>'Main Financials'!G17</f>
        <v>3603.9999999999936</v>
      </c>
      <c r="E69" s="367">
        <f>'Main Financials'!H17</f>
        <v>2883.9999999999927</v>
      </c>
      <c r="F69" s="367">
        <f>'Main Financials'!I17</f>
        <v>2186</v>
      </c>
      <c r="G69" s="367">
        <f>'Main Financials'!J17</f>
        <v>-2001.9999999999927</v>
      </c>
      <c r="H69" s="367">
        <f>'Main Financials'!K17</f>
        <v>1398</v>
      </c>
      <c r="I69" s="367">
        <f>'Main Financials'!L17</f>
        <v>2215</v>
      </c>
      <c r="J69" s="367">
        <f>'Main Financials'!M17</f>
        <v>2483.9999999999854</v>
      </c>
      <c r="K69" s="367">
        <f>'Main Financials'!N17</f>
        <v>2578.0000000000073</v>
      </c>
    </row>
    <row r="70" spans="2:11" outlineLevel="1" x14ac:dyDescent="0.25"/>
    <row r="71" spans="2:11" ht="13" outlineLevel="1" x14ac:dyDescent="0.3">
      <c r="B71" s="49" t="s">
        <v>115</v>
      </c>
      <c r="C71" s="49"/>
      <c r="D71" s="49"/>
      <c r="E71" s="49"/>
      <c r="F71" s="49"/>
      <c r="G71" s="49"/>
      <c r="H71" s="49"/>
      <c r="I71" s="49"/>
      <c r="J71" s="49"/>
      <c r="K71" s="49"/>
    </row>
    <row r="72" spans="2:11" ht="13" outlineLevel="1" x14ac:dyDescent="0.3">
      <c r="B72" s="1" t="s">
        <v>58</v>
      </c>
    </row>
    <row r="73" spans="2:11" ht="13" outlineLevel="1" x14ac:dyDescent="0.3">
      <c r="B73" s="41"/>
      <c r="C73" s="41"/>
      <c r="D73" s="156">
        <f>'Main Financials'!G90</f>
        <v>2017</v>
      </c>
      <c r="E73" s="156">
        <f>'Main Financials'!H90</f>
        <v>2018</v>
      </c>
      <c r="F73" s="156">
        <f>'Main Financials'!I90</f>
        <v>2019</v>
      </c>
      <c r="G73" s="156">
        <f>'Main Financials'!J90</f>
        <v>2020</v>
      </c>
      <c r="H73" s="156">
        <f>'Main Financials'!K90</f>
        <v>2021</v>
      </c>
      <c r="I73" s="156">
        <f>'Main Financials'!L90</f>
        <v>2022</v>
      </c>
      <c r="J73" s="156">
        <f>'Main Financials'!M90</f>
        <v>2023</v>
      </c>
      <c r="K73" s="156">
        <f>'Main Financials'!N90</f>
        <v>2024</v>
      </c>
    </row>
    <row r="74" spans="2:11" ht="13.5" outlineLevel="1" thickBot="1" x14ac:dyDescent="0.35">
      <c r="B74" s="73"/>
      <c r="C74" s="73"/>
      <c r="D74" s="158">
        <f>'Main Financials'!G91</f>
        <v>2017</v>
      </c>
      <c r="E74" s="158">
        <f>'Main Financials'!H91</f>
        <v>2018</v>
      </c>
      <c r="F74" s="158">
        <f>'Main Financials'!I91</f>
        <v>2019</v>
      </c>
      <c r="G74" s="158">
        <f>'Main Financials'!J91</f>
        <v>2020</v>
      </c>
      <c r="H74" s="158">
        <f>'Main Financials'!K91</f>
        <v>2021</v>
      </c>
      <c r="I74" s="158">
        <f>'Main Financials'!L91</f>
        <v>2022</v>
      </c>
      <c r="J74" s="158">
        <f>'Main Financials'!M91</f>
        <v>2023</v>
      </c>
      <c r="K74" s="158">
        <f>'Main Financials'!N91</f>
        <v>2024</v>
      </c>
    </row>
    <row r="75" spans="2:11" ht="13" outlineLevel="1" x14ac:dyDescent="0.3">
      <c r="B75" s="175" t="str">
        <f>'Main Financials'!B92</f>
        <v>Operating fixed assets</v>
      </c>
      <c r="C75" s="153"/>
      <c r="D75" s="368">
        <f>'Main Financials'!G92</f>
        <v>20756.759554259799</v>
      </c>
      <c r="E75" s="368">
        <f>'Main Financials'!H92</f>
        <v>22305.350727814195</v>
      </c>
      <c r="F75" s="368">
        <f>'Main Financials'!I92</f>
        <v>25073</v>
      </c>
      <c r="G75" s="368">
        <f>'Main Financials'!J92</f>
        <v>24438</v>
      </c>
      <c r="H75" s="368">
        <f>'Main Financials'!K92</f>
        <v>23531</v>
      </c>
      <c r="I75" s="368">
        <f>'Main Financials'!L92</f>
        <v>17343</v>
      </c>
      <c r="J75" s="368">
        <f>'Main Financials'!M92</f>
        <v>17661</v>
      </c>
      <c r="K75" s="368">
        <f>'Main Financials'!N92</f>
        <v>20078</v>
      </c>
    </row>
    <row r="76" spans="2:11" outlineLevel="1" x14ac:dyDescent="0.25">
      <c r="B76" s="60" t="str">
        <f>'Main Financials'!B93</f>
        <v>Intangible assets and goodwill</v>
      </c>
      <c r="C76" s="33"/>
      <c r="D76" s="369">
        <f>'Main Financials'!G93</f>
        <v>5739.7595542597992</v>
      </c>
      <c r="E76" s="369">
        <f>'Main Financials'!H93</f>
        <v>6516.3507278141942</v>
      </c>
      <c r="F76" s="369">
        <f>'Main Financials'!I93</f>
        <v>6949</v>
      </c>
      <c r="G76" s="369">
        <f>'Main Financials'!J93</f>
        <v>6347</v>
      </c>
      <c r="H76" s="369">
        <f>'Main Financials'!K93</f>
        <v>6398</v>
      </c>
      <c r="I76" s="369">
        <f>'Main Financials'!L93</f>
        <v>4700</v>
      </c>
      <c r="J76" s="369">
        <f>'Main Financials'!M93</f>
        <v>4626</v>
      </c>
      <c r="K76" s="369">
        <f>'Main Financials'!N93</f>
        <v>5164</v>
      </c>
    </row>
    <row r="77" spans="2:11" outlineLevel="1" x14ac:dyDescent="0.25">
      <c r="B77" s="60" t="str">
        <f>'Main Financials'!B94</f>
        <v>Property, plant and equipment</v>
      </c>
      <c r="C77" s="33"/>
      <c r="D77" s="369">
        <f>'Main Financials'!G94</f>
        <v>13582</v>
      </c>
      <c r="E77" s="369">
        <f>'Main Financials'!H94</f>
        <v>14304</v>
      </c>
      <c r="F77" s="369">
        <f>'Main Financials'!I94</f>
        <v>16900</v>
      </c>
      <c r="G77" s="369">
        <f>'Main Financials'!J94</f>
        <v>17135</v>
      </c>
      <c r="H77" s="369">
        <f>'Main Financials'!K94</f>
        <v>16167</v>
      </c>
      <c r="I77" s="369">
        <f>'Main Financials'!L94</f>
        <v>11705</v>
      </c>
      <c r="J77" s="369">
        <f>'Main Financials'!M94</f>
        <v>12251</v>
      </c>
      <c r="K77" s="369">
        <f>'Main Financials'!N94</f>
        <v>13861</v>
      </c>
    </row>
    <row r="78" spans="2:11" outlineLevel="1" x14ac:dyDescent="0.25">
      <c r="B78" s="60" t="str">
        <f>'Main Financials'!B95</f>
        <v>Other non-current assets</v>
      </c>
      <c r="C78" s="33"/>
      <c r="D78" s="369">
        <f>'Main Financials'!G95</f>
        <v>1435</v>
      </c>
      <c r="E78" s="369">
        <f>'Main Financials'!H95</f>
        <v>1485</v>
      </c>
      <c r="F78" s="369">
        <f>'Main Financials'!I95</f>
        <v>1224</v>
      </c>
      <c r="G78" s="369">
        <f>'Main Financials'!J95</f>
        <v>956</v>
      </c>
      <c r="H78" s="369">
        <f>'Main Financials'!K95</f>
        <v>966</v>
      </c>
      <c r="I78" s="369">
        <f>'Main Financials'!L95</f>
        <v>938</v>
      </c>
      <c r="J78" s="369">
        <f>'Main Financials'!M95</f>
        <v>784</v>
      </c>
      <c r="K78" s="369">
        <f>'Main Financials'!N95</f>
        <v>1053</v>
      </c>
    </row>
    <row r="79" spans="2:11" outlineLevel="1" x14ac:dyDescent="0.25">
      <c r="B79" s="45"/>
      <c r="C79" s="33"/>
      <c r="D79" s="369"/>
      <c r="E79" s="369"/>
      <c r="F79" s="369"/>
      <c r="G79" s="369"/>
      <c r="H79" s="369"/>
      <c r="I79" s="369"/>
      <c r="J79" s="369"/>
      <c r="K79" s="369"/>
    </row>
    <row r="80" spans="2:11" ht="13" outlineLevel="1" x14ac:dyDescent="0.3">
      <c r="B80" s="175" t="str">
        <f>'Main Financials'!B97</f>
        <v>Operating net working capital</v>
      </c>
      <c r="C80" s="153"/>
      <c r="D80" s="368">
        <f ca="1">'Main Financials'!G97</f>
        <v>14450</v>
      </c>
      <c r="E80" s="368">
        <f ca="1">'Main Financials'!H97</f>
        <v>14279</v>
      </c>
      <c r="F80" s="368">
        <f ca="1">'Main Financials'!I97</f>
        <v>14645</v>
      </c>
      <c r="G80" s="368">
        <f ca="1">'Main Financials'!J97</f>
        <v>15582.230318781716</v>
      </c>
      <c r="H80" s="368">
        <f ca="1">'Main Financials'!K97</f>
        <v>15370.4802220399</v>
      </c>
      <c r="I80" s="368">
        <f ca="1">'Main Financials'!L97</f>
        <v>17868.385426336725</v>
      </c>
      <c r="J80" s="368">
        <f ca="1">'Main Financials'!M97</f>
        <v>18922</v>
      </c>
      <c r="K80" s="368">
        <f ca="1">'Main Financials'!N97</f>
        <v>18272.409621983592</v>
      </c>
    </row>
    <row r="81" spans="2:11" outlineLevel="1" x14ac:dyDescent="0.25">
      <c r="B81" s="60" t="str">
        <f>'Main Financials'!B98</f>
        <v>Inventories</v>
      </c>
      <c r="C81" s="33"/>
      <c r="D81" s="369">
        <f>'Main Financials'!G98</f>
        <v>6328</v>
      </c>
      <c r="E81" s="369">
        <f>'Main Financials'!H98</f>
        <v>5879</v>
      </c>
      <c r="F81" s="369">
        <f>'Main Financials'!I98</f>
        <v>5780</v>
      </c>
      <c r="G81" s="369">
        <f>'Main Financials'!J98</f>
        <v>5640</v>
      </c>
      <c r="H81" s="369">
        <f>'Main Financials'!K98</f>
        <v>4792</v>
      </c>
      <c r="I81" s="369">
        <f>'Main Financials'!L98</f>
        <v>5213</v>
      </c>
      <c r="J81" s="369">
        <f>'Main Financials'!M98</f>
        <v>4924</v>
      </c>
      <c r="K81" s="369">
        <f>'Main Financials'!N98</f>
        <v>5468</v>
      </c>
    </row>
    <row r="82" spans="2:11" outlineLevel="1" x14ac:dyDescent="0.25">
      <c r="B82" s="60" t="str">
        <f>'Main Financials'!B99</f>
        <v>Sales financing recievables</v>
      </c>
      <c r="C82" s="33"/>
      <c r="D82" s="369">
        <f>'Main Financials'!G99</f>
        <v>39334</v>
      </c>
      <c r="E82" s="369">
        <f>'Main Financials'!H99</f>
        <v>42067</v>
      </c>
      <c r="F82" s="369">
        <f>'Main Financials'!I99</f>
        <v>45374</v>
      </c>
      <c r="G82" s="369">
        <f>'Main Financials'!J99</f>
        <v>40820</v>
      </c>
      <c r="H82" s="369">
        <f>'Main Financials'!K99</f>
        <v>39498</v>
      </c>
      <c r="I82" s="369">
        <f>'Main Financials'!L99</f>
        <v>44247</v>
      </c>
      <c r="J82" s="369">
        <f>'Main Financials'!M99</f>
        <v>49615</v>
      </c>
      <c r="K82" s="369">
        <f>'Main Financials'!N99</f>
        <v>54355</v>
      </c>
    </row>
    <row r="83" spans="2:11" outlineLevel="1" x14ac:dyDescent="0.25">
      <c r="B83" s="60" t="str">
        <f>'Main Financials'!B100</f>
        <v>Automotive recivable &amp; other current assets (excl. tax and current tax due)</v>
      </c>
      <c r="C83" s="33"/>
      <c r="D83" s="369">
        <f>'Main Financials'!G100</f>
        <v>5767</v>
      </c>
      <c r="E83" s="369">
        <f>'Main Financials'!H100</f>
        <v>5178</v>
      </c>
      <c r="F83" s="369">
        <f>'Main Financials'!I100</f>
        <v>5340</v>
      </c>
      <c r="G83" s="369">
        <f>'Main Financials'!J100</f>
        <v>4784</v>
      </c>
      <c r="H83" s="369">
        <f>'Main Financials'!K100</f>
        <v>4476</v>
      </c>
      <c r="I83" s="369">
        <f>'Main Financials'!L100</f>
        <v>5095</v>
      </c>
      <c r="J83" s="369">
        <f>'Main Financials'!M100</f>
        <v>5647</v>
      </c>
      <c r="K83" s="369">
        <f>'Main Financials'!N100</f>
        <v>6137</v>
      </c>
    </row>
    <row r="84" spans="2:11" outlineLevel="1" x14ac:dyDescent="0.25">
      <c r="B84" s="60" t="str">
        <f>'Main Financials'!B101</f>
        <v>Derivatives of financing operations by the Automotive segment</v>
      </c>
      <c r="C84" s="33"/>
      <c r="D84" s="369">
        <f>'Main Financials'!G101</f>
        <v>263</v>
      </c>
      <c r="E84" s="369">
        <f>'Main Financials'!H101</f>
        <v>378</v>
      </c>
      <c r="F84" s="369">
        <f>'Main Financials'!I101</f>
        <v>216</v>
      </c>
      <c r="G84" s="369">
        <f>'Main Financials'!J101</f>
        <v>298</v>
      </c>
      <c r="H84" s="369">
        <f>'Main Financials'!K101</f>
        <v>181</v>
      </c>
      <c r="I84" s="369">
        <f>'Main Financials'!L101</f>
        <v>410</v>
      </c>
      <c r="J84" s="369">
        <f>'Main Financials'!M101</f>
        <v>119</v>
      </c>
      <c r="K84" s="369">
        <f>'Main Financials'!N101</f>
        <v>356</v>
      </c>
    </row>
    <row r="85" spans="2:11" outlineLevel="1" x14ac:dyDescent="0.25">
      <c r="B85" s="60" t="str">
        <f>'Main Financials'!B102</f>
        <v>Operating Cash</v>
      </c>
      <c r="C85" s="33"/>
      <c r="D85" s="369">
        <f ca="1">'Main Financials'!G102</f>
        <v>14057</v>
      </c>
      <c r="E85" s="369">
        <f ca="1">'Main Financials'!H102</f>
        <v>14777</v>
      </c>
      <c r="F85" s="369">
        <f ca="1">'Main Financials'!I102</f>
        <v>14982</v>
      </c>
      <c r="G85" s="369">
        <f ca="1">'Main Financials'!J102</f>
        <v>19864.230318781712</v>
      </c>
      <c r="H85" s="369">
        <f ca="1">'Main Financials'!K102</f>
        <v>19521.4802220399</v>
      </c>
      <c r="I85" s="369">
        <f ca="1">'Main Financials'!L102</f>
        <v>20307.385426336725</v>
      </c>
      <c r="J85" s="369">
        <f ca="1">'Main Financials'!M102</f>
        <v>20677</v>
      </c>
      <c r="K85" s="369">
        <f ca="1">'Main Financials'!N102</f>
        <v>22203.409621983592</v>
      </c>
    </row>
    <row r="86" spans="2:11" outlineLevel="1" x14ac:dyDescent="0.25">
      <c r="B86" s="60" t="str">
        <f>'Main Financials'!B103</f>
        <v>Sales financing debts</v>
      </c>
      <c r="C86" s="33"/>
      <c r="D86" s="369">
        <f>'Main Financials'!G103</f>
        <v>-41395</v>
      </c>
      <c r="E86" s="369">
        <f>'Main Financials'!H103</f>
        <v>-44495</v>
      </c>
      <c r="F86" s="369">
        <f>'Main Financials'!I103</f>
        <v>-47465</v>
      </c>
      <c r="G86" s="369">
        <f>'Main Financials'!J103</f>
        <v>-47547</v>
      </c>
      <c r="H86" s="369">
        <f>'Main Financials'!K103</f>
        <v>-45123</v>
      </c>
      <c r="I86" s="369">
        <f>'Main Financials'!L103</f>
        <v>-48999</v>
      </c>
      <c r="J86" s="369">
        <f>'Main Financials'!M103</f>
        <v>-54095</v>
      </c>
      <c r="K86" s="369">
        <f>'Main Financials'!N103</f>
        <v>-60438</v>
      </c>
    </row>
    <row r="87" spans="2:11" outlineLevel="1" x14ac:dyDescent="0.25">
      <c r="B87" s="60" t="str">
        <f>'Main Financials'!B104</f>
        <v>Trade payables (current)</v>
      </c>
      <c r="C87" s="33"/>
      <c r="D87" s="369">
        <f>'Main Financials'!G104</f>
        <v>-9904</v>
      </c>
      <c r="E87" s="369">
        <f>'Main Financials'!H104</f>
        <v>-9505</v>
      </c>
      <c r="F87" s="369">
        <f>'Main Financials'!I104</f>
        <v>-9582</v>
      </c>
      <c r="G87" s="369">
        <f>'Main Financials'!J104</f>
        <v>-8277</v>
      </c>
      <c r="H87" s="369">
        <f>'Main Financials'!K104</f>
        <v>-7975</v>
      </c>
      <c r="I87" s="369">
        <f>'Main Financials'!L104</f>
        <v>-8405</v>
      </c>
      <c r="J87" s="369">
        <f>'Main Financials'!M104</f>
        <v>-7965</v>
      </c>
      <c r="K87" s="369">
        <f>'Main Financials'!N104</f>
        <v>-9809</v>
      </c>
    </row>
    <row r="88" spans="2:11" outlineLevel="1" x14ac:dyDescent="0.25">
      <c r="B88" s="60"/>
      <c r="C88" s="33"/>
      <c r="D88" s="369"/>
      <c r="E88" s="369"/>
      <c r="F88" s="369"/>
      <c r="G88" s="369"/>
      <c r="H88" s="369"/>
      <c r="I88" s="369"/>
      <c r="J88" s="369"/>
      <c r="K88" s="369"/>
    </row>
    <row r="89" spans="2:11" ht="13" outlineLevel="1" x14ac:dyDescent="0.3">
      <c r="B89" s="175" t="str">
        <f>'Main Financials'!B106</f>
        <v>Operating Liabilities</v>
      </c>
      <c r="C89" s="153"/>
      <c r="D89" s="368">
        <f>'Main Financials'!G106</f>
        <v>-15247</v>
      </c>
      <c r="E89" s="368">
        <f>'Main Financials'!H106</f>
        <v>-15894</v>
      </c>
      <c r="F89" s="368">
        <f>'Main Financials'!I106</f>
        <v>-17170</v>
      </c>
      <c r="G89" s="368">
        <f>'Main Financials'!J106</f>
        <v>-16061</v>
      </c>
      <c r="H89" s="368">
        <f>'Main Financials'!K106</f>
        <v>-14775</v>
      </c>
      <c r="I89" s="368">
        <f>'Main Financials'!L106</f>
        <v>-14592</v>
      </c>
      <c r="J89" s="368">
        <f>'Main Financials'!M106</f>
        <v>-15025</v>
      </c>
      <c r="K89" s="368">
        <f>'Main Financials'!N106</f>
        <v>-15980</v>
      </c>
    </row>
    <row r="90" spans="2:11" outlineLevel="1" x14ac:dyDescent="0.25">
      <c r="B90" s="60" t="str">
        <f>'Main Financials'!B107</f>
        <v>Net deferred tax liabilities associated with operating ítems</v>
      </c>
      <c r="C90" s="33"/>
      <c r="D90" s="369">
        <f>'Main Financials'!G107</f>
        <v>-1053</v>
      </c>
      <c r="E90" s="369">
        <f>'Main Financials'!H107</f>
        <v>-1437</v>
      </c>
      <c r="F90" s="369">
        <f>'Main Financials'!I107</f>
        <v>-1695</v>
      </c>
      <c r="G90" s="369">
        <f>'Main Financials'!J107</f>
        <v>-1402</v>
      </c>
      <c r="H90" s="369">
        <f>'Main Financials'!K107</f>
        <v>-1495</v>
      </c>
      <c r="I90" s="369">
        <f>'Main Financials'!L107</f>
        <v>-1527</v>
      </c>
      <c r="J90" s="369">
        <f>'Main Financials'!M107</f>
        <v>-1410</v>
      </c>
      <c r="K90" s="369">
        <f>'Main Financials'!N107</f>
        <v>-1269</v>
      </c>
    </row>
    <row r="91" spans="2:11" outlineLevel="1" x14ac:dyDescent="0.25">
      <c r="B91" s="60" t="str">
        <f>'Main Financials'!B108</f>
        <v>Tax Liabilitity</v>
      </c>
      <c r="C91" s="33"/>
      <c r="D91" s="369">
        <f>'Main Financials'!G108</f>
        <v>-246</v>
      </c>
      <c r="E91" s="369">
        <f>'Main Financials'!H108</f>
        <v>-289</v>
      </c>
      <c r="F91" s="369">
        <f>'Main Financials'!I108</f>
        <v>-223</v>
      </c>
      <c r="G91" s="369">
        <f>'Main Financials'!J108</f>
        <v>-221</v>
      </c>
      <c r="H91" s="369">
        <f>'Main Financials'!K108</f>
        <v>-266</v>
      </c>
      <c r="I91" s="369">
        <f>'Main Financials'!L108</f>
        <v>-312</v>
      </c>
      <c r="J91" s="369">
        <f>'Main Financials'!M108</f>
        <v>-359</v>
      </c>
      <c r="K91" s="369">
        <f>'Main Financials'!N108</f>
        <v>-370</v>
      </c>
    </row>
    <row r="92" spans="2:11" outlineLevel="1" x14ac:dyDescent="0.25">
      <c r="B92" s="60" t="str">
        <f>'Main Financials'!B109</f>
        <v>Operating provisions (non-current + current)</v>
      </c>
      <c r="C92" s="33"/>
      <c r="D92" s="369">
        <f>'Main Financials'!G109</f>
        <v>-2429</v>
      </c>
      <c r="E92" s="369">
        <f>'Main Financials'!H109</f>
        <v>-2668</v>
      </c>
      <c r="F92" s="369">
        <f>'Main Financials'!I109</f>
        <v>-2717</v>
      </c>
      <c r="G92" s="369">
        <f>'Main Financials'!J109</f>
        <v>-3111</v>
      </c>
      <c r="H92" s="369">
        <f>'Main Financials'!K109</f>
        <v>-3064</v>
      </c>
      <c r="I92" s="369">
        <f>'Main Financials'!L109</f>
        <v>-2683</v>
      </c>
      <c r="J92" s="369">
        <f>'Main Financials'!M109</f>
        <v>-2610</v>
      </c>
      <c r="K92" s="369">
        <f>'Main Financials'!N109</f>
        <v>-2630</v>
      </c>
    </row>
    <row r="93" spans="2:11" outlineLevel="1" x14ac:dyDescent="0.25">
      <c r="B93" s="60" t="str">
        <f>'Main Financials'!B110</f>
        <v>Other liabilities (non-current + current)</v>
      </c>
      <c r="C93" s="33"/>
      <c r="D93" s="369">
        <f>'Main Financials'!G110</f>
        <v>-11519</v>
      </c>
      <c r="E93" s="369">
        <f>'Main Financials'!H110</f>
        <v>-11500</v>
      </c>
      <c r="F93" s="369">
        <f>'Main Financials'!I110</f>
        <v>-12535</v>
      </c>
      <c r="G93" s="369">
        <f>'Main Financials'!J110</f>
        <v>-11327</v>
      </c>
      <c r="H93" s="369">
        <f>'Main Financials'!K110</f>
        <v>-9950</v>
      </c>
      <c r="I93" s="369">
        <f>'Main Financials'!L110</f>
        <v>-10070</v>
      </c>
      <c r="J93" s="369">
        <f>'Main Financials'!M110</f>
        <v>-10646</v>
      </c>
      <c r="K93" s="369">
        <f>'Main Financials'!N110</f>
        <v>-11711</v>
      </c>
    </row>
    <row r="94" spans="2:11" outlineLevel="1" x14ac:dyDescent="0.25">
      <c r="B94" s="60"/>
      <c r="C94" s="33"/>
      <c r="D94" s="369"/>
      <c r="E94" s="369"/>
      <c r="F94" s="369"/>
      <c r="G94" s="369"/>
      <c r="H94" s="369"/>
      <c r="I94" s="369"/>
      <c r="J94" s="369"/>
      <c r="K94" s="369"/>
    </row>
    <row r="95" spans="2:11" ht="13" outlineLevel="1" x14ac:dyDescent="0.3">
      <c r="B95" s="180" t="str">
        <f>'Main Financials'!B112</f>
        <v>Operating Capital</v>
      </c>
      <c r="C95" s="153"/>
      <c r="D95" s="368">
        <f ca="1">'Main Financials'!G112</f>
        <v>19959.759554259799</v>
      </c>
      <c r="E95" s="368">
        <f ca="1">'Main Financials'!H112</f>
        <v>20690.350727814195</v>
      </c>
      <c r="F95" s="368">
        <f ca="1">'Main Financials'!I112</f>
        <v>22548</v>
      </c>
      <c r="G95" s="368">
        <f ca="1">'Main Financials'!J112</f>
        <v>23959.230318781716</v>
      </c>
      <c r="H95" s="368">
        <f ca="1">'Main Financials'!K112</f>
        <v>24126.4802220399</v>
      </c>
      <c r="I95" s="368">
        <f ca="1">'Main Financials'!L112</f>
        <v>20619.385426336725</v>
      </c>
      <c r="J95" s="368">
        <f ca="1">'Main Financials'!M112</f>
        <v>21558</v>
      </c>
      <c r="K95" s="368">
        <f ca="1">'Main Financials'!N112</f>
        <v>22370.409621983592</v>
      </c>
    </row>
    <row r="96" spans="2:11" outlineLevel="1" x14ac:dyDescent="0.25">
      <c r="B96" s="60"/>
      <c r="C96" s="33"/>
      <c r="D96" s="370"/>
      <c r="E96" s="370"/>
      <c r="F96" s="370"/>
      <c r="G96" s="370"/>
      <c r="H96" s="370"/>
      <c r="I96" s="370"/>
      <c r="J96" s="370"/>
      <c r="K96" s="370"/>
    </row>
    <row r="97" spans="2:11" ht="13" outlineLevel="1" x14ac:dyDescent="0.3">
      <c r="B97" s="175" t="str">
        <f>'Main Financials'!B114</f>
        <v>Non-operating assets</v>
      </c>
      <c r="C97" s="153"/>
      <c r="D97" s="368">
        <f ca="1">'Main Financials'!G114</f>
        <v>24373</v>
      </c>
      <c r="E97" s="368">
        <f ca="1">'Main Financials'!H114</f>
        <v>25847</v>
      </c>
      <c r="F97" s="368">
        <f ca="1">'Main Financials'!I114</f>
        <v>25565</v>
      </c>
      <c r="G97" s="368">
        <f ca="1">'Main Financials'!J114</f>
        <v>19977.769681218288</v>
      </c>
      <c r="H97" s="368">
        <f ca="1">'Main Financials'!K114</f>
        <v>21945.5197779601</v>
      </c>
      <c r="I97" s="368">
        <f ca="1">'Main Financials'!L114</f>
        <v>26027.614573663275</v>
      </c>
      <c r="J97" s="368">
        <f ca="1">'Main Financials'!M114</f>
        <v>23334</v>
      </c>
      <c r="K97" s="368">
        <f ca="1">'Main Financials'!N114</f>
        <v>20829.590378016408</v>
      </c>
    </row>
    <row r="98" spans="2:11" outlineLevel="1" x14ac:dyDescent="0.25">
      <c r="B98" s="60" t="str">
        <f>'Main Financials'!B115</f>
        <v>Investments in associates and joint ventures</v>
      </c>
      <c r="C98" s="33"/>
      <c r="D98" s="369">
        <f>'Main Financials'!G115</f>
        <v>19811</v>
      </c>
      <c r="E98" s="369">
        <f>'Main Financials'!H115</f>
        <v>21439</v>
      </c>
      <c r="F98" s="369">
        <f>'Main Financials'!I115</f>
        <v>21232</v>
      </c>
      <c r="G98" s="369">
        <f>'Main Financials'!J115</f>
        <v>15120</v>
      </c>
      <c r="H98" s="369">
        <f>'Main Financials'!K115</f>
        <v>16955</v>
      </c>
      <c r="I98" s="369">
        <f>'Main Financials'!L115</f>
        <v>18210</v>
      </c>
      <c r="J98" s="369">
        <f>'Main Financials'!M115</f>
        <v>16554</v>
      </c>
      <c r="K98" s="369">
        <f>'Main Financials'!N115</f>
        <v>17063</v>
      </c>
    </row>
    <row r="99" spans="2:11" outlineLevel="1" x14ac:dyDescent="0.25">
      <c r="B99" s="60" t="str">
        <f>'Main Financials'!B116</f>
        <v>Non current finacial assets + marketable securities + loans and others</v>
      </c>
      <c r="C99" s="33"/>
      <c r="D99" s="369">
        <f>'Main Financials'!G116</f>
        <v>3064</v>
      </c>
      <c r="E99" s="369">
        <f>'Main Financials'!H116</f>
        <v>2513</v>
      </c>
      <c r="F99" s="369">
        <f>'Main Financials'!I116</f>
        <v>3072</v>
      </c>
      <c r="G99" s="369">
        <f>'Main Financials'!J116</f>
        <v>2136</v>
      </c>
      <c r="H99" s="369">
        <f>'Main Financials'!K116</f>
        <v>1572</v>
      </c>
      <c r="I99" s="369">
        <f>'Main Financials'!L116</f>
        <v>1419</v>
      </c>
      <c r="J99" s="369">
        <f>'Main Financials'!M116</f>
        <v>1800</v>
      </c>
      <c r="K99" s="369">
        <f>'Main Financials'!N116</f>
        <v>2458</v>
      </c>
    </row>
    <row r="100" spans="2:11" outlineLevel="1" x14ac:dyDescent="0.25">
      <c r="B100" s="60" t="str">
        <f>'Main Financials'!B117</f>
        <v>Deferred tax assets associated with tax loss carry forwards</v>
      </c>
      <c r="C100" s="33"/>
      <c r="D100" s="369">
        <f>'Main Financials'!G117</f>
        <v>1407</v>
      </c>
      <c r="E100" s="369">
        <f>'Main Financials'!H117</f>
        <v>1784</v>
      </c>
      <c r="F100" s="369">
        <f>'Main Financials'!I117</f>
        <v>1175</v>
      </c>
      <c r="G100" s="369">
        <f>'Main Financials'!J117</f>
        <v>736</v>
      </c>
      <c r="H100" s="369">
        <f>'Main Financials'!K117</f>
        <v>755</v>
      </c>
      <c r="I100" s="369">
        <f>'Main Financials'!L117</f>
        <v>917</v>
      </c>
      <c r="J100" s="369">
        <f>'Main Financials'!M117</f>
        <v>734</v>
      </c>
      <c r="K100" s="369">
        <f>'Main Financials'!N117</f>
        <v>692</v>
      </c>
    </row>
    <row r="101" spans="2:11" outlineLevel="1" x14ac:dyDescent="0.25">
      <c r="B101" s="60" t="str">
        <f>'Main Financials'!B118</f>
        <v>Tax recievable (current taxes + excl. current due)</v>
      </c>
      <c r="C101" s="33"/>
      <c r="D101" s="369">
        <f>'Main Financials'!G118</f>
        <v>91</v>
      </c>
      <c r="E101" s="369">
        <f>'Main Financials'!H118</f>
        <v>111</v>
      </c>
      <c r="F101" s="369">
        <f>'Main Financials'!I118</f>
        <v>86</v>
      </c>
      <c r="G101" s="369">
        <f>'Main Financials'!J118</f>
        <v>153</v>
      </c>
      <c r="H101" s="369">
        <f>'Main Financials'!K118</f>
        <v>128</v>
      </c>
      <c r="I101" s="369">
        <f>'Main Financials'!L118</f>
        <v>154</v>
      </c>
      <c r="J101" s="369">
        <f>'Main Financials'!M118</f>
        <v>224</v>
      </c>
      <c r="K101" s="369">
        <f>'Main Financials'!N118</f>
        <v>278</v>
      </c>
    </row>
    <row r="102" spans="2:11" outlineLevel="1" x14ac:dyDescent="0.25">
      <c r="B102" s="60" t="str">
        <f>'Main Financials'!B119</f>
        <v>Excess Cash</v>
      </c>
      <c r="C102" s="33"/>
      <c r="D102" s="369">
        <f ca="1">'Main Financials'!G119</f>
        <v>0</v>
      </c>
      <c r="E102" s="369">
        <f ca="1">'Main Financials'!H119</f>
        <v>0</v>
      </c>
      <c r="F102" s="369">
        <f ca="1">'Main Financials'!I119</f>
        <v>0</v>
      </c>
      <c r="G102" s="369">
        <f ca="1">'Main Financials'!J119</f>
        <v>1832.7696812182876</v>
      </c>
      <c r="H102" s="369">
        <f ca="1">'Main Financials'!K119</f>
        <v>2406.5197779601003</v>
      </c>
      <c r="I102" s="369">
        <f ca="1">'Main Financials'!L119</f>
        <v>1466.6145736632752</v>
      </c>
      <c r="J102" s="369">
        <f ca="1">'Main Financials'!M119</f>
        <v>0</v>
      </c>
      <c r="K102" s="369">
        <f ca="1">'Main Financials'!N119</f>
        <v>338.59037801640807</v>
      </c>
    </row>
    <row r="103" spans="2:11" outlineLevel="1" x14ac:dyDescent="0.25">
      <c r="B103" s="60" t="str">
        <f>'Main Financials'!B120</f>
        <v>Assets held for sale</v>
      </c>
      <c r="C103" s="33"/>
      <c r="D103" s="369">
        <f>'Main Financials'!G120</f>
        <v>0</v>
      </c>
      <c r="E103" s="369">
        <f>'Main Financials'!H120</f>
        <v>0</v>
      </c>
      <c r="F103" s="369">
        <f>'Main Financials'!I120</f>
        <v>0</v>
      </c>
      <c r="G103" s="369">
        <f>'Main Financials'!J120</f>
        <v>0</v>
      </c>
      <c r="H103" s="369">
        <f>'Main Financials'!K120</f>
        <v>129</v>
      </c>
      <c r="I103" s="369">
        <f>'Main Financials'!L120</f>
        <v>3861</v>
      </c>
      <c r="J103" s="369">
        <f>'Main Financials'!M120</f>
        <v>4022</v>
      </c>
      <c r="K103" s="369">
        <f>'Main Financials'!N120</f>
        <v>0</v>
      </c>
    </row>
    <row r="104" spans="2:11" outlineLevel="1" x14ac:dyDescent="0.25">
      <c r="B104" s="60"/>
      <c r="C104" s="33"/>
      <c r="D104" s="369">
        <f>'Main Financials'!G121</f>
        <v>0</v>
      </c>
      <c r="E104" s="369">
        <f>'Main Financials'!H121</f>
        <v>0</v>
      </c>
      <c r="F104" s="369">
        <f>'Main Financials'!I121</f>
        <v>0</v>
      </c>
      <c r="G104" s="369">
        <f>'Main Financials'!J121</f>
        <v>0</v>
      </c>
      <c r="H104" s="369">
        <f>'Main Financials'!K121</f>
        <v>0</v>
      </c>
      <c r="I104" s="369">
        <f>'Main Financials'!L121</f>
        <v>0</v>
      </c>
      <c r="J104" s="369">
        <f>'Main Financials'!M121</f>
        <v>0</v>
      </c>
      <c r="K104" s="369">
        <f>'Main Financials'!N121</f>
        <v>0</v>
      </c>
    </row>
    <row r="105" spans="2:11" ht="13" outlineLevel="1" x14ac:dyDescent="0.3">
      <c r="B105" s="175" t="str">
        <f>'Main Financials'!B122</f>
        <v>Non-operating liabilities</v>
      </c>
      <c r="C105" s="153"/>
      <c r="D105" s="368">
        <f>'Main Financials'!G122</f>
        <v>-1198</v>
      </c>
      <c r="E105" s="368">
        <f>'Main Financials'!H122</f>
        <v>-1117</v>
      </c>
      <c r="F105" s="368">
        <f>'Main Financials'!I122</f>
        <v>-1208</v>
      </c>
      <c r="G105" s="368">
        <f>'Main Financials'!J122</f>
        <v>-1252</v>
      </c>
      <c r="H105" s="368">
        <f>'Main Financials'!K122</f>
        <v>-1341</v>
      </c>
      <c r="I105" s="368">
        <f>'Main Financials'!L122</f>
        <v>-1765</v>
      </c>
      <c r="J105" s="368">
        <f>'Main Financials'!M122</f>
        <v>-1854</v>
      </c>
      <c r="K105" s="368">
        <f>'Main Financials'!N122</f>
        <v>-846</v>
      </c>
    </row>
    <row r="106" spans="2:11" outlineLevel="1" x14ac:dyDescent="0.25">
      <c r="B106" s="60" t="str">
        <f>'Main Financials'!B123</f>
        <v>Pension provisions (non-current + current)</v>
      </c>
      <c r="C106" s="33"/>
      <c r="D106" s="369">
        <f>'Main Financials'!G123</f>
        <v>-1635</v>
      </c>
      <c r="E106" s="369">
        <f>'Main Financials'!H123</f>
        <v>-1587</v>
      </c>
      <c r="F106" s="369">
        <f>'Main Financials'!I123</f>
        <v>-1700</v>
      </c>
      <c r="G106" s="369">
        <f>'Main Financials'!J123</f>
        <v>-1647</v>
      </c>
      <c r="H106" s="369">
        <f>'Main Financials'!K123</f>
        <v>-1440</v>
      </c>
      <c r="I106" s="369">
        <f>'Main Financials'!L123</f>
        <v>-1074</v>
      </c>
      <c r="J106" s="369">
        <f>'Main Financials'!M123</f>
        <v>-1208</v>
      </c>
      <c r="K106" s="369">
        <f>'Main Financials'!N123</f>
        <v>-1130</v>
      </c>
    </row>
    <row r="107" spans="2:11" outlineLevel="1" x14ac:dyDescent="0.25">
      <c r="B107" s="60" t="str">
        <f>'Main Financials'!B124</f>
        <v>Liabilities related to assets held for sales</v>
      </c>
      <c r="C107" s="33"/>
      <c r="D107" s="369">
        <f>'Main Financials'!G124</f>
        <v>0</v>
      </c>
      <c r="E107" s="369">
        <f>'Main Financials'!H124</f>
        <v>0</v>
      </c>
      <c r="F107" s="369">
        <f>'Main Financials'!I124</f>
        <v>0</v>
      </c>
      <c r="G107" s="369">
        <f>'Main Financials'!J124</f>
        <v>0</v>
      </c>
      <c r="H107" s="369">
        <f>'Main Financials'!K124</f>
        <v>-182</v>
      </c>
      <c r="I107" s="369">
        <f>'Main Financials'!L124</f>
        <v>-873</v>
      </c>
      <c r="J107" s="369">
        <f>'Main Financials'!M124</f>
        <v>-1075</v>
      </c>
      <c r="K107" s="369">
        <f>'Main Financials'!N124</f>
        <v>0</v>
      </c>
    </row>
    <row r="108" spans="2:11" outlineLevel="1" x14ac:dyDescent="0.25">
      <c r="B108" s="60" t="str">
        <f>'Main Financials'!B125</f>
        <v>Net deferred tax liabilities with non-operating items</v>
      </c>
      <c r="C108" s="33"/>
      <c r="D108" s="369">
        <f>'Main Financials'!G125</f>
        <v>437</v>
      </c>
      <c r="E108" s="369">
        <f>'Main Financials'!H125</f>
        <v>470</v>
      </c>
      <c r="F108" s="369">
        <f>'Main Financials'!I125</f>
        <v>492</v>
      </c>
      <c r="G108" s="369">
        <f>'Main Financials'!J125</f>
        <v>395</v>
      </c>
      <c r="H108" s="369">
        <f>'Main Financials'!K125</f>
        <v>281</v>
      </c>
      <c r="I108" s="369">
        <f>'Main Financials'!L125</f>
        <v>182</v>
      </c>
      <c r="J108" s="369">
        <f>'Main Financials'!M125</f>
        <v>429</v>
      </c>
      <c r="K108" s="369">
        <f>'Main Financials'!N125</f>
        <v>284</v>
      </c>
    </row>
    <row r="109" spans="2:11" outlineLevel="1" x14ac:dyDescent="0.25">
      <c r="B109" s="60"/>
      <c r="C109" s="33"/>
      <c r="D109" s="369">
        <f>'Main Financials'!G126</f>
        <v>0</v>
      </c>
      <c r="E109" s="369">
        <f>'Main Financials'!H126</f>
        <v>0</v>
      </c>
      <c r="F109" s="369">
        <f>'Main Financials'!I126</f>
        <v>0</v>
      </c>
      <c r="G109" s="369">
        <f>'Main Financials'!J126</f>
        <v>0</v>
      </c>
      <c r="H109" s="369">
        <f>'Main Financials'!K126</f>
        <v>0</v>
      </c>
      <c r="I109" s="369">
        <f>'Main Financials'!L126</f>
        <v>0</v>
      </c>
      <c r="J109" s="369">
        <f>'Main Financials'!M126</f>
        <v>0</v>
      </c>
      <c r="K109" s="369">
        <f>'Main Financials'!N126</f>
        <v>0</v>
      </c>
    </row>
    <row r="110" spans="2:11" ht="13" outlineLevel="1" x14ac:dyDescent="0.3">
      <c r="B110" s="179" t="str">
        <f>'Main Financials'!B127</f>
        <v>Total capital</v>
      </c>
      <c r="C110" s="176"/>
      <c r="D110" s="371">
        <f ca="1">'Main Financials'!G127</f>
        <v>43134.759554259799</v>
      </c>
      <c r="E110" s="371">
        <f ca="1">'Main Financials'!H127</f>
        <v>45420.350727814191</v>
      </c>
      <c r="F110" s="371">
        <f ca="1">'Main Financials'!I127</f>
        <v>46905</v>
      </c>
      <c r="G110" s="371">
        <f ca="1">'Main Financials'!J127</f>
        <v>42685</v>
      </c>
      <c r="H110" s="371">
        <f ca="1">'Main Financials'!K127</f>
        <v>44731</v>
      </c>
      <c r="I110" s="371">
        <f ca="1">'Main Financials'!L127</f>
        <v>44882</v>
      </c>
      <c r="J110" s="371">
        <f ca="1">'Main Financials'!M127</f>
        <v>43038</v>
      </c>
      <c r="K110" s="371">
        <f ca="1">'Main Financials'!N127</f>
        <v>42354</v>
      </c>
    </row>
    <row r="111" spans="2:11" outlineLevel="1" x14ac:dyDescent="0.25">
      <c r="B111" s="45"/>
      <c r="C111" s="33"/>
      <c r="D111" s="372">
        <f>'Main Financials'!G128</f>
        <v>0</v>
      </c>
      <c r="E111" s="372">
        <f>'Main Financials'!H128</f>
        <v>0</v>
      </c>
      <c r="F111" s="372">
        <f>'Main Financials'!I128</f>
        <v>0</v>
      </c>
      <c r="G111" s="372">
        <f>'Main Financials'!J128</f>
        <v>0</v>
      </c>
      <c r="H111" s="372">
        <f>'Main Financials'!K128</f>
        <v>0</v>
      </c>
      <c r="I111" s="372">
        <f>'Main Financials'!L128</f>
        <v>0</v>
      </c>
      <c r="J111" s="372">
        <f>'Main Financials'!M128</f>
        <v>0</v>
      </c>
      <c r="K111" s="372">
        <f>'Main Financials'!N128</f>
        <v>0</v>
      </c>
    </row>
    <row r="112" spans="2:11" ht="13" outlineLevel="1" x14ac:dyDescent="0.3">
      <c r="B112" s="175" t="str">
        <f>'Main Financials'!B129</f>
        <v>Equity &amp; other financial liabilities</v>
      </c>
      <c r="C112" s="153"/>
      <c r="D112" s="373"/>
      <c r="E112" s="373"/>
      <c r="F112" s="373"/>
      <c r="G112" s="373"/>
      <c r="H112" s="373"/>
      <c r="I112" s="373"/>
      <c r="J112" s="373"/>
      <c r="K112" s="373"/>
    </row>
    <row r="113" spans="2:11" ht="13" outlineLevel="1" x14ac:dyDescent="0.3">
      <c r="B113" s="169" t="str">
        <f>'Main Financials'!B130</f>
        <v>Equity</v>
      </c>
      <c r="C113" s="41"/>
      <c r="D113" s="374">
        <f>'Main Financials'!G130</f>
        <v>33442</v>
      </c>
      <c r="E113" s="374">
        <f>'Main Financials'!H130</f>
        <v>36145</v>
      </c>
      <c r="F113" s="374">
        <f>'Main Financials'!I130</f>
        <v>35331</v>
      </c>
      <c r="G113" s="374">
        <f>'Main Financials'!J130</f>
        <v>25338</v>
      </c>
      <c r="H113" s="374">
        <f>'Main Financials'!K130</f>
        <v>27894</v>
      </c>
      <c r="I113" s="374">
        <f>'Main Financials'!L130</f>
        <v>29539</v>
      </c>
      <c r="J113" s="374">
        <f>'Main Financials'!M130</f>
        <v>30634</v>
      </c>
      <c r="K113" s="374">
        <f>'Main Financials'!N130</f>
        <v>31102</v>
      </c>
    </row>
    <row r="114" spans="2:11" ht="13" outlineLevel="1" x14ac:dyDescent="0.3">
      <c r="B114" s="170" t="str">
        <f>'Main Financials'!B131</f>
        <v>Shareholders' equity - parent-company shareholders' share</v>
      </c>
      <c r="C114" s="41"/>
      <c r="D114" s="374">
        <f>'Main Financials'!G131</f>
        <v>33148</v>
      </c>
      <c r="E114" s="374">
        <f>'Main Financials'!H131</f>
        <v>35546</v>
      </c>
      <c r="F114" s="374">
        <f>'Main Financials'!I131</f>
        <v>34564</v>
      </c>
      <c r="G114" s="374">
        <f>'Main Financials'!J131</f>
        <v>24772</v>
      </c>
      <c r="H114" s="374">
        <f>'Main Financials'!K131</f>
        <v>27320</v>
      </c>
      <c r="I114" s="374">
        <f>'Main Financials'!L131</f>
        <v>28798</v>
      </c>
      <c r="J114" s="374">
        <f>'Main Financials'!M131</f>
        <v>29752</v>
      </c>
      <c r="K114" s="374">
        <f>'Main Financials'!N131</f>
        <v>30309</v>
      </c>
    </row>
    <row r="115" spans="2:11" outlineLevel="1" x14ac:dyDescent="0.25">
      <c r="B115" s="168" t="str">
        <f>'Main Financials'!B132</f>
        <v>Share capital</v>
      </c>
      <c r="C115" s="33"/>
      <c r="D115" s="369">
        <f>'Main Financials'!G132</f>
        <v>1127</v>
      </c>
      <c r="E115" s="369">
        <f>'Main Financials'!H132</f>
        <v>1127</v>
      </c>
      <c r="F115" s="369">
        <f>'Main Financials'!I132</f>
        <v>1127</v>
      </c>
      <c r="G115" s="369">
        <f>'Main Financials'!J132</f>
        <v>1127</v>
      </c>
      <c r="H115" s="369">
        <f>'Main Financials'!K132</f>
        <v>1127</v>
      </c>
      <c r="I115" s="369">
        <f>'Main Financials'!L132</f>
        <v>1127</v>
      </c>
      <c r="J115" s="369">
        <f>'Main Financials'!M132</f>
        <v>1127</v>
      </c>
      <c r="K115" s="369">
        <f>'Main Financials'!N132</f>
        <v>1127</v>
      </c>
    </row>
    <row r="116" spans="2:11" outlineLevel="1" x14ac:dyDescent="0.25">
      <c r="B116" s="168" t="str">
        <f>'Main Financials'!B133</f>
        <v>Share premium</v>
      </c>
      <c r="C116" s="33"/>
      <c r="D116" s="369">
        <f>'Main Financials'!G133</f>
        <v>3785</v>
      </c>
      <c r="E116" s="369">
        <f>'Main Financials'!H133</f>
        <v>3785</v>
      </c>
      <c r="F116" s="369">
        <f>'Main Financials'!I133</f>
        <v>3785</v>
      </c>
      <c r="G116" s="369">
        <f>'Main Financials'!J133</f>
        <v>3785</v>
      </c>
      <c r="H116" s="369">
        <f>'Main Financials'!K133</f>
        <v>3785</v>
      </c>
      <c r="I116" s="369">
        <f>'Main Financials'!L133</f>
        <v>3785</v>
      </c>
      <c r="J116" s="369">
        <f>'Main Financials'!M133</f>
        <v>3785</v>
      </c>
      <c r="K116" s="369">
        <f>'Main Financials'!N133</f>
        <v>3785</v>
      </c>
    </row>
    <row r="117" spans="2:11" outlineLevel="1" x14ac:dyDescent="0.25">
      <c r="B117" s="168" t="str">
        <f>'Main Financials'!B134</f>
        <v>Treasury shares</v>
      </c>
      <c r="C117" s="33"/>
      <c r="D117" s="369">
        <f>'Main Financials'!G134</f>
        <v>-494</v>
      </c>
      <c r="E117" s="369">
        <f>'Main Financials'!H134</f>
        <v>-400</v>
      </c>
      <c r="F117" s="369">
        <f>'Main Financials'!I134</f>
        <v>-344</v>
      </c>
      <c r="G117" s="369">
        <f>'Main Financials'!J134</f>
        <v>-284</v>
      </c>
      <c r="H117" s="369">
        <f>'Main Financials'!K134</f>
        <v>-237</v>
      </c>
      <c r="I117" s="369">
        <f>'Main Financials'!L134</f>
        <v>-208</v>
      </c>
      <c r="J117" s="369">
        <f>'Main Financials'!M134</f>
        <v>-212</v>
      </c>
      <c r="K117" s="369">
        <f>'Main Financials'!N134</f>
        <v>-281</v>
      </c>
    </row>
    <row r="118" spans="2:11" outlineLevel="1" x14ac:dyDescent="0.25">
      <c r="B118" s="168" t="str">
        <f>'Main Financials'!B135</f>
        <v>Revaluation of financial instruments</v>
      </c>
      <c r="C118" s="33"/>
      <c r="D118" s="369">
        <f>'Main Financials'!G135</f>
        <v>809</v>
      </c>
      <c r="E118" s="369">
        <f>'Main Financials'!H135</f>
        <v>236</v>
      </c>
      <c r="F118" s="369">
        <f>'Main Financials'!I135</f>
        <v>232</v>
      </c>
      <c r="G118" s="369">
        <f>'Main Financials'!J135</f>
        <v>384</v>
      </c>
      <c r="H118" s="369">
        <f>'Main Financials'!K135</f>
        <v>5</v>
      </c>
      <c r="I118" s="369">
        <f>'Main Financials'!L135</f>
        <v>208</v>
      </c>
      <c r="J118" s="369">
        <f>'Main Financials'!M135</f>
        <v>-111</v>
      </c>
      <c r="K118" s="369">
        <f>'Main Financials'!N135</f>
        <v>-93</v>
      </c>
    </row>
    <row r="119" spans="2:11" outlineLevel="1" x14ac:dyDescent="0.25">
      <c r="B119" s="168" t="str">
        <f>'Main Financials'!B136</f>
        <v>Translation adjustment</v>
      </c>
      <c r="C119" s="33"/>
      <c r="D119" s="369">
        <f>'Main Financials'!G136</f>
        <v>-3376</v>
      </c>
      <c r="E119" s="369">
        <f>'Main Financials'!H136</f>
        <v>-2826</v>
      </c>
      <c r="F119" s="369">
        <f>'Main Financials'!I136</f>
        <v>-2584</v>
      </c>
      <c r="G119" s="369">
        <f>'Main Financials'!J136</f>
        <v>-4108</v>
      </c>
      <c r="H119" s="369">
        <f>'Main Financials'!K136</f>
        <v>-3407</v>
      </c>
      <c r="I119" s="369">
        <f>'Main Financials'!L136</f>
        <v>-2146</v>
      </c>
      <c r="J119" s="369">
        <f>'Main Financials'!M136</f>
        <v>-3140</v>
      </c>
      <c r="K119" s="369">
        <f>'Main Financials'!N136</f>
        <v>-2833</v>
      </c>
    </row>
    <row r="120" spans="2:11" outlineLevel="1" x14ac:dyDescent="0.25">
      <c r="B120" s="168" t="str">
        <f>'Main Financials'!B137</f>
        <v>Reserves</v>
      </c>
      <c r="C120" s="33"/>
      <c r="D120" s="369">
        <f>'Main Financials'!G137</f>
        <v>26183</v>
      </c>
      <c r="E120" s="369">
        <f>'Main Financials'!H137</f>
        <v>30322</v>
      </c>
      <c r="F120" s="369">
        <f>'Main Financials'!I137</f>
        <v>32489</v>
      </c>
      <c r="G120" s="369">
        <f>'Main Financials'!J137</f>
        <v>31876</v>
      </c>
      <c r="H120" s="369">
        <f>'Main Financials'!K137</f>
        <v>25159</v>
      </c>
      <c r="I120" s="369">
        <f>'Main Financials'!L137</f>
        <v>26370</v>
      </c>
      <c r="J120" s="369">
        <f>'Main Financials'!M137</f>
        <v>26105</v>
      </c>
      <c r="K120" s="369">
        <f>'Main Financials'!N137</f>
        <v>27852</v>
      </c>
    </row>
    <row r="121" spans="2:11" outlineLevel="1" x14ac:dyDescent="0.25">
      <c r="B121" s="168" t="str">
        <f>'Main Financials'!B138</f>
        <v>Net income - parent-company shareholders' share</v>
      </c>
      <c r="C121" s="33"/>
      <c r="D121" s="369">
        <f>'Main Financials'!G138</f>
        <v>5114</v>
      </c>
      <c r="E121" s="369">
        <f>'Main Financials'!H138</f>
        <v>3302</v>
      </c>
      <c r="F121" s="369">
        <f>'Main Financials'!I138</f>
        <v>-141</v>
      </c>
      <c r="G121" s="369">
        <f>'Main Financials'!J138</f>
        <v>-8008</v>
      </c>
      <c r="H121" s="369">
        <f>'Main Financials'!K138</f>
        <v>888</v>
      </c>
      <c r="I121" s="369">
        <f>'Main Financials'!L138</f>
        <v>-338</v>
      </c>
      <c r="J121" s="369">
        <f>'Main Financials'!M138</f>
        <v>2198</v>
      </c>
      <c r="K121" s="369">
        <f>'Main Financials'!N138</f>
        <v>752</v>
      </c>
    </row>
    <row r="122" spans="2:11" outlineLevel="1" x14ac:dyDescent="0.25">
      <c r="B122" s="167" t="str">
        <f>'Main Financials'!B139</f>
        <v>Shareholders' equity - non-controlling interests' share</v>
      </c>
      <c r="C122" s="33"/>
      <c r="D122" s="369">
        <f>'Main Financials'!G139</f>
        <v>294</v>
      </c>
      <c r="E122" s="369">
        <f>'Main Financials'!H139</f>
        <v>599</v>
      </c>
      <c r="F122" s="369">
        <f>'Main Financials'!I139</f>
        <v>767</v>
      </c>
      <c r="G122" s="369">
        <f>'Main Financials'!J139</f>
        <v>566</v>
      </c>
      <c r="H122" s="369">
        <f>'Main Financials'!K139</f>
        <v>574</v>
      </c>
      <c r="I122" s="369">
        <f>'Main Financials'!L139</f>
        <v>741</v>
      </c>
      <c r="J122" s="369">
        <f>'Main Financials'!M139</f>
        <v>882</v>
      </c>
      <c r="K122" s="369">
        <f>'Main Financials'!N139</f>
        <v>793</v>
      </c>
    </row>
    <row r="123" spans="2:11" outlineLevel="1" x14ac:dyDescent="0.25">
      <c r="B123" s="167"/>
      <c r="C123" s="33"/>
      <c r="D123" s="369">
        <f>'Main Financials'!G140</f>
        <v>0</v>
      </c>
      <c r="E123" s="369">
        <f>'Main Financials'!H140</f>
        <v>0</v>
      </c>
      <c r="F123" s="369">
        <f>'Main Financials'!I140</f>
        <v>0</v>
      </c>
      <c r="G123" s="369">
        <f>'Main Financials'!J140</f>
        <v>0</v>
      </c>
      <c r="H123" s="369">
        <f>'Main Financials'!K140</f>
        <v>0</v>
      </c>
      <c r="I123" s="369">
        <f>'Main Financials'!L140</f>
        <v>0</v>
      </c>
      <c r="J123" s="369">
        <f>'Main Financials'!M140</f>
        <v>0</v>
      </c>
      <c r="K123" s="369">
        <f>'Main Financials'!N140</f>
        <v>0</v>
      </c>
    </row>
    <row r="124" spans="2:11" ht="13" outlineLevel="1" x14ac:dyDescent="0.3">
      <c r="B124" s="169" t="str">
        <f>'Main Financials'!B141</f>
        <v>Other financial liabilities</v>
      </c>
      <c r="C124" s="41"/>
      <c r="D124" s="374">
        <f>'Main Financials'!G141</f>
        <v>9692.7595542597992</v>
      </c>
      <c r="E124" s="374">
        <f>'Main Financials'!H141</f>
        <v>9275.3507278141933</v>
      </c>
      <c r="F124" s="374">
        <f>'Main Financials'!I141</f>
        <v>11574</v>
      </c>
      <c r="G124" s="374">
        <f>'Main Financials'!J141</f>
        <v>17347</v>
      </c>
      <c r="H124" s="374">
        <f>'Main Financials'!K141</f>
        <v>16837</v>
      </c>
      <c r="I124" s="374">
        <f>'Main Financials'!L141</f>
        <v>15343</v>
      </c>
      <c r="J124" s="374">
        <f>'Main Financials'!M141</f>
        <v>12404</v>
      </c>
      <c r="K124" s="374">
        <f>'Main Financials'!N141</f>
        <v>11252</v>
      </c>
    </row>
    <row r="125" spans="2:11" outlineLevel="1" x14ac:dyDescent="0.25">
      <c r="B125" s="167" t="str">
        <f>'Main Financials'!B142</f>
        <v>Financial liabilities (non-current + current)</v>
      </c>
      <c r="C125" s="33"/>
      <c r="D125" s="369">
        <f>'Main Financials'!G142</f>
        <v>9692.7595542597992</v>
      </c>
      <c r="E125" s="369">
        <f>'Main Financials'!H142</f>
        <v>9275.3507278141933</v>
      </c>
      <c r="F125" s="369">
        <f>'Main Financials'!I142</f>
        <v>11574</v>
      </c>
      <c r="G125" s="369">
        <f>'Main Financials'!J142</f>
        <v>17347</v>
      </c>
      <c r="H125" s="369">
        <f>'Main Financials'!K142</f>
        <v>16837</v>
      </c>
      <c r="I125" s="369">
        <f>'Main Financials'!L142</f>
        <v>15343</v>
      </c>
      <c r="J125" s="369">
        <f>'Main Financials'!M142</f>
        <v>12404</v>
      </c>
      <c r="K125" s="369">
        <f>'Main Financials'!N142</f>
        <v>11252</v>
      </c>
    </row>
    <row r="126" spans="2:11" ht="13" outlineLevel="1" x14ac:dyDescent="0.3">
      <c r="B126" s="379"/>
      <c r="C126" s="33"/>
      <c r="D126" s="375"/>
      <c r="E126" s="375"/>
      <c r="F126" s="375"/>
      <c r="G126" s="375"/>
      <c r="H126" s="375"/>
      <c r="I126" s="375"/>
      <c r="J126" s="375"/>
      <c r="K126" s="375"/>
    </row>
    <row r="127" spans="2:11" outlineLevel="1" x14ac:dyDescent="0.25">
      <c r="B127" s="60"/>
      <c r="C127" s="33"/>
      <c r="D127" s="369"/>
      <c r="E127" s="369"/>
      <c r="F127" s="369"/>
      <c r="G127" s="369"/>
      <c r="H127" s="369"/>
      <c r="I127" s="369"/>
      <c r="J127" s="369"/>
      <c r="K127" s="369"/>
    </row>
    <row r="128" spans="2:11" ht="13" outlineLevel="1" x14ac:dyDescent="0.3">
      <c r="B128" s="179" t="str">
        <f>'Main Financials'!B145</f>
        <v>Total capital</v>
      </c>
      <c r="C128" s="176"/>
      <c r="D128" s="371">
        <f>'Main Financials'!G145</f>
        <v>43134.759554259799</v>
      </c>
      <c r="E128" s="371">
        <f>'Main Financials'!H145</f>
        <v>45420.350727814191</v>
      </c>
      <c r="F128" s="371">
        <f>'Main Financials'!I145</f>
        <v>46905</v>
      </c>
      <c r="G128" s="371">
        <f>'Main Financials'!J145</f>
        <v>42685</v>
      </c>
      <c r="H128" s="371">
        <f>'Main Financials'!K145</f>
        <v>44731</v>
      </c>
      <c r="I128" s="371">
        <f>'Main Financials'!L145</f>
        <v>44882</v>
      </c>
      <c r="J128" s="371">
        <f>'Main Financials'!M145</f>
        <v>43038</v>
      </c>
      <c r="K128" s="371">
        <f>'Main Financials'!N145</f>
        <v>42354</v>
      </c>
    </row>
    <row r="129" spans="2:11" outlineLevel="1" x14ac:dyDescent="0.25"/>
    <row r="130" spans="2:11" ht="13" outlineLevel="1" x14ac:dyDescent="0.3">
      <c r="B130" s="49" t="s">
        <v>681</v>
      </c>
      <c r="C130" s="49"/>
      <c r="D130" s="49"/>
      <c r="E130" s="49"/>
      <c r="F130" s="49"/>
      <c r="G130" s="49"/>
      <c r="H130" s="49"/>
      <c r="I130" s="49"/>
      <c r="J130" s="49"/>
      <c r="K130" s="49"/>
    </row>
    <row r="131" spans="2:11" ht="13" outlineLevel="1" x14ac:dyDescent="0.3">
      <c r="B131" s="1" t="s">
        <v>58</v>
      </c>
    </row>
    <row r="132" spans="2:11" ht="13" outlineLevel="1" x14ac:dyDescent="0.3">
      <c r="B132" s="41"/>
      <c r="C132" s="41"/>
      <c r="D132" s="156">
        <f>'Main Financials'!G408</f>
        <v>2017</v>
      </c>
      <c r="E132" s="156">
        <f>'Main Financials'!H408</f>
        <v>2018</v>
      </c>
      <c r="F132" s="156">
        <f>'Main Financials'!I408</f>
        <v>2019</v>
      </c>
      <c r="G132" s="156">
        <f>'Main Financials'!J408</f>
        <v>2020</v>
      </c>
      <c r="H132" s="156">
        <f>'Main Financials'!K408</f>
        <v>2021</v>
      </c>
      <c r="I132" s="156">
        <f>'Main Financials'!L408</f>
        <v>2022</v>
      </c>
      <c r="J132" s="156">
        <f>'Main Financials'!M408</f>
        <v>2023</v>
      </c>
      <c r="K132" s="156">
        <f>'Main Financials'!N408</f>
        <v>2024</v>
      </c>
    </row>
    <row r="133" spans="2:11" ht="13.5" outlineLevel="1" thickBot="1" x14ac:dyDescent="0.35">
      <c r="B133" s="377" t="s">
        <v>682</v>
      </c>
      <c r="C133" s="377"/>
      <c r="D133" s="378">
        <f>'Main Financials'!G409</f>
        <v>2017</v>
      </c>
      <c r="E133" s="378">
        <f>'Main Financials'!H409</f>
        <v>2018</v>
      </c>
      <c r="F133" s="378">
        <f>'Main Financials'!I409</f>
        <v>2019</v>
      </c>
      <c r="G133" s="378">
        <f>'Main Financials'!J409</f>
        <v>2020</v>
      </c>
      <c r="H133" s="378">
        <f>'Main Financials'!K409</f>
        <v>2021</v>
      </c>
      <c r="I133" s="378">
        <f>'Main Financials'!L409</f>
        <v>2022</v>
      </c>
      <c r="J133" s="378">
        <f>'Main Financials'!M409</f>
        <v>2023</v>
      </c>
      <c r="K133" s="378">
        <f>'Main Financials'!N409</f>
        <v>2024</v>
      </c>
    </row>
    <row r="134" spans="2:11" outlineLevel="1" x14ac:dyDescent="0.25">
      <c r="B134" s="33" t="str">
        <f>'Main Financials'!B410</f>
        <v xml:space="preserve">Beginning of period </v>
      </c>
      <c r="C134" s="33"/>
      <c r="D134" s="366">
        <f>'Main Financials'!G410</f>
        <v>13534</v>
      </c>
      <c r="E134" s="366">
        <f>'Main Financials'!H410</f>
        <v>14243</v>
      </c>
      <c r="F134" s="366">
        <f>'Main Financials'!I410</f>
        <v>14304</v>
      </c>
      <c r="G134" s="366">
        <f>'Main Financials'!J410</f>
        <v>16900</v>
      </c>
      <c r="H134" s="366">
        <f>'Main Financials'!K410</f>
        <v>17135</v>
      </c>
      <c r="I134" s="366">
        <f>'Main Financials'!L410</f>
        <v>16167</v>
      </c>
      <c r="J134" s="366">
        <f>'Main Financials'!M410</f>
        <v>11705</v>
      </c>
      <c r="K134" s="366">
        <f>'Main Financials'!N410</f>
        <v>12251</v>
      </c>
    </row>
    <row r="135" spans="2:11" outlineLevel="1" x14ac:dyDescent="0.25">
      <c r="B135" s="33" t="str">
        <f>'Main Financials'!B411</f>
        <v>Capital expenditure (Spending on organic growth)</v>
      </c>
      <c r="C135" s="33"/>
      <c r="D135" s="366">
        <f>'Main Financials'!G411</f>
        <v>3237</v>
      </c>
      <c r="E135" s="366">
        <f>'Main Financials'!H411</f>
        <v>4029</v>
      </c>
      <c r="F135" s="366">
        <f>'Main Financials'!I411</f>
        <v>4904</v>
      </c>
      <c r="G135" s="366">
        <f>'Main Financials'!J411</f>
        <v>4567</v>
      </c>
      <c r="H135" s="366">
        <f>'Main Financials'!K411</f>
        <v>3045</v>
      </c>
      <c r="I135" s="366">
        <f>'Main Financials'!L411</f>
        <v>2794</v>
      </c>
      <c r="J135" s="366">
        <f>'Main Financials'!M411</f>
        <v>3293</v>
      </c>
      <c r="K135" s="366">
        <f>'Main Financials'!N411</f>
        <v>3412</v>
      </c>
    </row>
    <row r="136" spans="2:11" outlineLevel="1" x14ac:dyDescent="0.25">
      <c r="B136" s="33" t="str">
        <f>'Main Financials'!B412</f>
        <v>Disposals net reversals</v>
      </c>
      <c r="C136" s="33"/>
      <c r="D136" s="366">
        <f>'Main Financials'!G412</f>
        <v>-285</v>
      </c>
      <c r="E136" s="366">
        <f>'Main Financials'!H412</f>
        <v>-809</v>
      </c>
      <c r="F136" s="366">
        <f>'Main Financials'!I412</f>
        <v>-736</v>
      </c>
      <c r="G136" s="366">
        <f>'Main Financials'!J412</f>
        <v>-996</v>
      </c>
      <c r="H136" s="366">
        <f>'Main Financials'!K412</f>
        <v>-1309</v>
      </c>
      <c r="I136" s="366">
        <f>'Main Financials'!L412</f>
        <v>-1165</v>
      </c>
      <c r="J136" s="366">
        <f>'Main Financials'!M412</f>
        <v>-1030</v>
      </c>
      <c r="K136" s="366">
        <f>'Main Financials'!N412</f>
        <v>-839</v>
      </c>
    </row>
    <row r="137" spans="2:11" outlineLevel="1" x14ac:dyDescent="0.25">
      <c r="B137" s="33" t="str">
        <f>'Main Financials'!B413</f>
        <v>Depreciation &amp; impairment</v>
      </c>
      <c r="C137" s="33"/>
      <c r="D137" s="366">
        <f>'Main Financials'!G413</f>
        <v>-2136.7067944150454</v>
      </c>
      <c r="E137" s="366">
        <f>'Main Financials'!H413</f>
        <v>-2383.2556504748945</v>
      </c>
      <c r="F137" s="366">
        <f>'Main Financials'!I413</f>
        <v>-2549</v>
      </c>
      <c r="G137" s="366">
        <f>'Main Financials'!J413</f>
        <v>-2869</v>
      </c>
      <c r="H137" s="366">
        <f>'Main Financials'!K413</f>
        <v>-2792</v>
      </c>
      <c r="I137" s="366">
        <f>'Main Financials'!L413</f>
        <v>-3522</v>
      </c>
      <c r="J137" s="366">
        <f>'Main Financials'!M413</f>
        <v>-1948</v>
      </c>
      <c r="K137" s="366">
        <f>'Main Financials'!N413</f>
        <v>-2120</v>
      </c>
    </row>
    <row r="138" spans="2:11" outlineLevel="1" x14ac:dyDescent="0.25">
      <c r="B138" s="33" t="str">
        <f>'Main Financials'!B414</f>
        <v>Revaluations/adjustments/transfers</v>
      </c>
      <c r="C138" s="33"/>
      <c r="D138" s="366">
        <f>'Main Financials'!G414</f>
        <v>-767.29320558495419</v>
      </c>
      <c r="E138" s="366">
        <f>'Main Financials'!H414</f>
        <v>-775.74434952510637</v>
      </c>
      <c r="F138" s="366">
        <f>'Main Financials'!I414</f>
        <v>977</v>
      </c>
      <c r="G138" s="366">
        <f>'Main Financials'!J414</f>
        <v>-467</v>
      </c>
      <c r="H138" s="366">
        <f>'Main Financials'!K414</f>
        <v>88</v>
      </c>
      <c r="I138" s="366">
        <f>'Main Financials'!L414</f>
        <v>-2569</v>
      </c>
      <c r="J138" s="366">
        <f>'Main Financials'!M414</f>
        <v>231</v>
      </c>
      <c r="K138" s="366">
        <f>'Main Financials'!N414</f>
        <v>1157</v>
      </c>
    </row>
    <row r="139" spans="2:11" outlineLevel="1" x14ac:dyDescent="0.25">
      <c r="B139" s="33" t="str">
        <f>'Main Financials'!B415</f>
        <v>End of period value</v>
      </c>
      <c r="C139" s="33"/>
      <c r="D139" s="366">
        <f>'Main Financials'!G415</f>
        <v>13582</v>
      </c>
      <c r="E139" s="366">
        <f>'Main Financials'!H415</f>
        <v>14304</v>
      </c>
      <c r="F139" s="366">
        <f>'Main Financials'!I415</f>
        <v>16900</v>
      </c>
      <c r="G139" s="366">
        <f>'Main Financials'!J415</f>
        <v>17135</v>
      </c>
      <c r="H139" s="366">
        <f>'Main Financials'!K415</f>
        <v>16167</v>
      </c>
      <c r="I139" s="366">
        <f>'Main Financials'!L415</f>
        <v>11705</v>
      </c>
      <c r="J139" s="366">
        <f>'Main Financials'!M415</f>
        <v>12251</v>
      </c>
      <c r="K139" s="366">
        <f>'Main Financials'!N415</f>
        <v>13861</v>
      </c>
    </row>
    <row r="140" spans="2:11" outlineLevel="1" x14ac:dyDescent="0.25">
      <c r="D140" s="376"/>
      <c r="E140" s="376"/>
      <c r="F140" s="376"/>
      <c r="G140" s="376"/>
      <c r="H140" s="376"/>
      <c r="I140" s="376"/>
      <c r="J140" s="376"/>
      <c r="K140" s="376"/>
    </row>
    <row r="141" spans="2:11" ht="13" outlineLevel="1" x14ac:dyDescent="0.3">
      <c r="B141" s="153" t="s">
        <v>297</v>
      </c>
      <c r="C141" s="153"/>
      <c r="D141" s="373"/>
      <c r="E141" s="373"/>
      <c r="F141" s="373"/>
      <c r="G141" s="373"/>
      <c r="H141" s="373"/>
      <c r="I141" s="373"/>
      <c r="J141" s="373"/>
      <c r="K141" s="373"/>
    </row>
    <row r="142" spans="2:11" outlineLevel="1" x14ac:dyDescent="0.25">
      <c r="B142" s="33" t="str">
        <f>'Main Financials'!B437</f>
        <v xml:space="preserve">Beginning of period </v>
      </c>
      <c r="C142" s="33"/>
      <c r="D142" s="366">
        <f>'Main Financials'!G437</f>
        <v>5295.4425568065863</v>
      </c>
      <c r="E142" s="366">
        <f>'Main Financials'!H437</f>
        <v>5739.7595542597992</v>
      </c>
      <c r="F142" s="366">
        <f>'Main Financials'!I437</f>
        <v>6516.3507278141942</v>
      </c>
      <c r="G142" s="366">
        <f>'Main Financials'!J437</f>
        <v>6949</v>
      </c>
      <c r="H142" s="366">
        <f>'Main Financials'!K437</f>
        <v>6347</v>
      </c>
      <c r="I142" s="366">
        <f>'Main Financials'!L437</f>
        <v>6398</v>
      </c>
      <c r="J142" s="366">
        <f>'Main Financials'!M437</f>
        <v>4700</v>
      </c>
      <c r="K142" s="366">
        <f>'Main Financials'!N437</f>
        <v>4626</v>
      </c>
    </row>
    <row r="143" spans="2:11" outlineLevel="1" x14ac:dyDescent="0.25">
      <c r="B143" s="33" t="str">
        <f>'Main Financials'!B438</f>
        <v>Capital expenditure (Spending on organic growth)</v>
      </c>
      <c r="C143" s="33"/>
      <c r="D143" s="366">
        <f>'Main Financials'!G438</f>
        <v>1310</v>
      </c>
      <c r="E143" s="366">
        <f>'Main Financials'!H438</f>
        <v>1772</v>
      </c>
      <c r="F143" s="366">
        <f>'Main Financials'!I438</f>
        <v>2086</v>
      </c>
      <c r="G143" s="366">
        <f>'Main Financials'!J438</f>
        <v>1500</v>
      </c>
      <c r="H143" s="366">
        <f>'Main Financials'!K438</f>
        <v>1177</v>
      </c>
      <c r="I143" s="366">
        <f>'Main Financials'!L438</f>
        <v>1437</v>
      </c>
      <c r="J143" s="366">
        <f>'Main Financials'!M438</f>
        <v>1365</v>
      </c>
      <c r="K143" s="366">
        <f>'Main Financials'!N438</f>
        <v>1514</v>
      </c>
    </row>
    <row r="144" spans="2:11" outlineLevel="1" x14ac:dyDescent="0.25">
      <c r="B144" s="33" t="str">
        <f>'Main Financials'!B439</f>
        <v>Disposals net reversals</v>
      </c>
      <c r="C144" s="33"/>
      <c r="D144" s="366">
        <f>'Main Financials'!G439</f>
        <v>-4</v>
      </c>
      <c r="E144" s="366">
        <f>'Main Financials'!H439</f>
        <v>0</v>
      </c>
      <c r="F144" s="366">
        <f>'Main Financials'!I439</f>
        <v>0</v>
      </c>
      <c r="G144" s="366">
        <f>'Main Financials'!J439</f>
        <v>0</v>
      </c>
      <c r="H144" s="366">
        <f>'Main Financials'!K439</f>
        <v>-9</v>
      </c>
      <c r="I144" s="366">
        <f>'Main Financials'!L439</f>
        <v>-4</v>
      </c>
      <c r="J144" s="366">
        <f>'Main Financials'!M439</f>
        <v>-1</v>
      </c>
      <c r="K144" s="366">
        <f>'Main Financials'!N439</f>
        <v>-14</v>
      </c>
    </row>
    <row r="145" spans="2:11" outlineLevel="1" x14ac:dyDescent="0.25">
      <c r="B145" s="33" t="str">
        <f>'Main Financials'!B440</f>
        <v>Amortization &amp; impairment</v>
      </c>
      <c r="C145" s="33"/>
      <c r="D145" s="366">
        <f>'Main Financials'!G440</f>
        <v>-961</v>
      </c>
      <c r="E145" s="366">
        <f>'Main Financials'!H440</f>
        <v>-950</v>
      </c>
      <c r="F145" s="366">
        <f>'Main Financials'!I440</f>
        <v>-1256</v>
      </c>
      <c r="G145" s="366">
        <f>'Main Financials'!J440</f>
        <v>-1880</v>
      </c>
      <c r="H145" s="366">
        <f>'Main Financials'!K440</f>
        <v>-1253</v>
      </c>
      <c r="I145" s="366">
        <f>'Main Financials'!L440</f>
        <v>-2275</v>
      </c>
      <c r="J145" s="366">
        <f>'Main Financials'!M440</f>
        <v>-1237</v>
      </c>
      <c r="K145" s="366">
        <f>'Main Financials'!N440</f>
        <v>-1048</v>
      </c>
    </row>
    <row r="146" spans="2:11" outlineLevel="1" x14ac:dyDescent="0.25">
      <c r="B146" s="33" t="str">
        <f>'Main Financials'!B441</f>
        <v>Revaluations/adjustments/transfers</v>
      </c>
      <c r="C146" s="33"/>
      <c r="D146" s="366">
        <f>'Main Financials'!G441</f>
        <v>99.316997453212934</v>
      </c>
      <c r="E146" s="366">
        <f>'Main Financials'!H441</f>
        <v>-45.408826445604973</v>
      </c>
      <c r="F146" s="366">
        <f>'Main Financials'!I441</f>
        <v>-397.35072781419512</v>
      </c>
      <c r="G146" s="366">
        <f>'Main Financials'!J441</f>
        <v>-222</v>
      </c>
      <c r="H146" s="366">
        <f>'Main Financials'!K441</f>
        <v>136</v>
      </c>
      <c r="I146" s="366">
        <f>'Main Financials'!L441</f>
        <v>-856</v>
      </c>
      <c r="J146" s="366">
        <f>'Main Financials'!M441</f>
        <v>-201</v>
      </c>
      <c r="K146" s="366">
        <f>'Main Financials'!N441</f>
        <v>86</v>
      </c>
    </row>
    <row r="147" spans="2:11" outlineLevel="1" x14ac:dyDescent="0.25">
      <c r="B147" s="33" t="str">
        <f>'Main Financials'!B442</f>
        <v>End of period value</v>
      </c>
      <c r="C147" s="33"/>
      <c r="D147" s="366">
        <f>'Main Financials'!G442</f>
        <v>5739.7595542597992</v>
      </c>
      <c r="E147" s="366">
        <f>'Main Financials'!H442</f>
        <v>6516.3507278141942</v>
      </c>
      <c r="F147" s="366">
        <f>'Main Financials'!I442</f>
        <v>6949</v>
      </c>
      <c r="G147" s="366">
        <f>'Main Financials'!J442</f>
        <v>6347</v>
      </c>
      <c r="H147" s="366">
        <f>'Main Financials'!K442</f>
        <v>6398</v>
      </c>
      <c r="I147" s="366">
        <f>'Main Financials'!L442</f>
        <v>4700</v>
      </c>
      <c r="J147" s="366">
        <f>'Main Financials'!M442</f>
        <v>4626</v>
      </c>
      <c r="K147" s="366">
        <f>'Main Financials'!N442</f>
        <v>5164</v>
      </c>
    </row>
    <row r="148" spans="2:11" outlineLevel="1" x14ac:dyDescent="0.25">
      <c r="D148" s="376"/>
      <c r="E148" s="376"/>
      <c r="F148" s="376"/>
      <c r="G148" s="376"/>
      <c r="H148" s="376"/>
      <c r="I148" s="376"/>
      <c r="J148" s="376"/>
      <c r="K148" s="376"/>
    </row>
    <row r="149" spans="2:11" outlineLevel="1" x14ac:dyDescent="0.25">
      <c r="B149" s="33" t="str">
        <f>'Main Financials'!B446</f>
        <v>Other non-current assets</v>
      </c>
      <c r="C149" s="33"/>
      <c r="D149" s="366">
        <f>'Main Financials'!G446</f>
        <v>1435</v>
      </c>
      <c r="E149" s="366">
        <f>'Main Financials'!H446</f>
        <v>1485</v>
      </c>
      <c r="F149" s="366">
        <f>'Main Financials'!I446</f>
        <v>1224</v>
      </c>
      <c r="G149" s="366">
        <f>'Main Financials'!J446</f>
        <v>956</v>
      </c>
      <c r="H149" s="366">
        <f>'Main Financials'!K446</f>
        <v>966</v>
      </c>
      <c r="I149" s="366">
        <f>'Main Financials'!L446</f>
        <v>938</v>
      </c>
      <c r="J149" s="366">
        <f>'Main Financials'!M446</f>
        <v>784</v>
      </c>
      <c r="K149" s="366">
        <f>'Main Financials'!N446</f>
        <v>1053</v>
      </c>
    </row>
    <row r="150" spans="2:11" outlineLevel="1" x14ac:dyDescent="0.25">
      <c r="D150" s="376"/>
      <c r="E150" s="376"/>
      <c r="F150" s="376"/>
      <c r="G150" s="376"/>
      <c r="H150" s="376"/>
      <c r="I150" s="376"/>
      <c r="J150" s="376"/>
      <c r="K150" s="376"/>
    </row>
    <row r="151" spans="2:11" ht="13" outlineLevel="1" x14ac:dyDescent="0.3">
      <c r="B151" s="153" t="s">
        <v>683</v>
      </c>
      <c r="C151" s="153"/>
      <c r="D151" s="373"/>
      <c r="E151" s="373"/>
      <c r="F151" s="373"/>
      <c r="G151" s="373"/>
      <c r="H151" s="373"/>
      <c r="I151" s="373"/>
      <c r="J151" s="373"/>
      <c r="K151" s="373"/>
    </row>
    <row r="152" spans="2:11" outlineLevel="1" x14ac:dyDescent="0.25">
      <c r="B152" s="33" t="s">
        <v>684</v>
      </c>
      <c r="C152" s="33"/>
      <c r="D152" s="366">
        <f>'Main Financials'!G417</f>
        <v>2952</v>
      </c>
      <c r="E152" s="366">
        <f>'Main Financials'!H417</f>
        <v>3220</v>
      </c>
      <c r="F152" s="366">
        <f>'Main Financials'!I417</f>
        <v>4168</v>
      </c>
      <c r="G152" s="366">
        <f>'Main Financials'!J417</f>
        <v>3571</v>
      </c>
      <c r="H152" s="366">
        <f>'Main Financials'!K417</f>
        <v>1736</v>
      </c>
      <c r="I152" s="366">
        <f>'Main Financials'!L417</f>
        <v>1629</v>
      </c>
      <c r="J152" s="366">
        <f>'Main Financials'!M417</f>
        <v>2263</v>
      </c>
      <c r="K152" s="366">
        <f>'Main Financials'!N417</f>
        <v>2573</v>
      </c>
    </row>
    <row r="153" spans="2:11" outlineLevel="1" x14ac:dyDescent="0.25">
      <c r="B153" s="33" t="s">
        <v>685</v>
      </c>
      <c r="C153" s="33"/>
      <c r="D153" s="366">
        <f>'Main Financials'!G444</f>
        <v>1306</v>
      </c>
      <c r="E153" s="366">
        <f>'Main Financials'!H444</f>
        <v>1772</v>
      </c>
      <c r="F153" s="366">
        <f>'Main Financials'!I444</f>
        <v>2086</v>
      </c>
      <c r="G153" s="366">
        <f>'Main Financials'!J444</f>
        <v>1500</v>
      </c>
      <c r="H153" s="366">
        <f>'Main Financials'!K444</f>
        <v>1168</v>
      </c>
      <c r="I153" s="366">
        <f>'Main Financials'!L444</f>
        <v>1433</v>
      </c>
      <c r="J153" s="366">
        <f>'Main Financials'!M444</f>
        <v>1364</v>
      </c>
      <c r="K153" s="366">
        <f>'Main Financials'!N444</f>
        <v>1500</v>
      </c>
    </row>
    <row r="154" spans="2:11" outlineLevel="1" x14ac:dyDescent="0.25">
      <c r="B154" s="33" t="s">
        <v>686</v>
      </c>
      <c r="E154" s="314">
        <f ca="1">E80-D80</f>
        <v>-171</v>
      </c>
      <c r="F154" s="314">
        <f t="shared" ref="F154:K154" ca="1" si="26">F80-E80</f>
        <v>366</v>
      </c>
      <c r="G154" s="314">
        <f t="shared" ca="1" si="26"/>
        <v>937.23031878171605</v>
      </c>
      <c r="H154" s="314">
        <f t="shared" ca="1" si="26"/>
        <v>-211.75009674181638</v>
      </c>
      <c r="I154" s="314">
        <f t="shared" ca="1" si="26"/>
        <v>2497.9052042968251</v>
      </c>
      <c r="J154" s="314">
        <f t="shared" ca="1" si="26"/>
        <v>1053.6145736632752</v>
      </c>
      <c r="K154" s="314">
        <f t="shared" ca="1" si="26"/>
        <v>-649.59037801640807</v>
      </c>
    </row>
    <row r="155" spans="2:11" outlineLevel="1" x14ac:dyDescent="0.25"/>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78CC-68B1-477A-AF90-325DB3F20706}">
  <dimension ref="A1"/>
  <sheetViews>
    <sheetView topLeftCell="XFD1" workbookViewId="0"/>
  </sheetViews>
  <sheetFormatPr defaultColWidth="0" defaultRowHeight="12.5" x14ac:dyDescent="0.25"/>
  <cols>
    <col min="1" max="16384" width="8.7265625" hidden="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D712-DD09-4B7C-BBA8-EEDF980CC499}">
  <dimension ref="A2:X37"/>
  <sheetViews>
    <sheetView showGridLines="0" zoomScale="115" zoomScaleNormal="115" workbookViewId="0">
      <selection activeCell="E17" sqref="E17"/>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434</v>
      </c>
      <c r="E5" t="s">
        <v>691</v>
      </c>
      <c r="F5" s="13">
        <v>2024</v>
      </c>
      <c r="H5" t="s">
        <v>692</v>
      </c>
      <c r="I5" s="262">
        <v>2</v>
      </c>
    </row>
    <row r="6" spans="1:20" x14ac:dyDescent="0.25">
      <c r="B6" t="s">
        <v>693</v>
      </c>
      <c r="C6" s="14" t="s">
        <v>694</v>
      </c>
      <c r="E6" t="s">
        <v>695</v>
      </c>
      <c r="F6" s="13" t="s">
        <v>696</v>
      </c>
      <c r="H6" t="s">
        <v>695</v>
      </c>
      <c r="I6" s="261">
        <v>45838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8.7780000000000005</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32">
        <v>2024</v>
      </c>
      <c r="M15" s="7">
        <v>2025</v>
      </c>
      <c r="N15" s="7">
        <v>2026</v>
      </c>
      <c r="O15" s="7">
        <v>2027</v>
      </c>
      <c r="P15" s="7">
        <v>2028</v>
      </c>
      <c r="R15" s="10" t="s">
        <v>704</v>
      </c>
    </row>
    <row r="16" spans="1:20" x14ac:dyDescent="0.25">
      <c r="B16" t="s">
        <v>499</v>
      </c>
      <c r="E16" s="8">
        <v>105730</v>
      </c>
      <c r="F16" s="9">
        <v>110412</v>
      </c>
      <c r="G16" s="9">
        <v>108187</v>
      </c>
      <c r="H16" s="9">
        <v>47656</v>
      </c>
      <c r="I16" s="9">
        <v>149419</v>
      </c>
      <c r="J16" s="9">
        <v>179592</v>
      </c>
      <c r="K16" s="9">
        <v>189544</v>
      </c>
      <c r="L16" s="9">
        <v>156878</v>
      </c>
      <c r="M16" s="9">
        <v>152552.69</v>
      </c>
      <c r="N16" s="9">
        <v>160481.22</v>
      </c>
      <c r="O16" s="9">
        <v>166401.67000000001</v>
      </c>
      <c r="P16" s="9">
        <v>175903.67</v>
      </c>
      <c r="Q16" s="8"/>
      <c r="R16" s="8"/>
    </row>
    <row r="17" spans="2:20" x14ac:dyDescent="0.25">
      <c r="B17" t="s">
        <v>705</v>
      </c>
      <c r="E17" s="8">
        <v>91004</v>
      </c>
      <c r="F17" s="8">
        <v>96467</v>
      </c>
      <c r="G17" s="8">
        <v>94522</v>
      </c>
      <c r="H17" s="8">
        <v>39072</v>
      </c>
      <c r="I17" s="8">
        <v>121518</v>
      </c>
      <c r="J17" s="8">
        <v>146216</v>
      </c>
      <c r="K17" s="8">
        <v>153593</v>
      </c>
      <c r="L17" s="8">
        <v>138509</v>
      </c>
      <c r="M17" s="8">
        <v>141293.67000000001</v>
      </c>
      <c r="N17" s="8">
        <v>145042</v>
      </c>
      <c r="O17" s="8">
        <v>146393.95000000001</v>
      </c>
      <c r="P17" s="8">
        <v>152166</v>
      </c>
      <c r="Q17" s="8"/>
      <c r="R17" s="8"/>
    </row>
    <row r="18" spans="2:20" x14ac:dyDescent="0.25">
      <c r="B18" t="s">
        <v>63</v>
      </c>
      <c r="E18" s="8">
        <v>11414</v>
      </c>
      <c r="F18" s="8">
        <v>10539</v>
      </c>
      <c r="G18" s="8">
        <v>10401</v>
      </c>
      <c r="H18" s="8">
        <v>5628</v>
      </c>
      <c r="I18" s="8">
        <v>21730</v>
      </c>
      <c r="J18" s="8">
        <v>27881</v>
      </c>
      <c r="K18" s="8">
        <v>30533</v>
      </c>
      <c r="L18" s="8">
        <v>12661</v>
      </c>
      <c r="M18" s="8">
        <v>8945.5205000000005</v>
      </c>
      <c r="N18" s="8">
        <v>13659.609</v>
      </c>
      <c r="O18" s="8">
        <v>16062.637000000001</v>
      </c>
      <c r="P18" s="8">
        <v>18389.607</v>
      </c>
      <c r="Q18" s="8"/>
      <c r="R18" s="8"/>
    </row>
    <row r="19" spans="2:20" x14ac:dyDescent="0.25">
      <c r="B19" t="s">
        <v>706</v>
      </c>
      <c r="E19" s="8">
        <v>5474</v>
      </c>
      <c r="F19" s="8">
        <v>5507</v>
      </c>
      <c r="G19" s="8">
        <v>5445</v>
      </c>
      <c r="H19" s="8">
        <v>2376</v>
      </c>
      <c r="I19" s="8">
        <v>5871</v>
      </c>
      <c r="J19" s="8">
        <v>6797</v>
      </c>
      <c r="K19" s="8">
        <v>7549</v>
      </c>
      <c r="L19" s="8">
        <v>7226</v>
      </c>
      <c r="M19" s="8">
        <v>7130.4669999999996</v>
      </c>
      <c r="N19" s="8">
        <v>7387.1</v>
      </c>
      <c r="O19" s="8">
        <v>7648.7285000000002</v>
      </c>
      <c r="P19" s="8">
        <v>8600.5</v>
      </c>
      <c r="Q19" s="8"/>
      <c r="R19" s="8"/>
    </row>
    <row r="20" spans="2:20" x14ac:dyDescent="0.25">
      <c r="B20" t="s">
        <v>707</v>
      </c>
      <c r="E20" s="8">
        <v>5940</v>
      </c>
      <c r="F20" s="8">
        <v>5032</v>
      </c>
      <c r="G20" s="8">
        <v>4956</v>
      </c>
      <c r="H20" s="8">
        <v>3252</v>
      </c>
      <c r="I20" s="8">
        <v>15859</v>
      </c>
      <c r="J20" s="8">
        <v>21084</v>
      </c>
      <c r="K20" s="8">
        <v>22984</v>
      </c>
      <c r="L20" s="8">
        <v>5435</v>
      </c>
      <c r="M20" s="8">
        <v>2720.6702</v>
      </c>
      <c r="N20" s="8">
        <v>6286.8486000000003</v>
      </c>
      <c r="O20" s="8">
        <v>8583.4230000000007</v>
      </c>
      <c r="P20" s="8">
        <v>8843</v>
      </c>
      <c r="Q20" s="8"/>
      <c r="R20" s="8"/>
    </row>
    <row r="21" spans="2:20" x14ac:dyDescent="0.25">
      <c r="B21" t="s">
        <v>708</v>
      </c>
      <c r="E21" s="8">
        <v>2588</v>
      </c>
      <c r="F21" s="8">
        <v>778</v>
      </c>
      <c r="G21" s="8">
        <v>1321</v>
      </c>
      <c r="H21" s="8">
        <v>504</v>
      </c>
      <c r="I21" s="8">
        <v>1911</v>
      </c>
      <c r="J21" s="8">
        <v>2729</v>
      </c>
      <c r="K21" s="8">
        <v>3793</v>
      </c>
      <c r="L21" s="8">
        <v>-1488</v>
      </c>
      <c r="M21" s="8">
        <v>-367.99124</v>
      </c>
      <c r="N21" s="8">
        <v>916.87159999999994</v>
      </c>
      <c r="O21" s="8">
        <v>1602.1273000000001</v>
      </c>
      <c r="P21" s="8">
        <v>1457.5</v>
      </c>
      <c r="Q21" s="8"/>
      <c r="R21" s="8"/>
    </row>
    <row r="22" spans="2:20" x14ac:dyDescent="0.25">
      <c r="B22" t="s">
        <v>500</v>
      </c>
      <c r="E22" s="8">
        <v>3281</v>
      </c>
      <c r="F22" s="8">
        <v>3323</v>
      </c>
      <c r="G22" s="8">
        <v>2694</v>
      </c>
      <c r="H22" s="8">
        <v>2488</v>
      </c>
      <c r="I22" s="8">
        <v>13210</v>
      </c>
      <c r="J22" s="8">
        <v>16799</v>
      </c>
      <c r="K22" s="8">
        <v>18596</v>
      </c>
      <c r="L22" s="8">
        <v>5473</v>
      </c>
      <c r="M22" s="8">
        <v>2086.0841999999998</v>
      </c>
      <c r="N22" s="8">
        <v>4879.009</v>
      </c>
      <c r="O22" s="8">
        <v>6472.0326999999997</v>
      </c>
      <c r="P22" s="8">
        <v>6979</v>
      </c>
      <c r="Q22" s="8"/>
      <c r="R22" s="8"/>
    </row>
    <row r="23" spans="2:20" x14ac:dyDescent="0.25">
      <c r="E23" s="8"/>
      <c r="F23" s="8"/>
      <c r="G23" s="8"/>
      <c r="H23" s="8"/>
      <c r="I23" s="8"/>
      <c r="J23" s="8"/>
      <c r="K23" s="8"/>
      <c r="L23" s="8"/>
      <c r="M23" s="8"/>
      <c r="N23" s="8"/>
      <c r="O23" s="8"/>
      <c r="P23" s="8"/>
      <c r="Q23" s="8"/>
      <c r="R23" s="8"/>
    </row>
    <row r="24" spans="2:20" x14ac:dyDescent="0.25">
      <c r="B24" t="s">
        <v>709</v>
      </c>
      <c r="E24" s="8">
        <v>2280</v>
      </c>
      <c r="F24" s="8">
        <v>4556</v>
      </c>
      <c r="G24" s="8">
        <v>2077</v>
      </c>
      <c r="H24" s="8">
        <v>3291</v>
      </c>
      <c r="I24" s="8">
        <v>8533</v>
      </c>
      <c r="J24" s="8">
        <v>10945</v>
      </c>
      <c r="K24" s="8">
        <v>12292</v>
      </c>
      <c r="L24" s="8">
        <v>-7052</v>
      </c>
      <c r="M24" s="8">
        <v>-4564.9575000000004</v>
      </c>
      <c r="N24" s="8">
        <v>1483.3606</v>
      </c>
      <c r="O24" s="8">
        <v>3114.2896000000001</v>
      </c>
      <c r="P24" s="8">
        <v>5879.7592999999997</v>
      </c>
      <c r="Q24" s="8"/>
      <c r="R24" s="263">
        <v>-8658</v>
      </c>
    </row>
    <row r="25" spans="2:20" x14ac:dyDescent="0.25">
      <c r="E25" s="8"/>
      <c r="F25" s="8"/>
      <c r="G25" s="8"/>
      <c r="H25" s="8"/>
      <c r="I25" s="8"/>
      <c r="J25" s="8"/>
      <c r="K25" s="8"/>
      <c r="L25" s="8"/>
      <c r="M25" s="8"/>
      <c r="N25" s="8"/>
      <c r="O25" s="8"/>
      <c r="P25" s="8"/>
      <c r="Q25" s="8"/>
      <c r="R25" s="263"/>
    </row>
    <row r="26" spans="2:20" x14ac:dyDescent="0.25">
      <c r="B26" t="s">
        <v>710</v>
      </c>
      <c r="E26" s="8">
        <v>13125</v>
      </c>
      <c r="F26" s="8">
        <v>13065</v>
      </c>
      <c r="G26" s="8">
        <v>15684</v>
      </c>
      <c r="H26" s="8">
        <v>23828</v>
      </c>
      <c r="I26" s="8">
        <v>51467</v>
      </c>
      <c r="J26" s="8">
        <v>50287</v>
      </c>
      <c r="K26" s="8">
        <v>48476</v>
      </c>
      <c r="L26" s="8">
        <v>37184</v>
      </c>
      <c r="M26" s="15"/>
      <c r="N26" s="16"/>
      <c r="O26" s="16"/>
      <c r="P26" s="17"/>
      <c r="Q26" s="8"/>
      <c r="R26" s="263">
        <v>32836</v>
      </c>
    </row>
    <row r="27" spans="2:20" x14ac:dyDescent="0.25">
      <c r="B27" t="s">
        <v>430</v>
      </c>
      <c r="E27" s="8">
        <v>17971</v>
      </c>
      <c r="F27" s="8">
        <v>14528</v>
      </c>
      <c r="G27" s="8">
        <v>12901</v>
      </c>
      <c r="H27" s="8">
        <v>13703</v>
      </c>
      <c r="I27" s="8">
        <v>33582</v>
      </c>
      <c r="J27" s="8">
        <v>27153</v>
      </c>
      <c r="K27" s="8">
        <v>29463</v>
      </c>
      <c r="L27" s="8">
        <v>37227</v>
      </c>
      <c r="M27" s="18"/>
      <c r="N27" s="19"/>
      <c r="O27" s="19"/>
      <c r="P27" s="20"/>
      <c r="Q27" s="8"/>
      <c r="R27" s="263">
        <v>40799</v>
      </c>
    </row>
    <row r="28" spans="2:20" x14ac:dyDescent="0.25">
      <c r="E28" s="8"/>
      <c r="F28" s="8"/>
      <c r="G28" s="8"/>
      <c r="H28" s="8"/>
      <c r="I28" s="8"/>
      <c r="J28" s="8"/>
      <c r="K28" s="8"/>
      <c r="L28" s="8"/>
      <c r="Q28" s="8"/>
      <c r="R28" s="263"/>
    </row>
    <row r="29" spans="2:20" x14ac:dyDescent="0.25">
      <c r="B29" t="s">
        <v>711</v>
      </c>
      <c r="E29" s="21"/>
      <c r="F29" s="22"/>
      <c r="G29" s="22"/>
      <c r="H29" s="22"/>
      <c r="I29" s="22"/>
      <c r="J29" s="22"/>
      <c r="K29" s="22"/>
      <c r="L29" s="22"/>
      <c r="M29" s="16"/>
      <c r="N29" s="16"/>
      <c r="O29" s="16"/>
      <c r="P29" s="17"/>
      <c r="Q29" s="8"/>
      <c r="R29" s="263">
        <v>2888.7240120000001</v>
      </c>
    </row>
    <row r="30" spans="2:20" ht="13" x14ac:dyDescent="0.3">
      <c r="B30" s="31" t="s">
        <v>712</v>
      </c>
      <c r="E30" s="23"/>
      <c r="F30" s="24"/>
      <c r="G30" s="24"/>
      <c r="H30" s="24"/>
      <c r="I30" s="24"/>
      <c r="J30" s="24"/>
      <c r="K30" s="24"/>
      <c r="L30" s="24"/>
      <c r="M30" s="25"/>
      <c r="N30" s="25"/>
      <c r="O30" s="25"/>
      <c r="P30" s="26"/>
      <c r="Q30" s="8"/>
      <c r="R30" s="264">
        <v>-5.8291179999999998E-2</v>
      </c>
      <c r="T30" s="3"/>
    </row>
    <row r="31" spans="2:20" ht="13" x14ac:dyDescent="0.3">
      <c r="B31" s="31" t="s">
        <v>713</v>
      </c>
      <c r="E31" s="27"/>
      <c r="F31" s="28"/>
      <c r="G31" s="28"/>
      <c r="H31" s="28"/>
      <c r="I31" s="28"/>
      <c r="J31" s="28"/>
      <c r="K31" s="28"/>
      <c r="L31" s="28"/>
      <c r="M31" s="19"/>
      <c r="N31" s="19"/>
      <c r="O31" s="19"/>
      <c r="P31" s="20"/>
      <c r="Q31" s="8"/>
      <c r="R31" s="264">
        <v>1.0051859999999999E-2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61F5-6832-4CC3-A3B9-10C23AC9556B}">
  <dimension ref="A2:X37"/>
  <sheetViews>
    <sheetView showGridLines="0" zoomScale="115" zoomScaleNormal="115" workbookViewId="0">
      <selection activeCell="B32" sqref="B32"/>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96</v>
      </c>
      <c r="E5" t="s">
        <v>691</v>
      </c>
      <c r="F5" s="12" t="s">
        <v>715</v>
      </c>
      <c r="H5" t="s">
        <v>692</v>
      </c>
      <c r="I5" s="13">
        <v>2</v>
      </c>
    </row>
    <row r="6" spans="1:20" x14ac:dyDescent="0.25">
      <c r="B6" t="s">
        <v>693</v>
      </c>
      <c r="C6" s="14" t="s">
        <v>716</v>
      </c>
      <c r="E6" t="s">
        <v>695</v>
      </c>
      <c r="F6" s="13" t="s">
        <v>717</v>
      </c>
      <c r="H6" t="s">
        <v>695</v>
      </c>
      <c r="I6" s="13" t="s">
        <v>718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1.9880741</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20" x14ac:dyDescent="0.25">
      <c r="B16" t="s">
        <v>499</v>
      </c>
      <c r="E16" s="8">
        <v>92272.614835385699</v>
      </c>
      <c r="F16" s="9">
        <v>90177.566434099805</v>
      </c>
      <c r="G16" s="9">
        <v>81781.882219303399</v>
      </c>
      <c r="H16" s="9">
        <v>63620.807050749703</v>
      </c>
      <c r="I16" s="9">
        <v>64551.713509848298</v>
      </c>
      <c r="J16" s="9">
        <v>75189.608173761502</v>
      </c>
      <c r="K16" s="9">
        <v>80913.627544697403</v>
      </c>
      <c r="L16" s="9">
        <v>77189.784137795694</v>
      </c>
      <c r="M16" s="9">
        <v>66804.759999999995</v>
      </c>
      <c r="N16" s="9">
        <v>68423.05</v>
      </c>
      <c r="O16" s="9">
        <v>69745.554999999993</v>
      </c>
      <c r="P16" s="9">
        <v>73847.02</v>
      </c>
      <c r="Q16" s="8"/>
      <c r="R16" s="8"/>
    </row>
    <row r="17" spans="2:20" x14ac:dyDescent="0.25">
      <c r="B17" t="s">
        <v>705</v>
      </c>
      <c r="E17" s="8">
        <v>76196.491238121904</v>
      </c>
      <c r="F17" s="8">
        <v>75786.846013015602</v>
      </c>
      <c r="G17" s="8">
        <v>70433.633252827494</v>
      </c>
      <c r="H17" s="8">
        <v>55564.759077571303</v>
      </c>
      <c r="I17" s="8">
        <v>54616.282500898502</v>
      </c>
      <c r="J17" s="8">
        <v>63452.248436741502</v>
      </c>
      <c r="K17" s="8">
        <v>68140.016309428</v>
      </c>
      <c r="L17" s="8">
        <v>67273.615849799899</v>
      </c>
      <c r="M17" s="8">
        <v>60348.582000000002</v>
      </c>
      <c r="N17" s="8">
        <v>61463.796999999999</v>
      </c>
      <c r="O17" s="8">
        <v>62330.296999999999</v>
      </c>
      <c r="P17" s="8">
        <v>64030.964999999997</v>
      </c>
      <c r="Q17" s="8"/>
      <c r="R17" s="8"/>
    </row>
    <row r="18" spans="2:20" x14ac:dyDescent="0.25">
      <c r="B18" t="s">
        <v>63</v>
      </c>
      <c r="E18" s="8">
        <v>11311.34618</v>
      </c>
      <c r="F18" s="8">
        <v>9496.5921099999996</v>
      </c>
      <c r="G18" s="8">
        <v>6847.3449199999995</v>
      </c>
      <c r="H18" s="8">
        <v>4524.12014</v>
      </c>
      <c r="I18" s="8">
        <v>7182.1207599999998</v>
      </c>
      <c r="J18" s="8">
        <v>7607.6519099999996</v>
      </c>
      <c r="K18" s="8">
        <v>7959.59548</v>
      </c>
      <c r="L18" s="8">
        <v>4691.5538500000002</v>
      </c>
      <c r="M18" s="8">
        <v>1382.472</v>
      </c>
      <c r="N18" s="8">
        <v>2853.2570000000001</v>
      </c>
      <c r="O18" s="8">
        <v>3462.0365999999999</v>
      </c>
      <c r="P18" s="8">
        <v>4690.6030000000001</v>
      </c>
      <c r="Q18" s="8"/>
      <c r="R18" s="8"/>
    </row>
    <row r="19" spans="2:20" x14ac:dyDescent="0.25">
      <c r="B19" t="s">
        <v>706</v>
      </c>
      <c r="E19" s="8">
        <v>6873.7377671226895</v>
      </c>
      <c r="F19" s="8">
        <v>7017.2372169843902</v>
      </c>
      <c r="G19" s="8">
        <v>7182.3662640973898</v>
      </c>
      <c r="H19" s="8">
        <v>5743.1281386762903</v>
      </c>
      <c r="I19" s="8">
        <v>5287.17985688709</v>
      </c>
      <c r="J19" s="8">
        <v>4931.8480014056004</v>
      </c>
      <c r="K19" s="8">
        <v>4332.1268787840399</v>
      </c>
      <c r="L19" s="8">
        <v>4265.0833983430603</v>
      </c>
      <c r="M19" s="8">
        <v>2207.3872000000001</v>
      </c>
      <c r="N19" s="8">
        <v>2288.6660000000002</v>
      </c>
      <c r="O19" s="8">
        <v>2344.5255999999999</v>
      </c>
      <c r="P19" s="8">
        <v>2091.009</v>
      </c>
      <c r="Q19" s="8"/>
      <c r="R19" s="8"/>
    </row>
    <row r="20" spans="2:20" x14ac:dyDescent="0.25">
      <c r="B20" t="s">
        <v>707</v>
      </c>
      <c r="E20" s="8">
        <v>4437.6084099999998</v>
      </c>
      <c r="F20" s="8">
        <v>2479.3548900000001</v>
      </c>
      <c r="G20" s="8">
        <v>-335.02134000000001</v>
      </c>
      <c r="H20" s="8">
        <v>-1219.008</v>
      </c>
      <c r="I20" s="8">
        <v>1894.9409000000001</v>
      </c>
      <c r="J20" s="8">
        <v>2675.8039100000001</v>
      </c>
      <c r="K20" s="8">
        <v>3627.4686000000002</v>
      </c>
      <c r="L20" s="8">
        <v>426.47045000000003</v>
      </c>
      <c r="M20" s="8">
        <v>-1043.1133</v>
      </c>
      <c r="N20" s="8">
        <v>409.94443000000001</v>
      </c>
      <c r="O20" s="8">
        <v>1159.4227000000001</v>
      </c>
      <c r="P20" s="8">
        <v>1587.6958999999999</v>
      </c>
      <c r="Q20" s="8"/>
      <c r="R20" s="8"/>
    </row>
    <row r="21" spans="2:20" x14ac:dyDescent="0.25">
      <c r="B21" t="s">
        <v>708</v>
      </c>
      <c r="E21" s="8">
        <v>-408.53854057285901</v>
      </c>
      <c r="F21" s="8">
        <v>1057.9938616124</v>
      </c>
      <c r="G21" s="8">
        <v>771.18902311474096</v>
      </c>
      <c r="H21" s="8">
        <v>749.24193112179603</v>
      </c>
      <c r="I21" s="8">
        <v>1114.40518587828</v>
      </c>
      <c r="J21" s="8">
        <v>1144.0686792545</v>
      </c>
      <c r="K21" s="8">
        <v>954.66313257347804</v>
      </c>
      <c r="L21" s="8">
        <v>1505.9298866535501</v>
      </c>
      <c r="M21" s="8">
        <v>128.61080000000001</v>
      </c>
      <c r="N21" s="8">
        <v>361.90559999999999</v>
      </c>
      <c r="O21" s="8">
        <v>408.14049999999997</v>
      </c>
      <c r="P21" s="8">
        <v>495.23898000000003</v>
      </c>
      <c r="Q21" s="8"/>
      <c r="R21" s="8"/>
    </row>
    <row r="22" spans="2:20" x14ac:dyDescent="0.25">
      <c r="B22" t="s">
        <v>500</v>
      </c>
      <c r="E22" s="8">
        <v>5766.6055797245399</v>
      </c>
      <c r="F22" s="8">
        <v>2486.47607024852</v>
      </c>
      <c r="G22" s="8">
        <v>-5556.6405957639199</v>
      </c>
      <c r="H22" s="8">
        <v>-3630.67775547877</v>
      </c>
      <c r="I22" s="8">
        <v>1651.47891177051</v>
      </c>
      <c r="J22" s="8">
        <v>1574.5073396712501</v>
      </c>
      <c r="K22" s="8">
        <v>2721.30625329446</v>
      </c>
      <c r="L22" s="8">
        <v>-4099.2317393245203</v>
      </c>
      <c r="M22" s="8">
        <v>-1686.8341</v>
      </c>
      <c r="N22" s="8">
        <v>75.534210000000002</v>
      </c>
      <c r="O22" s="8">
        <v>773.16309999999999</v>
      </c>
      <c r="P22" s="8">
        <v>1054.7529999999999</v>
      </c>
      <c r="Q22" s="8"/>
      <c r="R22" s="8"/>
    </row>
    <row r="23" spans="2:20" x14ac:dyDescent="0.25">
      <c r="E23" s="8"/>
      <c r="F23" s="8"/>
      <c r="G23" s="8"/>
      <c r="H23" s="8"/>
      <c r="I23" s="8"/>
      <c r="J23" s="8"/>
      <c r="K23" s="8"/>
      <c r="L23" s="8"/>
      <c r="M23" s="8"/>
      <c r="N23" s="8"/>
      <c r="O23" s="8"/>
      <c r="P23" s="8"/>
      <c r="Q23" s="8"/>
      <c r="R23" s="8"/>
    </row>
    <row r="24" spans="2:20" x14ac:dyDescent="0.25">
      <c r="B24" t="s">
        <v>709</v>
      </c>
      <c r="E24" s="8">
        <v>-5853.2021000000004</v>
      </c>
      <c r="F24" s="8">
        <v>-2106.6148800000001</v>
      </c>
      <c r="G24" s="8">
        <v>-3255.2180400000002</v>
      </c>
      <c r="H24" s="8">
        <v>1136.7406800000001</v>
      </c>
      <c r="I24" s="8">
        <v>-2120.1512699999998</v>
      </c>
      <c r="J24" s="8">
        <v>621.21019999999999</v>
      </c>
      <c r="K24" s="8">
        <v>-4253.5714200000002</v>
      </c>
      <c r="L24" s="8">
        <v>-7075.78755</v>
      </c>
      <c r="M24" s="8">
        <v>-3121.3654999999999</v>
      </c>
      <c r="N24" s="8">
        <v>-105.39995</v>
      </c>
      <c r="O24" s="8">
        <v>460.95100000000002</v>
      </c>
      <c r="P24" s="8">
        <v>3012.1660000000002</v>
      </c>
      <c r="Q24" s="8"/>
      <c r="R24" s="8">
        <v>-1793.4639099999999</v>
      </c>
    </row>
    <row r="25" spans="2:20" x14ac:dyDescent="0.25">
      <c r="E25" s="8"/>
      <c r="F25" s="8"/>
      <c r="G25" s="8"/>
      <c r="H25" s="8"/>
      <c r="I25" s="8"/>
      <c r="J25" s="8"/>
      <c r="K25" s="8"/>
      <c r="L25" s="8"/>
      <c r="M25" s="8"/>
      <c r="N25" s="8"/>
      <c r="O25" s="8"/>
      <c r="P25" s="8"/>
      <c r="Q25" s="8"/>
      <c r="R25" s="8"/>
    </row>
    <row r="26" spans="2:20" x14ac:dyDescent="0.25">
      <c r="B26" t="s">
        <v>710</v>
      </c>
      <c r="E26" s="8">
        <v>9220.6392846396193</v>
      </c>
      <c r="F26" s="8">
        <v>10935.218983208801</v>
      </c>
      <c r="G26" s="8">
        <v>13870.2468494512</v>
      </c>
      <c r="H26" s="8">
        <v>15661.937602100899</v>
      </c>
      <c r="I26" s="8">
        <v>13274.490730064001</v>
      </c>
      <c r="J26" s="8">
        <v>13931.175083178099</v>
      </c>
      <c r="K26" s="8">
        <v>13044.1386475749</v>
      </c>
      <c r="L26" s="8">
        <v>13604.1038003955</v>
      </c>
      <c r="M26" s="15"/>
      <c r="N26" s="16"/>
      <c r="O26" s="16"/>
      <c r="P26" s="17"/>
      <c r="Q26" s="8"/>
      <c r="R26" s="8">
        <v>13094.4374790285</v>
      </c>
    </row>
    <row r="27" spans="2:20" x14ac:dyDescent="0.25">
      <c r="B27" t="s">
        <v>430</v>
      </c>
      <c r="E27" s="8">
        <v>59162.803603308297</v>
      </c>
      <c r="F27" s="8">
        <v>64608.261587368303</v>
      </c>
      <c r="G27" s="8">
        <v>66760.135802254095</v>
      </c>
      <c r="H27" s="8">
        <v>58513.852530837103</v>
      </c>
      <c r="I27" s="8">
        <v>52813.293539443999</v>
      </c>
      <c r="J27" s="8">
        <v>48681.022601178804</v>
      </c>
      <c r="K27" s="8">
        <v>47788.891249800101</v>
      </c>
      <c r="L27" s="8">
        <v>50143.662318618997</v>
      </c>
      <c r="M27" s="18"/>
      <c r="N27" s="19"/>
      <c r="O27" s="19"/>
      <c r="P27" s="20"/>
      <c r="Q27" s="8"/>
      <c r="R27" s="8">
        <v>51122.824736912298</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3495.7389119999998</v>
      </c>
    </row>
    <row r="30" spans="2:20" ht="13" x14ac:dyDescent="0.3">
      <c r="B30" s="31" t="s">
        <v>712</v>
      </c>
      <c r="E30" s="23"/>
      <c r="F30" s="24"/>
      <c r="G30" s="24"/>
      <c r="H30" s="24"/>
      <c r="I30" s="24"/>
      <c r="J30" s="24"/>
      <c r="K30" s="24"/>
      <c r="L30" s="24"/>
      <c r="M30" s="25"/>
      <c r="N30" s="25"/>
      <c r="O30" s="25"/>
      <c r="P30" s="26"/>
      <c r="Q30" s="8"/>
      <c r="R30" s="30">
        <v>-0.173378748109104</v>
      </c>
      <c r="T30" s="3"/>
    </row>
    <row r="31" spans="2:20" ht="13" x14ac:dyDescent="0.3">
      <c r="B31" s="31" t="s">
        <v>713</v>
      </c>
      <c r="E31" s="27"/>
      <c r="F31" s="28"/>
      <c r="G31" s="28"/>
      <c r="H31" s="28"/>
      <c r="I31" s="28"/>
      <c r="J31" s="28"/>
      <c r="K31" s="28"/>
      <c r="L31" s="28"/>
      <c r="M31" s="19"/>
      <c r="N31" s="19"/>
      <c r="O31" s="19"/>
      <c r="P31" s="20"/>
      <c r="Q31" s="8"/>
      <c r="R31" s="30">
        <v>-8.8023497330993697E-2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83E55-640D-4F90-9E19-DA6060FF3743}">
  <dimension ref="A2:X37"/>
  <sheetViews>
    <sheetView showGridLines="0" zoomScale="115" zoomScaleNormal="115" workbookViewId="0">
      <selection activeCell="B32" sqref="B32"/>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435</v>
      </c>
      <c r="E5" t="s">
        <v>691</v>
      </c>
      <c r="F5" s="12" t="s">
        <v>715</v>
      </c>
      <c r="H5" t="s">
        <v>692</v>
      </c>
      <c r="I5" s="13">
        <v>3</v>
      </c>
    </row>
    <row r="6" spans="1:20" x14ac:dyDescent="0.25">
      <c r="B6" t="s">
        <v>693</v>
      </c>
      <c r="C6" s="14" t="s">
        <v>719</v>
      </c>
      <c r="E6" t="s">
        <v>695</v>
      </c>
      <c r="F6" s="13" t="s">
        <v>696</v>
      </c>
      <c r="H6" t="s">
        <v>695</v>
      </c>
      <c r="I6" s="13" t="s">
        <v>718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91.35</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20" x14ac:dyDescent="0.25">
      <c r="B16" t="s">
        <v>499</v>
      </c>
      <c r="E16" s="8">
        <v>229550</v>
      </c>
      <c r="F16" s="9">
        <v>235849</v>
      </c>
      <c r="G16" s="9">
        <v>252632</v>
      </c>
      <c r="H16" s="9">
        <v>222884</v>
      </c>
      <c r="I16" s="9">
        <v>250200</v>
      </c>
      <c r="J16" s="9">
        <v>279050</v>
      </c>
      <c r="K16" s="9">
        <v>322284</v>
      </c>
      <c r="L16" s="9">
        <v>324656</v>
      </c>
      <c r="M16" s="9">
        <v>324823.84000000003</v>
      </c>
      <c r="N16" s="9">
        <v>331772.65999999997</v>
      </c>
      <c r="O16" s="9">
        <v>340765.84</v>
      </c>
      <c r="P16" s="9">
        <v>348319.9</v>
      </c>
      <c r="Q16" s="8"/>
      <c r="R16" s="8"/>
    </row>
    <row r="17" spans="2:20" x14ac:dyDescent="0.25">
      <c r="B17" t="s">
        <v>705</v>
      </c>
      <c r="E17" s="8">
        <v>184816</v>
      </c>
      <c r="F17" s="8">
        <v>188335</v>
      </c>
      <c r="G17" s="8">
        <v>203317</v>
      </c>
      <c r="H17" s="8">
        <v>183758</v>
      </c>
      <c r="I17" s="8">
        <v>203139</v>
      </c>
      <c r="J17" s="8">
        <v>226480</v>
      </c>
      <c r="K17" s="8">
        <v>260256</v>
      </c>
      <c r="L17" s="8">
        <v>263621</v>
      </c>
      <c r="M17" s="8">
        <v>259587.75</v>
      </c>
      <c r="N17" s="8">
        <v>253605.75</v>
      </c>
      <c r="O17" s="8">
        <v>270546.5</v>
      </c>
      <c r="P17" s="8">
        <v>279929</v>
      </c>
      <c r="Q17" s="8"/>
      <c r="R17" s="8"/>
    </row>
    <row r="18" spans="2:20" x14ac:dyDescent="0.25">
      <c r="B18" t="s">
        <v>63</v>
      </c>
      <c r="E18" s="8">
        <v>36857</v>
      </c>
      <c r="F18" s="8">
        <v>39612</v>
      </c>
      <c r="G18" s="8">
        <v>42748</v>
      </c>
      <c r="H18" s="8">
        <v>36111</v>
      </c>
      <c r="I18" s="8">
        <v>45454</v>
      </c>
      <c r="J18" s="8">
        <v>44466</v>
      </c>
      <c r="K18" s="8">
        <v>54079</v>
      </c>
      <c r="L18" s="8">
        <v>54320</v>
      </c>
      <c r="M18" s="8">
        <v>38573.105000000003</v>
      </c>
      <c r="N18" s="8">
        <v>46299.425999999999</v>
      </c>
      <c r="O18" s="8">
        <v>50404.945</v>
      </c>
      <c r="P18" s="8">
        <v>49948.913999999997</v>
      </c>
      <c r="Q18" s="8"/>
      <c r="R18" s="8"/>
    </row>
    <row r="19" spans="2:20" x14ac:dyDescent="0.25">
      <c r="B19" t="s">
        <v>706</v>
      </c>
      <c r="E19" s="8">
        <v>20926</v>
      </c>
      <c r="F19" s="8">
        <v>21495</v>
      </c>
      <c r="G19" s="8">
        <v>24390</v>
      </c>
      <c r="H19" s="8">
        <v>25732</v>
      </c>
      <c r="I19" s="8">
        <v>27263</v>
      </c>
      <c r="J19" s="8">
        <v>28230</v>
      </c>
      <c r="K19" s="8">
        <v>26761</v>
      </c>
      <c r="L19" s="8">
        <v>29929</v>
      </c>
      <c r="M19" s="8">
        <v>27499.256000000001</v>
      </c>
      <c r="N19" s="8">
        <v>26700.799999999999</v>
      </c>
      <c r="O19" s="8">
        <v>27464.738000000001</v>
      </c>
      <c r="P19" s="8">
        <v>22816.5</v>
      </c>
      <c r="Q19" s="8"/>
      <c r="R19" s="8"/>
    </row>
    <row r="20" spans="2:20" x14ac:dyDescent="0.25">
      <c r="B20" t="s">
        <v>707</v>
      </c>
      <c r="E20" s="8">
        <v>15931</v>
      </c>
      <c r="F20" s="8">
        <v>18117</v>
      </c>
      <c r="G20" s="8">
        <v>18358</v>
      </c>
      <c r="H20" s="8">
        <v>10379</v>
      </c>
      <c r="I20" s="8">
        <v>18191</v>
      </c>
      <c r="J20" s="8">
        <v>16236</v>
      </c>
      <c r="K20" s="8">
        <v>27318</v>
      </c>
      <c r="L20" s="8">
        <v>24391</v>
      </c>
      <c r="M20" s="8">
        <v>9667.6380000000008</v>
      </c>
      <c r="N20" s="8">
        <v>17560.557000000001</v>
      </c>
      <c r="O20" s="8">
        <v>20718.305</v>
      </c>
      <c r="P20" s="8">
        <v>23554.36</v>
      </c>
      <c r="Q20" s="8"/>
      <c r="R20" s="8"/>
    </row>
    <row r="21" spans="2:20" x14ac:dyDescent="0.25">
      <c r="B21" t="s">
        <v>708</v>
      </c>
      <c r="E21" s="8">
        <v>2210</v>
      </c>
      <c r="F21" s="8">
        <v>3490</v>
      </c>
      <c r="G21" s="8">
        <v>4327</v>
      </c>
      <c r="H21" s="8">
        <v>2843</v>
      </c>
      <c r="I21" s="8">
        <v>4698</v>
      </c>
      <c r="J21" s="8">
        <v>6218</v>
      </c>
      <c r="K21" s="8">
        <v>5238</v>
      </c>
      <c r="L21" s="8">
        <v>4412</v>
      </c>
      <c r="M21" s="8">
        <v>2315.4128000000001</v>
      </c>
      <c r="N21" s="8">
        <v>4626.1943000000001</v>
      </c>
      <c r="O21" s="8">
        <v>5419.2169999999996</v>
      </c>
      <c r="P21" s="8">
        <v>6138</v>
      </c>
      <c r="Q21" s="8"/>
      <c r="R21" s="8"/>
    </row>
    <row r="22" spans="2:20" x14ac:dyDescent="0.25">
      <c r="B22" t="s">
        <v>500</v>
      </c>
      <c r="E22" s="8">
        <v>11179</v>
      </c>
      <c r="F22" s="8">
        <v>11827</v>
      </c>
      <c r="G22" s="8">
        <v>13346</v>
      </c>
      <c r="H22" s="8">
        <v>8334</v>
      </c>
      <c r="I22" s="8">
        <v>14843</v>
      </c>
      <c r="J22" s="8">
        <v>14881</v>
      </c>
      <c r="K22" s="8">
        <v>15946</v>
      </c>
      <c r="L22" s="8">
        <v>10721</v>
      </c>
      <c r="M22" s="8">
        <v>4917.4870000000001</v>
      </c>
      <c r="N22" s="8">
        <v>10889.342000000001</v>
      </c>
      <c r="O22" s="8">
        <v>13216.16</v>
      </c>
      <c r="P22" s="8">
        <v>15885.937</v>
      </c>
      <c r="Q22" s="8"/>
      <c r="R22" s="8"/>
    </row>
    <row r="23" spans="2:20" x14ac:dyDescent="0.25">
      <c r="E23" s="8"/>
      <c r="F23" s="8"/>
      <c r="G23" s="8"/>
      <c r="H23" s="8"/>
      <c r="I23" s="8"/>
      <c r="J23" s="8"/>
      <c r="K23" s="8"/>
      <c r="L23" s="8"/>
      <c r="M23" s="8"/>
      <c r="N23" s="8"/>
      <c r="O23" s="8"/>
      <c r="P23" s="8"/>
      <c r="Q23" s="8"/>
      <c r="R23" s="8"/>
    </row>
    <row r="24" spans="2:20" x14ac:dyDescent="0.25">
      <c r="B24" t="s">
        <v>709</v>
      </c>
      <c r="E24" s="8">
        <v>-14237</v>
      </c>
      <c r="F24" s="8">
        <v>-6457</v>
      </c>
      <c r="G24" s="8">
        <v>-1418</v>
      </c>
      <c r="H24" s="8">
        <v>7155</v>
      </c>
      <c r="I24" s="8">
        <v>20135</v>
      </c>
      <c r="J24" s="8">
        <v>5825</v>
      </c>
      <c r="K24" s="8">
        <v>-6439</v>
      </c>
      <c r="L24" s="8">
        <v>-10295</v>
      </c>
      <c r="M24" s="8">
        <v>1503.4124999999999</v>
      </c>
      <c r="N24" s="8">
        <v>5282.5234</v>
      </c>
      <c r="O24" s="8">
        <v>8102.4089999999997</v>
      </c>
      <c r="P24" s="8">
        <v>9952.6630000000005</v>
      </c>
      <c r="Q24" s="8"/>
      <c r="R24" s="8">
        <v>1263</v>
      </c>
    </row>
    <row r="25" spans="2:20" x14ac:dyDescent="0.25">
      <c r="E25" s="8"/>
      <c r="F25" s="8"/>
      <c r="G25" s="8"/>
      <c r="H25" s="8"/>
      <c r="I25" s="8"/>
      <c r="J25" s="8"/>
      <c r="K25" s="8"/>
      <c r="L25" s="8"/>
      <c r="M25" s="8"/>
      <c r="N25" s="8"/>
      <c r="O25" s="8"/>
      <c r="P25" s="8"/>
      <c r="Q25" s="8"/>
      <c r="R25" s="8"/>
    </row>
    <row r="26" spans="2:20" x14ac:dyDescent="0.25">
      <c r="B26" t="s">
        <v>710</v>
      </c>
      <c r="E26" s="8">
        <v>37241</v>
      </c>
      <c r="F26" s="8">
        <v>48065</v>
      </c>
      <c r="G26" s="8">
        <v>42692</v>
      </c>
      <c r="H26" s="8">
        <v>55071</v>
      </c>
      <c r="I26" s="8">
        <v>62255</v>
      </c>
      <c r="J26" s="8">
        <v>66378</v>
      </c>
      <c r="K26" s="8">
        <v>70221</v>
      </c>
      <c r="L26" s="8">
        <v>67622</v>
      </c>
      <c r="M26" s="15"/>
      <c r="N26" s="16"/>
      <c r="O26" s="16"/>
      <c r="P26" s="17"/>
      <c r="Q26" s="8"/>
      <c r="R26" s="8">
        <v>65550</v>
      </c>
    </row>
    <row r="27" spans="2:20" x14ac:dyDescent="0.25">
      <c r="B27" t="s">
        <v>430</v>
      </c>
      <c r="E27" s="8">
        <v>174560</v>
      </c>
      <c r="F27" s="8">
        <v>203479</v>
      </c>
      <c r="G27" s="8">
        <v>214131</v>
      </c>
      <c r="H27" s="8">
        <v>219170</v>
      </c>
      <c r="I27" s="8">
        <v>224641</v>
      </c>
      <c r="J27" s="8">
        <v>219306</v>
      </c>
      <c r="K27" s="8">
        <v>247954</v>
      </c>
      <c r="L27" s="8">
        <v>267971</v>
      </c>
      <c r="M27" s="18"/>
      <c r="N27" s="19"/>
      <c r="O27" s="19"/>
      <c r="P27" s="20"/>
      <c r="Q27" s="8"/>
      <c r="R27" s="8">
        <v>271470</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501.29526299999998</v>
      </c>
    </row>
    <row r="30" spans="2:20" ht="13" x14ac:dyDescent="0.3">
      <c r="B30" s="31" t="s">
        <v>712</v>
      </c>
      <c r="E30" s="23"/>
      <c r="F30" s="24"/>
      <c r="G30" s="24"/>
      <c r="H30" s="24"/>
      <c r="I30" s="24"/>
      <c r="J30" s="24"/>
      <c r="K30" s="24"/>
      <c r="L30" s="24"/>
      <c r="M30" s="25"/>
      <c r="N30" s="25"/>
      <c r="O30" s="25"/>
      <c r="P30" s="26"/>
      <c r="Q30" s="8"/>
      <c r="R30" s="30">
        <v>4.0037059096022801E-2</v>
      </c>
      <c r="T30" s="3"/>
    </row>
    <row r="31" spans="2:20" ht="13" x14ac:dyDescent="0.3">
      <c r="B31" s="31" t="s">
        <v>713</v>
      </c>
      <c r="E31" s="27"/>
      <c r="F31" s="28"/>
      <c r="G31" s="28"/>
      <c r="H31" s="28"/>
      <c r="I31" s="28"/>
      <c r="J31" s="28"/>
      <c r="K31" s="28"/>
      <c r="L31" s="28"/>
      <c r="M31" s="19"/>
      <c r="N31" s="19"/>
      <c r="O31" s="19"/>
      <c r="P31" s="20"/>
      <c r="Q31" s="8"/>
      <c r="R31" s="30">
        <v>2.13667667314144E-2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336F-3F32-42A0-95A0-3DC8C839084E}">
  <dimension ref="A2:X37"/>
  <sheetViews>
    <sheetView showGridLines="0" zoomScale="115" zoomScaleNormal="115" workbookViewId="0">
      <selection activeCell="B32" sqref="B32"/>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436</v>
      </c>
      <c r="E5" t="s">
        <v>691</v>
      </c>
      <c r="F5" s="12" t="s">
        <v>715</v>
      </c>
      <c r="H5" t="s">
        <v>692</v>
      </c>
      <c r="I5" s="13">
        <v>3</v>
      </c>
    </row>
    <row r="6" spans="1:20" x14ac:dyDescent="0.25">
      <c r="B6" t="s">
        <v>693</v>
      </c>
      <c r="C6" s="14" t="s">
        <v>720</v>
      </c>
      <c r="E6" t="s">
        <v>695</v>
      </c>
      <c r="F6" s="13" t="s">
        <v>696</v>
      </c>
      <c r="H6" t="s">
        <v>695</v>
      </c>
      <c r="I6" s="13" t="s">
        <v>718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80.72</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20" x14ac:dyDescent="0.25">
      <c r="B16" t="s">
        <v>499</v>
      </c>
      <c r="E16" s="8">
        <v>98282</v>
      </c>
      <c r="F16" s="9">
        <v>96855</v>
      </c>
      <c r="G16" s="9">
        <v>104210</v>
      </c>
      <c r="H16" s="9">
        <v>98990</v>
      </c>
      <c r="I16" s="9">
        <v>111239</v>
      </c>
      <c r="J16" s="9">
        <v>142610</v>
      </c>
      <c r="K16" s="9">
        <v>155498</v>
      </c>
      <c r="L16" s="9">
        <v>142380</v>
      </c>
      <c r="M16" s="9">
        <v>138715.39000000001</v>
      </c>
      <c r="N16" s="9">
        <v>142726.48000000001</v>
      </c>
      <c r="O16" s="9">
        <v>147509.85999999999</v>
      </c>
      <c r="P16" s="9">
        <v>151737.19</v>
      </c>
      <c r="Q16" s="8"/>
      <c r="R16" s="8"/>
    </row>
    <row r="17" spans="2:20" x14ac:dyDescent="0.25">
      <c r="B17" t="s">
        <v>705</v>
      </c>
      <c r="E17" s="8">
        <v>73409</v>
      </c>
      <c r="F17" s="8">
        <v>73157</v>
      </c>
      <c r="G17" s="8">
        <v>80195</v>
      </c>
      <c r="H17" s="8">
        <v>79719</v>
      </c>
      <c r="I17" s="8">
        <v>82954</v>
      </c>
      <c r="J17" s="8">
        <v>111418</v>
      </c>
      <c r="K17" s="8">
        <v>118271</v>
      </c>
      <c r="L17" s="8">
        <v>111843</v>
      </c>
      <c r="M17" s="8">
        <v>113391.57</v>
      </c>
      <c r="N17" s="8">
        <v>114671.71</v>
      </c>
      <c r="O17" s="8">
        <v>118492.94500000001</v>
      </c>
      <c r="P17" s="8">
        <v>120825</v>
      </c>
      <c r="Q17" s="8"/>
      <c r="R17" s="8"/>
    </row>
    <row r="18" spans="2:20" x14ac:dyDescent="0.25">
      <c r="B18" t="s">
        <v>63</v>
      </c>
      <c r="E18" s="8">
        <v>18385</v>
      </c>
      <c r="F18" s="8">
        <v>17401</v>
      </c>
      <c r="G18" s="8">
        <v>17981</v>
      </c>
      <c r="H18" s="8">
        <v>11004</v>
      </c>
      <c r="I18" s="8">
        <v>19939</v>
      </c>
      <c r="J18" s="8">
        <v>22551</v>
      </c>
      <c r="K18" s="8">
        <v>27466</v>
      </c>
      <c r="L18" s="8">
        <v>20239</v>
      </c>
      <c r="M18" s="8">
        <v>19217.615000000002</v>
      </c>
      <c r="N18" s="8">
        <v>20805.013999999999</v>
      </c>
      <c r="O18" s="8">
        <v>22766.3</v>
      </c>
      <c r="P18" s="8">
        <v>21656.937999999998</v>
      </c>
      <c r="Q18" s="8"/>
      <c r="R18" s="8"/>
    </row>
    <row r="19" spans="2:20" x14ac:dyDescent="0.25">
      <c r="B19" t="s">
        <v>706</v>
      </c>
      <c r="E19" s="8">
        <v>8455</v>
      </c>
      <c r="F19" s="8">
        <v>8601</v>
      </c>
      <c r="G19" s="8">
        <v>10749</v>
      </c>
      <c r="H19" s="8">
        <v>6143</v>
      </c>
      <c r="I19" s="8">
        <v>6495</v>
      </c>
      <c r="J19" s="8">
        <v>8566</v>
      </c>
      <c r="K19" s="8">
        <v>8974</v>
      </c>
      <c r="L19" s="8">
        <v>8650</v>
      </c>
      <c r="M19" s="8">
        <v>9871.2099999999991</v>
      </c>
      <c r="N19" s="8">
        <v>10231.11</v>
      </c>
      <c r="O19" s="8">
        <v>10821.388000000001</v>
      </c>
      <c r="P19" s="8">
        <v>12147.5</v>
      </c>
      <c r="Q19" s="8"/>
      <c r="R19" s="8"/>
    </row>
    <row r="20" spans="2:20" x14ac:dyDescent="0.25">
      <c r="B20" t="s">
        <v>707</v>
      </c>
      <c r="E20" s="8">
        <v>9930</v>
      </c>
      <c r="F20" s="8">
        <v>8800</v>
      </c>
      <c r="G20" s="8">
        <v>7232</v>
      </c>
      <c r="H20" s="8">
        <v>4861</v>
      </c>
      <c r="I20" s="8">
        <v>13444</v>
      </c>
      <c r="J20" s="8">
        <v>13985</v>
      </c>
      <c r="K20" s="8">
        <v>18492</v>
      </c>
      <c r="L20" s="8">
        <v>11589</v>
      </c>
      <c r="M20" s="8">
        <v>10039.378000000001</v>
      </c>
      <c r="N20" s="8">
        <v>10719.96</v>
      </c>
      <c r="O20" s="8">
        <v>12163.138000000001</v>
      </c>
      <c r="P20" s="8">
        <v>13251.419</v>
      </c>
      <c r="Q20" s="8"/>
      <c r="R20" s="8"/>
    </row>
    <row r="21" spans="2:20" x14ac:dyDescent="0.25">
      <c r="B21" t="s">
        <v>708</v>
      </c>
      <c r="E21" s="8">
        <v>2000</v>
      </c>
      <c r="F21" s="8">
        <v>2530</v>
      </c>
      <c r="G21" s="8">
        <v>2140</v>
      </c>
      <c r="H21" s="8">
        <v>1365</v>
      </c>
      <c r="I21" s="8">
        <v>3597</v>
      </c>
      <c r="J21" s="8">
        <v>4927</v>
      </c>
      <c r="K21" s="8">
        <v>4931</v>
      </c>
      <c r="L21" s="8">
        <v>3293</v>
      </c>
      <c r="M21" s="8">
        <v>2877.5354000000002</v>
      </c>
      <c r="N21" s="8">
        <v>3067.6952999999999</v>
      </c>
      <c r="O21" s="8">
        <v>3475.33</v>
      </c>
      <c r="P21" s="8">
        <v>3988</v>
      </c>
      <c r="Q21" s="8"/>
      <c r="R21" s="8"/>
    </row>
    <row r="22" spans="2:20" x14ac:dyDescent="0.25">
      <c r="B22" t="s">
        <v>500</v>
      </c>
      <c r="E22" s="8">
        <v>8589</v>
      </c>
      <c r="F22" s="8">
        <v>7007</v>
      </c>
      <c r="G22" s="8">
        <v>4871</v>
      </c>
      <c r="H22" s="8">
        <v>3775</v>
      </c>
      <c r="I22" s="8">
        <v>12382</v>
      </c>
      <c r="J22" s="8">
        <v>17941</v>
      </c>
      <c r="K22" s="8">
        <v>11290</v>
      </c>
      <c r="L22" s="8">
        <v>7290</v>
      </c>
      <c r="M22" s="8">
        <v>6489.7209999999995</v>
      </c>
      <c r="N22" s="8">
        <v>6961.9530000000004</v>
      </c>
      <c r="O22" s="8">
        <v>7871.9750000000004</v>
      </c>
      <c r="P22" s="8">
        <v>8768.83</v>
      </c>
      <c r="Q22" s="8"/>
      <c r="R22" s="8"/>
    </row>
    <row r="23" spans="2:20" x14ac:dyDescent="0.25">
      <c r="E23" s="8"/>
      <c r="F23" s="8"/>
      <c r="G23" s="8"/>
      <c r="H23" s="8"/>
      <c r="I23" s="8"/>
      <c r="J23" s="8"/>
      <c r="K23" s="8"/>
      <c r="L23" s="8"/>
      <c r="M23" s="8"/>
      <c r="N23" s="8"/>
      <c r="O23" s="8"/>
      <c r="P23" s="8"/>
      <c r="Q23" s="8"/>
      <c r="R23" s="8"/>
    </row>
    <row r="24" spans="2:20" x14ac:dyDescent="0.25">
      <c r="B24" t="s">
        <v>709</v>
      </c>
      <c r="E24" s="8">
        <v>-1368</v>
      </c>
      <c r="F24" s="8">
        <v>-2862</v>
      </c>
      <c r="G24" s="8">
        <v>-3439</v>
      </c>
      <c r="H24" s="8">
        <v>6826</v>
      </c>
      <c r="I24" s="8">
        <v>9067</v>
      </c>
      <c r="J24" s="8">
        <v>14251</v>
      </c>
      <c r="K24" s="8">
        <v>6475</v>
      </c>
      <c r="L24" s="8">
        <v>-4835</v>
      </c>
      <c r="M24" s="8">
        <v>3839.6691999999998</v>
      </c>
      <c r="N24" s="8">
        <v>5261.009</v>
      </c>
      <c r="O24" s="8">
        <v>5685.7839999999997</v>
      </c>
      <c r="P24" s="8">
        <v>7093.6719999999996</v>
      </c>
      <c r="Q24" s="8"/>
      <c r="R24" s="8">
        <v>-839</v>
      </c>
    </row>
    <row r="25" spans="2:20" x14ac:dyDescent="0.25">
      <c r="E25" s="8"/>
      <c r="F25" s="8"/>
      <c r="G25" s="8"/>
      <c r="H25" s="8"/>
      <c r="I25" s="8"/>
      <c r="J25" s="8"/>
      <c r="K25" s="8"/>
      <c r="L25" s="8"/>
      <c r="M25" s="8"/>
      <c r="N25" s="8"/>
      <c r="O25" s="8"/>
      <c r="P25" s="8"/>
      <c r="Q25" s="8"/>
      <c r="R25" s="8"/>
    </row>
    <row r="26" spans="2:20" x14ac:dyDescent="0.25">
      <c r="B26" t="s">
        <v>710</v>
      </c>
      <c r="E26" s="8">
        <v>9039</v>
      </c>
      <c r="F26" s="8">
        <v>10979</v>
      </c>
      <c r="G26" s="8">
        <v>12036</v>
      </c>
      <c r="H26" s="8">
        <v>13537</v>
      </c>
      <c r="I26" s="8">
        <v>16009</v>
      </c>
      <c r="J26" s="8">
        <v>16870</v>
      </c>
      <c r="K26" s="8">
        <v>17327</v>
      </c>
      <c r="L26" s="8">
        <v>19287</v>
      </c>
      <c r="M26" s="15"/>
      <c r="N26" s="16"/>
      <c r="O26" s="16"/>
      <c r="P26" s="17"/>
      <c r="Q26" s="8"/>
      <c r="R26" s="8">
        <v>19257</v>
      </c>
    </row>
    <row r="27" spans="2:20" x14ac:dyDescent="0.25">
      <c r="B27" t="s">
        <v>430</v>
      </c>
      <c r="E27" s="8">
        <v>78854</v>
      </c>
      <c r="F27" s="8">
        <v>86357</v>
      </c>
      <c r="G27" s="8">
        <v>113317</v>
      </c>
      <c r="H27" s="8">
        <v>104048</v>
      </c>
      <c r="I27" s="8">
        <v>100435</v>
      </c>
      <c r="J27" s="8">
        <v>88072</v>
      </c>
      <c r="K27" s="8">
        <v>89564</v>
      </c>
      <c r="L27" s="8">
        <v>104943</v>
      </c>
      <c r="M27" s="18"/>
      <c r="N27" s="19"/>
      <c r="O27" s="19"/>
      <c r="P27" s="20"/>
      <c r="Q27" s="8"/>
      <c r="R27" s="8">
        <v>107748</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609.81512449114996</v>
      </c>
    </row>
    <row r="30" spans="2:20" ht="13" x14ac:dyDescent="0.3">
      <c r="B30" s="31" t="s">
        <v>712</v>
      </c>
      <c r="E30" s="23"/>
      <c r="F30" s="24"/>
      <c r="G30" s="24"/>
      <c r="H30" s="24"/>
      <c r="I30" s="24"/>
      <c r="J30" s="24"/>
      <c r="K30" s="24"/>
      <c r="L30" s="24"/>
      <c r="M30" s="25"/>
      <c r="N30" s="25"/>
      <c r="O30" s="25"/>
      <c r="P30" s="26"/>
      <c r="Q30" s="8"/>
      <c r="R30" s="30">
        <v>7.6269943449422298E-2</v>
      </c>
      <c r="T30" s="3"/>
    </row>
    <row r="31" spans="2:20" ht="13" x14ac:dyDescent="0.3">
      <c r="B31" s="31" t="s">
        <v>713</v>
      </c>
      <c r="E31" s="27"/>
      <c r="F31" s="28"/>
      <c r="G31" s="28"/>
      <c r="H31" s="28"/>
      <c r="I31" s="28"/>
      <c r="J31" s="28"/>
      <c r="K31" s="28"/>
      <c r="L31" s="28"/>
      <c r="M31" s="19"/>
      <c r="N31" s="19"/>
      <c r="O31" s="19"/>
      <c r="P31" s="20"/>
      <c r="Q31" s="8"/>
      <c r="R31" s="30">
        <v>4.5064563653696196E-2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10CF5-453E-4560-AABE-9B4C5B8EAFED}">
  <dimension ref="A2:X37"/>
  <sheetViews>
    <sheetView showGridLines="0" zoomScale="115" zoomScaleNormal="115" workbookViewId="0">
      <selection activeCell="K19" sqref="K19"/>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18" ht="13" x14ac:dyDescent="0.3">
      <c r="A2" t="s">
        <v>22</v>
      </c>
      <c r="B2" s="4" t="s">
        <v>687</v>
      </c>
      <c r="C2" s="4"/>
      <c r="D2" s="4"/>
      <c r="E2" s="4"/>
      <c r="F2" s="4"/>
      <c r="G2" s="4"/>
      <c r="H2" s="4"/>
      <c r="I2" s="4"/>
    </row>
    <row r="4" spans="1:18" ht="13" x14ac:dyDescent="0.3">
      <c r="B4" s="11" t="s">
        <v>688</v>
      </c>
      <c r="C4" s="11"/>
      <c r="E4" s="11" t="s">
        <v>689</v>
      </c>
      <c r="F4" s="11"/>
      <c r="G4" s="11"/>
      <c r="H4" s="11"/>
      <c r="I4" s="11"/>
    </row>
    <row r="5" spans="1:18" x14ac:dyDescent="0.25">
      <c r="B5" t="s">
        <v>690</v>
      </c>
      <c r="C5" s="14" t="s">
        <v>721</v>
      </c>
      <c r="E5" t="s">
        <v>691</v>
      </c>
      <c r="F5" s="12" t="s">
        <v>715</v>
      </c>
      <c r="H5" t="s">
        <v>692</v>
      </c>
      <c r="I5" s="13">
        <v>3</v>
      </c>
    </row>
    <row r="6" spans="1:18" x14ac:dyDescent="0.25">
      <c r="B6" t="s">
        <v>693</v>
      </c>
      <c r="C6" s="14" t="s">
        <v>722</v>
      </c>
      <c r="E6" t="s">
        <v>695</v>
      </c>
      <c r="F6" s="13" t="s">
        <v>696</v>
      </c>
      <c r="H6" t="s">
        <v>695</v>
      </c>
      <c r="I6" s="13" t="s">
        <v>718</v>
      </c>
    </row>
    <row r="7" spans="1:18" x14ac:dyDescent="0.25">
      <c r="B7" t="s">
        <v>697</v>
      </c>
      <c r="C7" s="14">
        <v>-7</v>
      </c>
    </row>
    <row r="8" spans="1:18" x14ac:dyDescent="0.25">
      <c r="B8" t="s">
        <v>698</v>
      </c>
      <c r="C8" s="14">
        <v>0</v>
      </c>
      <c r="E8" t="s">
        <v>418</v>
      </c>
      <c r="F8" s="48">
        <v>45962</v>
      </c>
    </row>
    <row r="9" spans="1:18" x14ac:dyDescent="0.25">
      <c r="B9" t="s">
        <v>699</v>
      </c>
      <c r="C9" s="14" t="s">
        <v>700</v>
      </c>
      <c r="E9" t="s">
        <v>701</v>
      </c>
      <c r="F9" s="214">
        <v>56.21</v>
      </c>
    </row>
    <row r="10" spans="1:18" x14ac:dyDescent="0.25">
      <c r="B10" t="s">
        <v>456</v>
      </c>
      <c r="C10" s="14" t="s">
        <v>457</v>
      </c>
    </row>
    <row r="13" spans="1:18" ht="13" x14ac:dyDescent="0.3">
      <c r="A13" t="s">
        <v>22</v>
      </c>
      <c r="B13" s="4" t="s">
        <v>702</v>
      </c>
      <c r="C13" s="4"/>
      <c r="D13" s="4"/>
      <c r="E13" s="4"/>
      <c r="F13" s="4"/>
      <c r="G13" s="4"/>
      <c r="H13" s="4"/>
      <c r="I13" s="4"/>
      <c r="J13" s="4"/>
      <c r="K13" s="4"/>
      <c r="L13" s="4"/>
      <c r="M13" s="4"/>
      <c r="N13" s="4"/>
      <c r="O13" s="4"/>
      <c r="P13" s="4"/>
      <c r="Q13" s="4"/>
      <c r="R13" s="4"/>
    </row>
    <row r="14" spans="1:18" ht="13" x14ac:dyDescent="0.3">
      <c r="B14" s="1" t="s">
        <v>703</v>
      </c>
    </row>
    <row r="15" spans="1:18"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18" x14ac:dyDescent="0.25">
      <c r="B16" t="s">
        <v>499</v>
      </c>
      <c r="E16" s="8">
        <v>164154</v>
      </c>
      <c r="F16" s="9">
        <v>167362</v>
      </c>
      <c r="G16" s="9">
        <v>172745</v>
      </c>
      <c r="H16" s="9">
        <v>121778</v>
      </c>
      <c r="I16" s="9">
        <v>133893</v>
      </c>
      <c r="J16" s="9">
        <v>150017</v>
      </c>
      <c r="K16" s="9">
        <v>152390</v>
      </c>
      <c r="L16" s="9">
        <v>145594</v>
      </c>
      <c r="M16" s="9">
        <v>134542.76999999999</v>
      </c>
      <c r="N16" s="9">
        <v>135827.06</v>
      </c>
      <c r="O16" s="9">
        <v>140007.01999999999</v>
      </c>
      <c r="P16" s="9">
        <v>143087.64000000001</v>
      </c>
      <c r="Q16" s="8"/>
      <c r="R16" s="8"/>
    </row>
    <row r="17" spans="2:20" x14ac:dyDescent="0.25">
      <c r="B17" t="s">
        <v>705</v>
      </c>
      <c r="E17" s="8">
        <v>129809</v>
      </c>
      <c r="F17" s="8">
        <v>134504</v>
      </c>
      <c r="G17" s="8">
        <v>143224</v>
      </c>
      <c r="H17" s="8">
        <v>100722</v>
      </c>
      <c r="I17" s="8">
        <v>103191</v>
      </c>
      <c r="J17" s="8">
        <v>115605</v>
      </c>
      <c r="K17" s="8">
        <v>117136</v>
      </c>
      <c r="L17" s="8">
        <v>116615</v>
      </c>
      <c r="M17" s="8">
        <v>106778.836</v>
      </c>
      <c r="N17" s="8">
        <v>106884.164</v>
      </c>
      <c r="O17" s="8">
        <v>113059.03</v>
      </c>
      <c r="P17" s="8">
        <v>116963.5</v>
      </c>
      <c r="Q17" s="8"/>
      <c r="R17" s="8"/>
    </row>
    <row r="18" spans="2:20" x14ac:dyDescent="0.25">
      <c r="B18" t="s">
        <v>63</v>
      </c>
      <c r="E18" s="8">
        <v>25456</v>
      </c>
      <c r="F18" s="8">
        <v>24270</v>
      </c>
      <c r="G18" s="8">
        <v>28545</v>
      </c>
      <c r="H18" s="8">
        <v>23891</v>
      </c>
      <c r="I18" s="8">
        <v>18099</v>
      </c>
      <c r="J18" s="8">
        <v>29612</v>
      </c>
      <c r="K18" s="8">
        <v>29547</v>
      </c>
      <c r="L18" s="8">
        <v>24804</v>
      </c>
      <c r="M18" s="8">
        <v>14753.084000000001</v>
      </c>
      <c r="N18" s="8">
        <v>16532.469000000001</v>
      </c>
      <c r="O18" s="8">
        <v>18476.857</v>
      </c>
      <c r="P18" s="8">
        <v>21577.664000000001</v>
      </c>
      <c r="Q18" s="8"/>
      <c r="R18" s="8"/>
    </row>
    <row r="19" spans="2:20" x14ac:dyDescent="0.25">
      <c r="B19" t="s">
        <v>706</v>
      </c>
      <c r="E19" s="8">
        <v>13625</v>
      </c>
      <c r="F19" s="8">
        <v>14887</v>
      </c>
      <c r="G19" s="8">
        <v>16136</v>
      </c>
      <c r="H19" s="8">
        <v>17843</v>
      </c>
      <c r="I19" s="8">
        <v>15066</v>
      </c>
      <c r="J19" s="8">
        <v>13891</v>
      </c>
      <c r="K19" s="8">
        <v>13697</v>
      </c>
      <c r="L19" s="8">
        <v>14680</v>
      </c>
      <c r="M19" s="8">
        <v>8395.57</v>
      </c>
      <c r="N19" s="8">
        <v>7936.56</v>
      </c>
      <c r="O19" s="8">
        <v>8340.5319999999992</v>
      </c>
      <c r="P19" s="8">
        <v>10865.5</v>
      </c>
      <c r="Q19" s="8"/>
      <c r="R19" s="8"/>
    </row>
    <row r="20" spans="2:20" x14ac:dyDescent="0.25">
      <c r="B20" t="s">
        <v>707</v>
      </c>
      <c r="E20" s="8">
        <v>11831</v>
      </c>
      <c r="F20" s="8">
        <v>9383</v>
      </c>
      <c r="G20" s="8">
        <v>12409</v>
      </c>
      <c r="H20" s="8">
        <v>6048</v>
      </c>
      <c r="I20" s="8">
        <v>3033</v>
      </c>
      <c r="J20" s="8">
        <v>15721</v>
      </c>
      <c r="K20" s="8">
        <v>15850</v>
      </c>
      <c r="L20" s="8">
        <v>10124</v>
      </c>
      <c r="M20" s="8">
        <v>7220.6229999999996</v>
      </c>
      <c r="N20" s="8">
        <v>8871.2060000000001</v>
      </c>
      <c r="O20" s="8">
        <v>10437.339</v>
      </c>
      <c r="P20" s="8">
        <v>11410.503000000001</v>
      </c>
      <c r="Q20" s="8"/>
      <c r="R20" s="8"/>
    </row>
    <row r="21" spans="2:20" x14ac:dyDescent="0.25">
      <c r="B21" t="s">
        <v>708</v>
      </c>
      <c r="E21" s="8">
        <v>3350</v>
      </c>
      <c r="F21" s="8">
        <v>3013</v>
      </c>
      <c r="G21" s="8">
        <v>1121</v>
      </c>
      <c r="H21" s="8">
        <v>1926</v>
      </c>
      <c r="I21" s="8">
        <v>4761</v>
      </c>
      <c r="J21" s="8">
        <v>5495</v>
      </c>
      <c r="K21" s="8">
        <v>5553</v>
      </c>
      <c r="L21" s="8">
        <v>3738</v>
      </c>
      <c r="M21" s="8">
        <v>1615.7935</v>
      </c>
      <c r="N21" s="8">
        <v>2512.7302</v>
      </c>
      <c r="O21" s="8">
        <v>2870.7139000000002</v>
      </c>
      <c r="P21" s="8">
        <v>3396</v>
      </c>
      <c r="Q21" s="8"/>
      <c r="R21" s="8"/>
    </row>
    <row r="22" spans="2:20" x14ac:dyDescent="0.25">
      <c r="B22" t="s">
        <v>500</v>
      </c>
      <c r="E22" s="8">
        <v>10278</v>
      </c>
      <c r="F22" s="8">
        <v>7249</v>
      </c>
      <c r="G22" s="8">
        <v>2377</v>
      </c>
      <c r="H22" s="8">
        <v>3649</v>
      </c>
      <c r="I22" s="8">
        <v>10660</v>
      </c>
      <c r="J22" s="8">
        <v>14501</v>
      </c>
      <c r="K22" s="8">
        <v>14261</v>
      </c>
      <c r="L22" s="8">
        <v>10207</v>
      </c>
      <c r="M22" s="8">
        <v>5118.2974000000004</v>
      </c>
      <c r="N22" s="8">
        <v>6663.5370000000003</v>
      </c>
      <c r="O22" s="8">
        <v>7813.5654000000004</v>
      </c>
      <c r="P22" s="8">
        <v>8203.4279999999999</v>
      </c>
      <c r="Q22" s="8"/>
      <c r="R22" s="8"/>
    </row>
    <row r="23" spans="2:20" x14ac:dyDescent="0.25">
      <c r="E23" s="8"/>
      <c r="F23" s="8"/>
      <c r="G23" s="8"/>
      <c r="H23" s="8"/>
      <c r="I23" s="8"/>
      <c r="J23" s="8"/>
      <c r="K23" s="8"/>
      <c r="L23" s="8"/>
      <c r="M23" s="8"/>
      <c r="N23" s="8"/>
      <c r="O23" s="8"/>
      <c r="P23" s="8"/>
      <c r="Q23" s="8"/>
      <c r="R23" s="8"/>
    </row>
    <row r="24" spans="2:20" x14ac:dyDescent="0.25">
      <c r="B24" t="s">
        <v>709</v>
      </c>
      <c r="E24" s="8">
        <v>-11810</v>
      </c>
      <c r="F24" s="8">
        <v>-10358</v>
      </c>
      <c r="G24" s="8">
        <v>689</v>
      </c>
      <c r="H24" s="8">
        <v>16591</v>
      </c>
      <c r="I24" s="8">
        <v>19970</v>
      </c>
      <c r="J24" s="8">
        <v>13413</v>
      </c>
      <c r="K24" s="8">
        <v>10725</v>
      </c>
      <c r="L24" s="8">
        <v>13696</v>
      </c>
      <c r="M24" s="8">
        <v>5340.1396000000004</v>
      </c>
      <c r="N24" s="8">
        <v>4707.8010000000004</v>
      </c>
      <c r="O24" s="8">
        <v>5821.9165000000003</v>
      </c>
      <c r="P24" s="8">
        <v>4594.8984</v>
      </c>
      <c r="Q24" s="8"/>
      <c r="R24" s="8">
        <v>3589</v>
      </c>
    </row>
    <row r="25" spans="2:20" x14ac:dyDescent="0.25">
      <c r="E25" s="8"/>
      <c r="F25" s="8"/>
      <c r="G25" s="8"/>
      <c r="H25" s="8"/>
      <c r="I25" s="8"/>
      <c r="J25" s="8"/>
      <c r="K25" s="8"/>
      <c r="L25" s="8"/>
      <c r="M25" s="8"/>
      <c r="N25" s="8"/>
      <c r="O25" s="8"/>
      <c r="P25" s="8"/>
      <c r="Q25" s="8"/>
      <c r="R25" s="8"/>
    </row>
    <row r="26" spans="2:20" x14ac:dyDescent="0.25">
      <c r="B26" t="s">
        <v>710</v>
      </c>
      <c r="E26" s="8">
        <v>21145</v>
      </c>
      <c r="F26" s="8">
        <v>24708</v>
      </c>
      <c r="G26" s="8">
        <v>26768</v>
      </c>
      <c r="H26" s="8">
        <v>28404</v>
      </c>
      <c r="I26" s="8">
        <v>29826</v>
      </c>
      <c r="J26" s="8">
        <v>23916</v>
      </c>
      <c r="K26" s="8">
        <v>22121</v>
      </c>
      <c r="L26" s="8">
        <v>21597</v>
      </c>
      <c r="M26" s="15"/>
      <c r="N26" s="16"/>
      <c r="O26" s="16"/>
      <c r="P26" s="17"/>
      <c r="Q26" s="8"/>
      <c r="R26" s="8">
        <v>22496</v>
      </c>
    </row>
    <row r="27" spans="2:20" x14ac:dyDescent="0.25">
      <c r="B27" t="s">
        <v>430</v>
      </c>
      <c r="E27" s="8">
        <v>127124</v>
      </c>
      <c r="F27" s="8">
        <v>144902</v>
      </c>
      <c r="G27" s="8">
        <v>161780</v>
      </c>
      <c r="H27" s="8">
        <v>145842</v>
      </c>
      <c r="I27" s="8">
        <v>125843</v>
      </c>
      <c r="J27" s="8">
        <v>111837</v>
      </c>
      <c r="K27" s="8">
        <v>109431</v>
      </c>
      <c r="L27" s="8">
        <v>112798</v>
      </c>
      <c r="M27" s="18"/>
      <c r="N27" s="19"/>
      <c r="O27" s="19"/>
      <c r="P27" s="20"/>
      <c r="Q27" s="8"/>
      <c r="R27" s="8">
        <v>102343</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962.90370299999995</v>
      </c>
    </row>
    <row r="30" spans="2:20" ht="13" x14ac:dyDescent="0.3">
      <c r="B30" s="31" t="s">
        <v>712</v>
      </c>
      <c r="E30" s="23"/>
      <c r="F30" s="24"/>
      <c r="G30" s="24"/>
      <c r="H30" s="24"/>
      <c r="I30" s="24"/>
      <c r="J30" s="24"/>
      <c r="K30" s="24"/>
      <c r="L30" s="24"/>
      <c r="M30" s="25"/>
      <c r="N30" s="25"/>
      <c r="O30" s="25"/>
      <c r="P30" s="26"/>
      <c r="Q30" s="8"/>
      <c r="R30" s="30">
        <v>6.8815546808334904E-2</v>
      </c>
      <c r="T30" s="3"/>
    </row>
    <row r="31" spans="2:20" ht="13" x14ac:dyDescent="0.3">
      <c r="B31" s="31" t="s">
        <v>713</v>
      </c>
      <c r="E31" s="27"/>
      <c r="F31" s="28"/>
      <c r="G31" s="28"/>
      <c r="H31" s="28"/>
      <c r="I31" s="28"/>
      <c r="J31" s="28"/>
      <c r="K31" s="28"/>
      <c r="L31" s="28"/>
      <c r="M31" s="19"/>
      <c r="N31" s="19"/>
      <c r="O31" s="19"/>
      <c r="P31" s="20"/>
      <c r="Q31" s="8"/>
      <c r="R31" s="30">
        <v>3.9276433825493201E-2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2AF1-6DC2-4B63-920A-AC1A58734AC9}">
  <dimension ref="A2:X37"/>
  <sheetViews>
    <sheetView showGridLines="0" zoomScale="115" zoomScaleNormal="115" workbookViewId="0">
      <selection activeCell="C31" sqref="C31"/>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439</v>
      </c>
      <c r="E5" t="s">
        <v>691</v>
      </c>
      <c r="F5" s="12" t="s">
        <v>715</v>
      </c>
      <c r="H5" t="s">
        <v>692</v>
      </c>
      <c r="I5" s="13">
        <v>2</v>
      </c>
    </row>
    <row r="6" spans="1:20" x14ac:dyDescent="0.25">
      <c r="B6" t="s">
        <v>693</v>
      </c>
      <c r="C6" s="14" t="s">
        <v>723</v>
      </c>
      <c r="E6" t="s">
        <v>695</v>
      </c>
      <c r="F6" s="13" t="s">
        <v>717</v>
      </c>
      <c r="H6" t="s">
        <v>695</v>
      </c>
      <c r="I6" s="13" t="s">
        <v>718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17.648023999999999</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20" x14ac:dyDescent="0.25">
      <c r="B16" t="s">
        <v>499</v>
      </c>
      <c r="E16" s="8">
        <v>226868.65354462899</v>
      </c>
      <c r="F16" s="9">
        <v>235485.407014239</v>
      </c>
      <c r="G16" s="9">
        <v>247249.27223947499</v>
      </c>
      <c r="H16" s="9">
        <v>220209.67615158099</v>
      </c>
      <c r="I16" s="9">
        <v>240439.25557689599</v>
      </c>
      <c r="J16" s="9">
        <v>263630.98197986902</v>
      </c>
      <c r="K16" s="9">
        <v>287632.66740774299</v>
      </c>
      <c r="L16" s="9">
        <v>293507.48055492301</v>
      </c>
      <c r="M16" s="9">
        <v>274892</v>
      </c>
      <c r="N16" s="9">
        <v>283138.38</v>
      </c>
      <c r="O16" s="9">
        <v>290642.15999999997</v>
      </c>
      <c r="P16" s="9">
        <v>300070.13</v>
      </c>
      <c r="Q16" s="8"/>
      <c r="R16" s="8"/>
    </row>
    <row r="17" spans="2:20" x14ac:dyDescent="0.25">
      <c r="B17" t="s">
        <v>705</v>
      </c>
      <c r="E17" s="8">
        <v>184823.42562446799</v>
      </c>
      <c r="F17" s="8">
        <v>193206.81359317599</v>
      </c>
      <c r="G17" s="8">
        <v>202701.20999518601</v>
      </c>
      <c r="H17" s="8">
        <v>181108.026735708</v>
      </c>
      <c r="I17" s="8">
        <v>194682.49430372901</v>
      </c>
      <c r="J17" s="8">
        <v>218836.52489351499</v>
      </c>
      <c r="K17" s="8">
        <v>227878.48456364599</v>
      </c>
      <c r="L17" s="8">
        <v>234985.026515626</v>
      </c>
      <c r="M17" s="8">
        <v>222018.53</v>
      </c>
      <c r="N17" s="8">
        <v>225093.98</v>
      </c>
      <c r="O17" s="8">
        <v>230229.44</v>
      </c>
      <c r="P17" s="8">
        <v>244985.3</v>
      </c>
      <c r="Q17" s="8"/>
      <c r="R17" s="8"/>
    </row>
    <row r="18" spans="2:20" x14ac:dyDescent="0.25">
      <c r="B18" t="s">
        <v>63</v>
      </c>
      <c r="E18" s="8">
        <v>31572.252799999998</v>
      </c>
      <c r="F18" s="8">
        <v>33053.969620000003</v>
      </c>
      <c r="G18" s="8">
        <v>33068.98863</v>
      </c>
      <c r="H18" s="8">
        <v>31088.252280000001</v>
      </c>
      <c r="I18" s="8">
        <v>36913.721649999999</v>
      </c>
      <c r="J18" s="8">
        <v>33809.902009999998</v>
      </c>
      <c r="K18" s="8">
        <v>47454.749100000001</v>
      </c>
      <c r="L18" s="8">
        <v>44046.782659999997</v>
      </c>
      <c r="M18" s="8">
        <v>31747.256000000001</v>
      </c>
      <c r="N18" s="8">
        <v>35426.26</v>
      </c>
      <c r="O18" s="8">
        <v>37506.480000000003</v>
      </c>
      <c r="P18" s="8">
        <v>37944.605000000003</v>
      </c>
      <c r="Q18" s="8"/>
      <c r="R18" s="8"/>
    </row>
    <row r="19" spans="2:20" x14ac:dyDescent="0.25">
      <c r="B19" t="s">
        <v>706</v>
      </c>
      <c r="E19" s="8">
        <v>13388.1262260494</v>
      </c>
      <c r="F19" s="8">
        <v>13964.7975058178</v>
      </c>
      <c r="G19" s="8">
        <v>13207.0300835054</v>
      </c>
      <c r="H19" s="8">
        <v>13304.9410327151</v>
      </c>
      <c r="I19" s="8">
        <v>13959.794554784899</v>
      </c>
      <c r="J19" s="8">
        <v>14474.2849041224</v>
      </c>
      <c r="K19" s="8">
        <v>13311.9865670335</v>
      </c>
      <c r="L19" s="8">
        <v>14745.430834111299</v>
      </c>
      <c r="M19" s="8">
        <v>9020.3760000000002</v>
      </c>
      <c r="N19" s="8">
        <v>9768.0759999999991</v>
      </c>
      <c r="O19" s="8">
        <v>10402.503000000001</v>
      </c>
      <c r="P19" s="8">
        <v>9327.0010000000002</v>
      </c>
      <c r="Q19" s="8"/>
      <c r="R19" s="8"/>
    </row>
    <row r="20" spans="2:20" x14ac:dyDescent="0.25">
      <c r="B20" t="s">
        <v>707</v>
      </c>
      <c r="E20" s="8">
        <v>18184.12657</v>
      </c>
      <c r="F20" s="8">
        <v>19089.17211</v>
      </c>
      <c r="G20" s="8">
        <v>19861.958549999999</v>
      </c>
      <c r="H20" s="8">
        <v>17783.311249999999</v>
      </c>
      <c r="I20" s="8">
        <v>22953.927100000001</v>
      </c>
      <c r="J20" s="8">
        <v>19335.617109999999</v>
      </c>
      <c r="K20" s="8">
        <v>34142.76253</v>
      </c>
      <c r="L20" s="8">
        <v>29301.35183</v>
      </c>
      <c r="M20" s="8">
        <v>21309.919999999998</v>
      </c>
      <c r="N20" s="8">
        <v>24447.715</v>
      </c>
      <c r="O20" s="8">
        <v>26236.025000000001</v>
      </c>
      <c r="P20" s="8">
        <v>25518.342000000001</v>
      </c>
      <c r="Q20" s="8"/>
      <c r="R20" s="8"/>
    </row>
    <row r="21" spans="2:20" x14ac:dyDescent="0.25">
      <c r="B21" t="s">
        <v>708</v>
      </c>
      <c r="E21" s="8">
        <v>3894.4190780548402</v>
      </c>
      <c r="F21" s="8">
        <v>5141.7724110074296</v>
      </c>
      <c r="G21" s="8">
        <v>5644.4006416443699</v>
      </c>
      <c r="H21" s="8">
        <v>5259.34740993381</v>
      </c>
      <c r="I21" s="8">
        <v>8550.5005927868206</v>
      </c>
      <c r="J21" s="8">
        <v>8342.7247509173994</v>
      </c>
      <c r="K21" s="8">
        <v>12078.412011149299</v>
      </c>
      <c r="L21" s="8">
        <v>9927.8507361258398</v>
      </c>
      <c r="M21" s="8">
        <v>7342.7470000000003</v>
      </c>
      <c r="N21" s="8">
        <v>8331.8109999999997</v>
      </c>
      <c r="O21" s="8">
        <v>8868.2189999999991</v>
      </c>
      <c r="P21" s="8">
        <v>9450.8109999999997</v>
      </c>
      <c r="Q21" s="8"/>
      <c r="R21" s="8"/>
    </row>
    <row r="22" spans="2:20" x14ac:dyDescent="0.25">
      <c r="B22" t="s">
        <v>500</v>
      </c>
      <c r="E22" s="8">
        <v>19255.550044100299</v>
      </c>
      <c r="F22" s="8">
        <v>14669.8878159826</v>
      </c>
      <c r="G22" s="8">
        <v>16856.121103577301</v>
      </c>
      <c r="H22" s="8">
        <v>18167.751371785998</v>
      </c>
      <c r="I22" s="8">
        <v>21838.403220046301</v>
      </c>
      <c r="J22" s="8">
        <v>17393.4953058176</v>
      </c>
      <c r="K22" s="8">
        <v>31540.392910852101</v>
      </c>
      <c r="L22" s="8">
        <v>29114.9886757438</v>
      </c>
      <c r="M22" s="8">
        <v>18217.3</v>
      </c>
      <c r="N22" s="8">
        <v>21142.232</v>
      </c>
      <c r="O22" s="8">
        <v>22701.157999999999</v>
      </c>
      <c r="P22" s="8">
        <v>22678.734</v>
      </c>
      <c r="Q22" s="8"/>
      <c r="R22" s="8"/>
    </row>
    <row r="23" spans="2:20" x14ac:dyDescent="0.25">
      <c r="E23" s="8"/>
      <c r="F23" s="8"/>
      <c r="G23" s="8"/>
      <c r="H23" s="8"/>
      <c r="I23" s="8"/>
      <c r="J23" s="8"/>
      <c r="K23" s="8"/>
      <c r="L23" s="8"/>
      <c r="M23" s="8"/>
      <c r="N23" s="8"/>
      <c r="O23" s="8"/>
      <c r="P23" s="8"/>
      <c r="Q23" s="8"/>
      <c r="R23" s="8"/>
    </row>
    <row r="24" spans="2:20" x14ac:dyDescent="0.25">
      <c r="B24" t="s">
        <v>709</v>
      </c>
      <c r="E24" s="8">
        <v>4719.7419799999998</v>
      </c>
      <c r="F24" s="8">
        <v>215.89484999999999</v>
      </c>
      <c r="G24" s="8">
        <v>-8635.1712800000005</v>
      </c>
      <c r="H24" s="8">
        <v>-6168.5198600000003</v>
      </c>
      <c r="I24" s="8">
        <v>1827.12186</v>
      </c>
      <c r="J24" s="8">
        <v>-2855.7972799999998</v>
      </c>
      <c r="K24" s="8">
        <v>-3238.4927899999998</v>
      </c>
      <c r="L24" s="8">
        <v>-7373.6105399999997</v>
      </c>
      <c r="M24" s="8">
        <v>12674.911</v>
      </c>
      <c r="N24" s="8">
        <v>8773.2610000000004</v>
      </c>
      <c r="O24" s="8">
        <v>9346.4889999999996</v>
      </c>
      <c r="P24" s="8">
        <v>13434.681</v>
      </c>
      <c r="Q24" s="8"/>
      <c r="R24" s="8">
        <v>-707.72607000000005</v>
      </c>
    </row>
    <row r="25" spans="2:20" x14ac:dyDescent="0.25">
      <c r="E25" s="8"/>
      <c r="F25" s="8"/>
      <c r="G25" s="8"/>
      <c r="H25" s="8"/>
      <c r="I25" s="8"/>
      <c r="J25" s="8"/>
      <c r="K25" s="8"/>
      <c r="L25" s="8"/>
      <c r="M25" s="8"/>
      <c r="N25" s="8"/>
      <c r="O25" s="8"/>
      <c r="P25" s="8"/>
      <c r="Q25" s="8"/>
      <c r="R25" s="8"/>
    </row>
    <row r="26" spans="2:20" x14ac:dyDescent="0.25">
      <c r="B26" t="s">
        <v>710</v>
      </c>
      <c r="E26" s="8">
        <v>43745.990562087398</v>
      </c>
      <c r="F26" s="8">
        <v>46894.847932495199</v>
      </c>
      <c r="G26" s="8">
        <v>34599.616915918901</v>
      </c>
      <c r="H26" s="8">
        <v>39276.441919247598</v>
      </c>
      <c r="I26" s="8">
        <v>45270.273211633299</v>
      </c>
      <c r="J26" s="8">
        <v>51986.122547602303</v>
      </c>
      <c r="K26" s="8">
        <v>57581.523778997398</v>
      </c>
      <c r="L26" s="8">
        <v>55607.205232955501</v>
      </c>
      <c r="M26" s="15"/>
      <c r="N26" s="16"/>
      <c r="O26" s="16"/>
      <c r="P26" s="17"/>
      <c r="Q26" s="8"/>
      <c r="R26" s="8">
        <v>46752.309095037199</v>
      </c>
    </row>
    <row r="27" spans="2:20" x14ac:dyDescent="0.25">
      <c r="B27" t="s">
        <v>430</v>
      </c>
      <c r="E27" s="8">
        <v>147919.807402818</v>
      </c>
      <c r="F27" s="8">
        <v>162131.865586778</v>
      </c>
      <c r="G27" s="8">
        <v>180163.11654712999</v>
      </c>
      <c r="H27" s="8">
        <v>197578.399815285</v>
      </c>
      <c r="I27" s="8">
        <v>196199.714536271</v>
      </c>
      <c r="J27" s="8">
        <v>203189.22190947901</v>
      </c>
      <c r="K27" s="8">
        <v>223679.30128712201</v>
      </c>
      <c r="L27" s="8">
        <v>240154.37116057199</v>
      </c>
      <c r="M27" s="18"/>
      <c r="N27" s="19"/>
      <c r="O27" s="19"/>
      <c r="P27" s="20"/>
      <c r="Q27" s="8"/>
      <c r="R27" s="8">
        <v>229725.73878488899</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13033.389219000001</v>
      </c>
    </row>
    <row r="30" spans="2:20" ht="13" x14ac:dyDescent="0.3">
      <c r="B30" s="31" t="s">
        <v>712</v>
      </c>
      <c r="E30" s="23"/>
      <c r="F30" s="24"/>
      <c r="G30" s="24"/>
      <c r="H30" s="24"/>
      <c r="I30" s="24"/>
      <c r="J30" s="24"/>
      <c r="K30" s="24"/>
      <c r="L30" s="24"/>
      <c r="M30" s="25"/>
      <c r="N30" s="25"/>
      <c r="O30" s="25"/>
      <c r="P30" s="26"/>
      <c r="Q30" s="8"/>
      <c r="R30" s="30">
        <v>0.128899450814738</v>
      </c>
      <c r="T30" s="3"/>
    </row>
    <row r="31" spans="2:20" ht="13" x14ac:dyDescent="0.3">
      <c r="B31" s="31" t="s">
        <v>713</v>
      </c>
      <c r="E31" s="27"/>
      <c r="F31" s="28"/>
      <c r="G31" s="28"/>
      <c r="H31" s="28"/>
      <c r="I31" s="28"/>
      <c r="J31" s="28"/>
      <c r="K31" s="28"/>
      <c r="L31" s="28"/>
      <c r="M31" s="19"/>
      <c r="N31" s="19"/>
      <c r="O31" s="19"/>
      <c r="P31" s="20"/>
      <c r="Q31" s="8"/>
      <c r="R31" s="30">
        <v>7.9094678577610197E-2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F2AF-83DB-49D0-BE7E-E2E4118F30C5}">
  <dimension ref="A2:X37"/>
  <sheetViews>
    <sheetView showGridLines="0" zoomScale="115" zoomScaleNormal="115" workbookViewId="0">
      <selection activeCell="C31" sqref="C31"/>
    </sheetView>
  </sheetViews>
  <sheetFormatPr defaultColWidth="8.7265625" defaultRowHeight="12.5" x14ac:dyDescent="0.25"/>
  <cols>
    <col min="1" max="1" width="2.26953125" customWidth="1"/>
    <col min="2" max="2" width="18.26953125" customWidth="1"/>
    <col min="3" max="3" width="13.26953125" customWidth="1"/>
    <col min="4" max="4" width="6.269531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441</v>
      </c>
      <c r="E5" t="s">
        <v>691</v>
      </c>
      <c r="F5" s="12" t="s">
        <v>715</v>
      </c>
      <c r="H5" t="s">
        <v>692</v>
      </c>
      <c r="I5" s="13">
        <v>2</v>
      </c>
    </row>
    <row r="6" spans="1:20" x14ac:dyDescent="0.25">
      <c r="B6" t="s">
        <v>693</v>
      </c>
      <c r="C6" s="14" t="s">
        <v>724</v>
      </c>
      <c r="E6" t="s">
        <v>695</v>
      </c>
      <c r="F6" s="13" t="s">
        <v>717</v>
      </c>
      <c r="H6" t="s">
        <v>695</v>
      </c>
      <c r="I6" s="13" t="s">
        <v>718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8.7733965000000005</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20" x14ac:dyDescent="0.25">
      <c r="B16" t="s">
        <v>499</v>
      </c>
      <c r="E16" s="8">
        <v>118600.373594259</v>
      </c>
      <c r="F16" s="9">
        <v>123791.795273029</v>
      </c>
      <c r="G16" s="9">
        <v>123605.889527539</v>
      </c>
      <c r="H16" s="9">
        <v>106570.604130205</v>
      </c>
      <c r="I16" s="9">
        <v>111507.149965003</v>
      </c>
      <c r="J16" s="9">
        <v>119969.973454904</v>
      </c>
      <c r="K16" s="9">
        <v>130301.551462477</v>
      </c>
      <c r="L16" s="9">
        <v>132519.819813465</v>
      </c>
      <c r="M16" s="9">
        <v>117737.17</v>
      </c>
      <c r="N16" s="9">
        <v>120500.61</v>
      </c>
      <c r="O16" s="9">
        <v>124229.94500000001</v>
      </c>
      <c r="P16" s="9">
        <v>125972.59</v>
      </c>
      <c r="Q16" s="8"/>
      <c r="R16" s="8"/>
    </row>
    <row r="17" spans="2:20" x14ac:dyDescent="0.25">
      <c r="B17" t="s">
        <v>705</v>
      </c>
      <c r="E17" s="8">
        <v>93842.516479730097</v>
      </c>
      <c r="F17" s="8">
        <v>99174.889030829494</v>
      </c>
      <c r="G17" s="8">
        <v>99243.664365863398</v>
      </c>
      <c r="H17" s="8">
        <v>85645.436925187707</v>
      </c>
      <c r="I17" s="8">
        <v>89628.297453315899</v>
      </c>
      <c r="J17" s="8">
        <v>97392.340003609701</v>
      </c>
      <c r="K17" s="8">
        <v>103146.703907591</v>
      </c>
      <c r="L17" s="8">
        <v>105097.722964926</v>
      </c>
      <c r="M17" s="8">
        <v>93464.483999999997</v>
      </c>
      <c r="N17" s="8">
        <v>95480.46</v>
      </c>
      <c r="O17" s="8">
        <v>97692.44</v>
      </c>
      <c r="P17" s="8">
        <v>100254.6</v>
      </c>
      <c r="Q17" s="8"/>
      <c r="R17" s="8"/>
    </row>
    <row r="18" spans="2:20" x14ac:dyDescent="0.25">
      <c r="B18" t="s">
        <v>63</v>
      </c>
      <c r="E18" s="8">
        <v>17662.67901</v>
      </c>
      <c r="F18" s="8">
        <v>17102.168119999998</v>
      </c>
      <c r="G18" s="8">
        <v>17343.722900000001</v>
      </c>
      <c r="H18" s="8">
        <v>16873.62903</v>
      </c>
      <c r="I18" s="8">
        <v>17992.15754</v>
      </c>
      <c r="J18" s="8">
        <v>16870.750360000002</v>
      </c>
      <c r="K18" s="8">
        <v>18889.175360000001</v>
      </c>
      <c r="L18" s="8">
        <v>17268.827410000002</v>
      </c>
      <c r="M18" s="8">
        <v>7197.0063</v>
      </c>
      <c r="N18" s="8">
        <v>8883.0849999999991</v>
      </c>
      <c r="O18" s="8">
        <v>9717.5259999999998</v>
      </c>
      <c r="P18" s="8">
        <v>10091.870000000001</v>
      </c>
      <c r="Q18" s="8"/>
      <c r="R18" s="8"/>
    </row>
    <row r="19" spans="2:20" x14ac:dyDescent="0.25">
      <c r="B19" t="s">
        <v>706</v>
      </c>
      <c r="E19" s="8">
        <v>11226.9423680622</v>
      </c>
      <c r="F19" s="8">
        <v>11442.8557778546</v>
      </c>
      <c r="G19" s="8">
        <v>12098.178882164901</v>
      </c>
      <c r="H19" s="8">
        <v>11531.4883351848</v>
      </c>
      <c r="I19" s="8">
        <v>11316.5149495676</v>
      </c>
      <c r="J19" s="8">
        <v>11330.748006060699</v>
      </c>
      <c r="K19" s="8">
        <v>10074.4760418776</v>
      </c>
      <c r="L19" s="8">
        <v>9854.3466299516094</v>
      </c>
      <c r="M19" s="8">
        <v>3078.9573</v>
      </c>
      <c r="N19" s="8">
        <v>3460.7869000000001</v>
      </c>
      <c r="O19" s="8">
        <v>3616.1496999999999</v>
      </c>
      <c r="P19" s="8">
        <v>2586.248</v>
      </c>
      <c r="Q19" s="8"/>
      <c r="R19" s="8"/>
    </row>
    <row r="20" spans="2:20" x14ac:dyDescent="0.25">
      <c r="B20" t="s">
        <v>707</v>
      </c>
      <c r="E20" s="8">
        <v>6435.7366400000001</v>
      </c>
      <c r="F20" s="8">
        <v>5659.3123400000004</v>
      </c>
      <c r="G20" s="8">
        <v>5245.5440200000003</v>
      </c>
      <c r="H20" s="8">
        <v>5342.1406900000002</v>
      </c>
      <c r="I20" s="8">
        <v>6675.6425900000004</v>
      </c>
      <c r="J20" s="8">
        <v>5540.0023499999998</v>
      </c>
      <c r="K20" s="8">
        <v>8814.6993199999997</v>
      </c>
      <c r="L20" s="8">
        <v>7414.4807799999999</v>
      </c>
      <c r="M20" s="8">
        <v>4491.1504000000004</v>
      </c>
      <c r="N20" s="8">
        <v>5852.8010000000004</v>
      </c>
      <c r="O20" s="8">
        <v>6462.6543000000001</v>
      </c>
      <c r="P20" s="8">
        <v>6332.5956999999999</v>
      </c>
      <c r="Q20" s="8"/>
      <c r="R20" s="8"/>
    </row>
    <row r="21" spans="2:20" x14ac:dyDescent="0.25">
      <c r="B21" t="s">
        <v>708</v>
      </c>
      <c r="E21" s="8">
        <v>-105.512486212887</v>
      </c>
      <c r="F21" s="8">
        <v>2361.4346948829502</v>
      </c>
      <c r="G21" s="8">
        <v>2317.8553160913302</v>
      </c>
      <c r="H21" s="8">
        <v>1768.8971253372699</v>
      </c>
      <c r="I21" s="8">
        <v>2371.3981474991901</v>
      </c>
      <c r="J21" s="8">
        <v>1151.2990667223901</v>
      </c>
      <c r="K21" s="8">
        <v>2932.7158564236001</v>
      </c>
      <c r="L21" s="8">
        <v>2533.2704442618401</v>
      </c>
      <c r="M21" s="8">
        <v>1398.4603999999999</v>
      </c>
      <c r="N21" s="8">
        <v>1716.8285000000001</v>
      </c>
      <c r="O21" s="8">
        <v>1849.3868</v>
      </c>
      <c r="P21" s="8">
        <v>2421.1685000000002</v>
      </c>
      <c r="Q21" s="8"/>
      <c r="R21" s="8"/>
    </row>
    <row r="22" spans="2:20" x14ac:dyDescent="0.25">
      <c r="B22" t="s">
        <v>500</v>
      </c>
      <c r="E22" s="8">
        <v>8178.93169964151</v>
      </c>
      <c r="F22" s="8">
        <v>4755.1094801928803</v>
      </c>
      <c r="G22" s="8">
        <v>3772.8789614029201</v>
      </c>
      <c r="H22" s="8">
        <v>5319.6217567659896</v>
      </c>
      <c r="I22" s="8">
        <v>5417.7608055788996</v>
      </c>
      <c r="J22" s="8">
        <v>4622.1688741743601</v>
      </c>
      <c r="K22" s="8">
        <v>7061.9163051713304</v>
      </c>
      <c r="L22" s="8">
        <v>5107.0200824891199</v>
      </c>
      <c r="M22" s="8">
        <v>3089.569</v>
      </c>
      <c r="N22" s="8">
        <v>4107.7304999999997</v>
      </c>
      <c r="O22" s="8">
        <v>4521.1166999999996</v>
      </c>
      <c r="P22" s="8">
        <v>4521.6750000000002</v>
      </c>
      <c r="Q22" s="8"/>
      <c r="R22" s="8"/>
    </row>
    <row r="23" spans="2:20" x14ac:dyDescent="0.25">
      <c r="E23" s="8"/>
      <c r="F23" s="8"/>
      <c r="G23" s="8"/>
      <c r="H23" s="8"/>
      <c r="I23" s="8"/>
      <c r="J23" s="8"/>
      <c r="K23" s="8"/>
      <c r="L23" s="8"/>
      <c r="M23" s="8"/>
      <c r="N23" s="8"/>
      <c r="O23" s="8"/>
      <c r="P23" s="8"/>
      <c r="Q23" s="8"/>
      <c r="R23" s="8"/>
    </row>
    <row r="24" spans="2:20" x14ac:dyDescent="0.25">
      <c r="B24" t="s">
        <v>709</v>
      </c>
      <c r="E24" s="8">
        <v>4417.13285</v>
      </c>
      <c r="F24" s="8">
        <v>2767.59906</v>
      </c>
      <c r="G24" s="8">
        <v>5043.4086500000003</v>
      </c>
      <c r="H24" s="8">
        <v>6100.8174300000001</v>
      </c>
      <c r="I24" s="8">
        <v>10815.1782</v>
      </c>
      <c r="J24" s="8">
        <v>11735.890950000001</v>
      </c>
      <c r="K24" s="8">
        <v>2542.3878399999999</v>
      </c>
      <c r="L24" s="8">
        <v>-1335.97226</v>
      </c>
      <c r="M24" s="8">
        <v>-336.05470000000003</v>
      </c>
      <c r="N24" s="8">
        <v>1580.8634999999999</v>
      </c>
      <c r="O24" s="8">
        <v>456.19389999999999</v>
      </c>
      <c r="P24" s="8">
        <v>7433.2240000000002</v>
      </c>
      <c r="Q24" s="8"/>
      <c r="R24" s="8">
        <v>1013.7414</v>
      </c>
    </row>
    <row r="25" spans="2:20" x14ac:dyDescent="0.25">
      <c r="E25" s="8"/>
      <c r="F25" s="8"/>
      <c r="G25" s="8"/>
      <c r="H25" s="8"/>
      <c r="I25" s="8"/>
      <c r="J25" s="8"/>
      <c r="K25" s="8"/>
      <c r="L25" s="8"/>
      <c r="M25" s="8"/>
      <c r="N25" s="8"/>
      <c r="O25" s="8"/>
      <c r="P25" s="8"/>
      <c r="Q25" s="8"/>
      <c r="R25" s="8"/>
    </row>
    <row r="26" spans="2:20" x14ac:dyDescent="0.25">
      <c r="B26" t="s">
        <v>710</v>
      </c>
      <c r="E26" s="8">
        <v>17251.746543738998</v>
      </c>
      <c r="F26" s="8">
        <v>20068.134918170999</v>
      </c>
      <c r="G26" s="8">
        <v>22560.331360418299</v>
      </c>
      <c r="H26" s="8">
        <v>21236.669120918999</v>
      </c>
      <c r="I26" s="8">
        <v>27212.057337860999</v>
      </c>
      <c r="J26" s="8">
        <v>26301.030476158499</v>
      </c>
      <c r="K26" s="8">
        <v>30311.260485174102</v>
      </c>
      <c r="L26" s="8">
        <v>28036.328918514799</v>
      </c>
      <c r="M26" s="15"/>
      <c r="N26" s="16"/>
      <c r="O26" s="16"/>
      <c r="P26" s="17"/>
      <c r="Q26" s="8"/>
      <c r="R26" s="8">
        <v>26711.6725682658</v>
      </c>
    </row>
    <row r="27" spans="2:20" x14ac:dyDescent="0.25">
      <c r="B27" t="s">
        <v>430</v>
      </c>
      <c r="E27" s="8">
        <v>51981.130530429102</v>
      </c>
      <c r="F27" s="8">
        <v>58987.477055564501</v>
      </c>
      <c r="G27" s="8">
        <v>65846.2422743067</v>
      </c>
      <c r="H27" s="8">
        <v>61895.540414849303</v>
      </c>
      <c r="I27" s="8">
        <v>63417.013236056097</v>
      </c>
      <c r="J27" s="8">
        <v>55196.178126102299</v>
      </c>
      <c r="K27" s="8">
        <v>64212.674278316998</v>
      </c>
      <c r="L27" s="8">
        <v>72890.264096539497</v>
      </c>
      <c r="M27" s="18"/>
      <c r="N27" s="19"/>
      <c r="O27" s="19"/>
      <c r="P27" s="20"/>
      <c r="Q27" s="8"/>
      <c r="R27" s="8">
        <v>72636.763835538193</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3892.5506140000002</v>
      </c>
    </row>
    <row r="30" spans="2:20" ht="13" x14ac:dyDescent="0.3">
      <c r="B30" s="31" t="s">
        <v>712</v>
      </c>
      <c r="E30" s="23"/>
      <c r="F30" s="24"/>
      <c r="G30" s="24"/>
      <c r="H30" s="24"/>
      <c r="I30" s="24"/>
      <c r="J30" s="24"/>
      <c r="K30" s="24"/>
      <c r="L30" s="24"/>
      <c r="M30" s="25"/>
      <c r="N30" s="25"/>
      <c r="O30" s="25"/>
      <c r="P30" s="26"/>
      <c r="Q30" s="8"/>
      <c r="R30" s="30">
        <v>5.36348473278822E-2</v>
      </c>
      <c r="T30" s="3"/>
    </row>
    <row r="31" spans="2:20" ht="13" x14ac:dyDescent="0.3">
      <c r="B31" s="31" t="s">
        <v>713</v>
      </c>
      <c r="E31" s="27"/>
      <c r="F31" s="28"/>
      <c r="G31" s="28"/>
      <c r="H31" s="28"/>
      <c r="I31" s="28"/>
      <c r="J31" s="28"/>
      <c r="K31" s="28"/>
      <c r="L31" s="28"/>
      <c r="M31" s="19"/>
      <c r="N31" s="19"/>
      <c r="O31" s="19"/>
      <c r="P31" s="20"/>
      <c r="Q31" s="8"/>
      <c r="R31" s="30">
        <v>3.3711155045742701E-2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941B-9339-4B1E-B951-DF40CAB81FD0}">
  <dimension ref="A2:X37"/>
  <sheetViews>
    <sheetView showGridLines="0" zoomScale="115" zoomScaleNormal="115" workbookViewId="0">
      <selection activeCell="B32" sqref="B32"/>
    </sheetView>
  </sheetViews>
  <sheetFormatPr defaultColWidth="8.81640625" defaultRowHeight="12.5" x14ac:dyDescent="0.25"/>
  <cols>
    <col min="1" max="1" width="2.7265625" customWidth="1"/>
    <col min="2" max="2" width="18.26953125" customWidth="1"/>
    <col min="3" max="3" width="13.26953125" customWidth="1"/>
    <col min="4" max="4" width="6.72656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463</v>
      </c>
      <c r="E5" t="s">
        <v>691</v>
      </c>
      <c r="F5" s="12" t="s">
        <v>715</v>
      </c>
      <c r="H5" t="s">
        <v>692</v>
      </c>
      <c r="I5" s="13">
        <v>3</v>
      </c>
    </row>
    <row r="6" spans="1:20" x14ac:dyDescent="0.25">
      <c r="B6" t="s">
        <v>693</v>
      </c>
      <c r="C6" s="14" t="s">
        <v>725</v>
      </c>
      <c r="E6" t="s">
        <v>695</v>
      </c>
      <c r="F6" s="13" t="s">
        <v>696</v>
      </c>
      <c r="H6" t="s">
        <v>695</v>
      </c>
      <c r="I6" s="13" t="s">
        <v>718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59.859639999999999</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20" x14ac:dyDescent="0.25">
      <c r="B16" t="s">
        <v>499</v>
      </c>
      <c r="E16" s="8">
        <v>129074.860944033</v>
      </c>
      <c r="F16" s="9">
        <v>124644.234228373</v>
      </c>
      <c r="G16" s="9">
        <v>122615.292249978</v>
      </c>
      <c r="H16" s="9">
        <v>107445.390654206</v>
      </c>
      <c r="I16" s="9">
        <v>107450.124836206</v>
      </c>
      <c r="J16" s="9">
        <v>149133.043985367</v>
      </c>
      <c r="K16" s="9">
        <v>158948.771728158</v>
      </c>
      <c r="L16" s="9">
        <v>173286.12713074699</v>
      </c>
      <c r="M16" s="9">
        <v>160977.54999999999</v>
      </c>
      <c r="N16" s="9">
        <v>162207.69</v>
      </c>
      <c r="O16" s="9">
        <v>164368.53</v>
      </c>
      <c r="P16" s="9">
        <v>167007.10999999999</v>
      </c>
      <c r="Q16" s="8"/>
      <c r="R16" s="8"/>
    </row>
    <row r="17" spans="2:20" x14ac:dyDescent="0.25">
      <c r="B17" t="s">
        <v>705</v>
      </c>
      <c r="E17" s="8">
        <v>106439.683080733</v>
      </c>
      <c r="F17" s="8">
        <v>106085.213028431</v>
      </c>
      <c r="G17" s="8">
        <v>105271.514309943</v>
      </c>
      <c r="H17" s="8">
        <v>90013.421000122995</v>
      </c>
      <c r="I17" s="8">
        <v>85640.974588751793</v>
      </c>
      <c r="J17" s="8">
        <v>119844.983074188</v>
      </c>
      <c r="K17" s="8">
        <v>132089.479858637</v>
      </c>
      <c r="L17" s="8">
        <v>143143.50074446201</v>
      </c>
      <c r="M17" s="8">
        <v>133904.82999999999</v>
      </c>
      <c r="N17" s="8">
        <v>133405.94</v>
      </c>
      <c r="O17" s="8">
        <v>137880.53</v>
      </c>
      <c r="P17" s="8">
        <v>136838.66</v>
      </c>
      <c r="Q17" s="8"/>
      <c r="R17" s="8"/>
    </row>
    <row r="18" spans="2:20" x14ac:dyDescent="0.25">
      <c r="B18" t="s">
        <v>63</v>
      </c>
      <c r="E18" s="8">
        <v>18389.364269999998</v>
      </c>
      <c r="F18" s="8">
        <v>15280.35968</v>
      </c>
      <c r="G18" s="8">
        <v>16243.93296</v>
      </c>
      <c r="H18" s="8">
        <v>16938.976149999999</v>
      </c>
      <c r="I18" s="8">
        <v>18080.66374</v>
      </c>
      <c r="J18" s="8">
        <v>20542.842499999999</v>
      </c>
      <c r="K18" s="8">
        <v>19456.753379999998</v>
      </c>
      <c r="L18" s="8">
        <v>22409.36248</v>
      </c>
      <c r="M18" s="8">
        <v>15075.114</v>
      </c>
      <c r="N18" s="8">
        <v>17256.456999999999</v>
      </c>
      <c r="O18" s="8">
        <v>17556.89</v>
      </c>
      <c r="P18" s="8">
        <v>19956.453000000001</v>
      </c>
      <c r="Q18" s="8"/>
      <c r="R18" s="8"/>
    </row>
    <row r="19" spans="2:20" x14ac:dyDescent="0.25">
      <c r="B19" t="s">
        <v>706</v>
      </c>
      <c r="E19" s="8">
        <v>10609.6578077674</v>
      </c>
      <c r="F19" s="8">
        <v>11139.6509070396</v>
      </c>
      <c r="G19" s="8">
        <v>12561.9986522198</v>
      </c>
      <c r="H19" s="8">
        <v>11119.5474705696</v>
      </c>
      <c r="I19" s="8">
        <v>10192.2116933465</v>
      </c>
      <c r="J19" s="8">
        <v>10729.0918045044</v>
      </c>
      <c r="K19" s="8">
        <v>10856.3781483769</v>
      </c>
      <c r="L19" s="8">
        <v>10590.827415466299</v>
      </c>
      <c r="M19" s="8">
        <v>7591.4449999999997</v>
      </c>
      <c r="N19" s="8">
        <v>7868.9937</v>
      </c>
      <c r="O19" s="8">
        <v>8641.9320000000007</v>
      </c>
      <c r="P19" s="8">
        <v>6297.3247000000001</v>
      </c>
      <c r="Q19" s="8"/>
      <c r="R19" s="8"/>
    </row>
    <row r="20" spans="2:20" x14ac:dyDescent="0.25">
      <c r="B20" t="s">
        <v>707</v>
      </c>
      <c r="E20" s="8">
        <v>7779.7064600000003</v>
      </c>
      <c r="F20" s="8">
        <v>4140.7087700000002</v>
      </c>
      <c r="G20" s="8">
        <v>3681.9343100000001</v>
      </c>
      <c r="H20" s="8">
        <v>5819.42868</v>
      </c>
      <c r="I20" s="8">
        <v>7888.4520499999999</v>
      </c>
      <c r="J20" s="8">
        <v>9813.7507000000005</v>
      </c>
      <c r="K20" s="8">
        <v>8600.3752299999996</v>
      </c>
      <c r="L20" s="8">
        <v>11818.53506</v>
      </c>
      <c r="M20" s="8">
        <v>10889.222</v>
      </c>
      <c r="N20" s="8">
        <v>11581.482</v>
      </c>
      <c r="O20" s="8">
        <v>12457.239</v>
      </c>
      <c r="P20" s="8">
        <v>13364.911</v>
      </c>
      <c r="Q20" s="8"/>
      <c r="R20" s="8"/>
    </row>
    <row r="21" spans="2:20" x14ac:dyDescent="0.25">
      <c r="B21" t="s">
        <v>708</v>
      </c>
      <c r="E21" s="8">
        <v>10224.883721649599</v>
      </c>
      <c r="F21" s="8">
        <v>401.78013467788702</v>
      </c>
      <c r="G21" s="8">
        <v>687.06806284189202</v>
      </c>
      <c r="H21" s="8">
        <v>1556.1752297878299</v>
      </c>
      <c r="I21" s="8">
        <v>2344.3694365620599</v>
      </c>
      <c r="J21" s="8">
        <v>1797.37978172302</v>
      </c>
      <c r="K21" s="8">
        <v>520.75836223363899</v>
      </c>
      <c r="L21" s="8">
        <v>2362.9674296379098</v>
      </c>
      <c r="M21" s="8">
        <v>1887.5278000000001</v>
      </c>
      <c r="N21" s="8">
        <v>2145.6030000000001</v>
      </c>
      <c r="O21" s="8">
        <v>2373.3323</v>
      </c>
      <c r="P21" s="8">
        <v>2020.0358000000001</v>
      </c>
      <c r="Q21" s="8"/>
      <c r="R21" s="8"/>
    </row>
    <row r="22" spans="2:20" x14ac:dyDescent="0.25">
      <c r="B22" t="s">
        <v>500</v>
      </c>
      <c r="E22" s="8">
        <v>308.52852988243097</v>
      </c>
      <c r="F22" s="8">
        <v>6852.3008623123196</v>
      </c>
      <c r="G22" s="8">
        <v>6014.7492835521698</v>
      </c>
      <c r="H22" s="8">
        <v>5637.84566056728</v>
      </c>
      <c r="I22" s="8">
        <v>8476.4479916691798</v>
      </c>
      <c r="J22" s="8">
        <v>9452.1814460754395</v>
      </c>
      <c r="K22" s="8">
        <v>9367.1757270693797</v>
      </c>
      <c r="L22" s="8">
        <v>5554.2677297592199</v>
      </c>
      <c r="M22" s="8">
        <v>8722.8729999999996</v>
      </c>
      <c r="N22" s="8">
        <v>9215.48</v>
      </c>
      <c r="O22" s="8">
        <v>9843.1790000000001</v>
      </c>
      <c r="P22" s="8">
        <v>11031.130999999999</v>
      </c>
      <c r="Q22" s="8"/>
      <c r="R22" s="8"/>
    </row>
    <row r="23" spans="2:20" x14ac:dyDescent="0.25">
      <c r="E23" s="8"/>
      <c r="F23" s="8"/>
      <c r="G23" s="8"/>
      <c r="H23" s="8"/>
      <c r="I23" s="8"/>
      <c r="J23" s="8"/>
      <c r="K23" s="8"/>
      <c r="L23" s="8"/>
      <c r="M23" s="8"/>
      <c r="N23" s="8"/>
      <c r="O23" s="8"/>
      <c r="P23" s="8"/>
      <c r="Q23" s="8"/>
      <c r="R23" s="8"/>
    </row>
    <row r="24" spans="2:20" x14ac:dyDescent="0.25">
      <c r="B24" t="s">
        <v>709</v>
      </c>
      <c r="E24" s="8">
        <v>-9136.1681000000008</v>
      </c>
      <c r="F24" s="8">
        <v>-8680.6547699999992</v>
      </c>
      <c r="G24" s="8">
        <v>-8018.77225</v>
      </c>
      <c r="H24" s="8">
        <v>-3388.6724399999998</v>
      </c>
      <c r="I24" s="8">
        <v>-5857.1164200000003</v>
      </c>
      <c r="J24" s="8">
        <v>-4894.50587</v>
      </c>
      <c r="K24" s="8">
        <v>-3403.8912500000001</v>
      </c>
      <c r="L24" s="8">
        <v>-5528.3823300000004</v>
      </c>
      <c r="M24" s="8">
        <v>8010.5050000000001</v>
      </c>
      <c r="N24" s="8">
        <v>8761.3259999999991</v>
      </c>
      <c r="O24" s="8">
        <v>9293.2810000000009</v>
      </c>
      <c r="P24" s="8">
        <v>9702.0609999999997</v>
      </c>
      <c r="Q24" s="8"/>
      <c r="R24" s="8">
        <v>647.81255999999996</v>
      </c>
    </row>
    <row r="25" spans="2:20" x14ac:dyDescent="0.25">
      <c r="E25" s="8"/>
      <c r="F25" s="8"/>
      <c r="G25" s="8"/>
      <c r="H25" s="8"/>
      <c r="I25" s="8"/>
      <c r="J25" s="8"/>
      <c r="K25" s="8"/>
      <c r="L25" s="8"/>
      <c r="M25" s="8"/>
      <c r="N25" s="8"/>
      <c r="O25" s="8"/>
      <c r="P25" s="8"/>
      <c r="Q25" s="8"/>
      <c r="R25" s="8"/>
    </row>
    <row r="26" spans="2:20" x14ac:dyDescent="0.25">
      <c r="B26" t="s">
        <v>710</v>
      </c>
      <c r="E26" s="8">
        <v>21294.137443900101</v>
      </c>
      <c r="F26" s="8">
        <v>25274.897967517401</v>
      </c>
      <c r="G26" s="8">
        <v>23692.650528252099</v>
      </c>
      <c r="H26" s="8">
        <v>25842.017151296099</v>
      </c>
      <c r="I26" s="8">
        <v>27797.221613645601</v>
      </c>
      <c r="J26" s="8">
        <v>31538.0649171472</v>
      </c>
      <c r="K26" s="8">
        <v>26316.028525829301</v>
      </c>
      <c r="L26" s="8">
        <v>28725.252690017202</v>
      </c>
      <c r="M26" s="15"/>
      <c r="N26" s="16"/>
      <c r="O26" s="16"/>
      <c r="P26" s="17"/>
      <c r="Q26" s="8"/>
      <c r="R26" s="8">
        <v>27699.5750459433</v>
      </c>
    </row>
    <row r="27" spans="2:20" x14ac:dyDescent="0.25">
      <c r="B27" t="s">
        <v>430</v>
      </c>
      <c r="E27" s="8">
        <v>78463.525061666995</v>
      </c>
      <c r="F27" s="8">
        <v>91808.597812235399</v>
      </c>
      <c r="G27" s="8">
        <v>93160.802545249506</v>
      </c>
      <c r="H27" s="8">
        <v>90778.472723007202</v>
      </c>
      <c r="I27" s="8">
        <v>97252.023800611496</v>
      </c>
      <c r="J27" s="8">
        <v>108609.04122942701</v>
      </c>
      <c r="K27" s="8">
        <v>111267.82587432901</v>
      </c>
      <c r="L27" s="8">
        <v>126457.74631029399</v>
      </c>
      <c r="M27" s="18"/>
      <c r="N27" s="19"/>
      <c r="O27" s="19"/>
      <c r="P27" s="20"/>
      <c r="Q27" s="8"/>
      <c r="R27" s="8">
        <v>112768.51299083199</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933</v>
      </c>
    </row>
    <row r="30" spans="2:20" ht="13" x14ac:dyDescent="0.3">
      <c r="B30" s="31" t="s">
        <v>712</v>
      </c>
      <c r="E30" s="23"/>
      <c r="F30" s="24"/>
      <c r="G30" s="24"/>
      <c r="H30" s="24"/>
      <c r="I30" s="24"/>
      <c r="J30" s="24"/>
      <c r="K30" s="24"/>
      <c r="L30" s="24"/>
      <c r="M30" s="25"/>
      <c r="N30" s="25"/>
      <c r="O30" s="25"/>
      <c r="P30" s="26"/>
      <c r="Q30" s="8"/>
      <c r="R30" s="30">
        <v>4.4367084459139602E-2</v>
      </c>
      <c r="T30" s="3"/>
    </row>
    <row r="31" spans="2:20" ht="13" x14ac:dyDescent="0.3">
      <c r="B31" s="31" t="s">
        <v>713</v>
      </c>
      <c r="E31" s="27"/>
      <c r="F31" s="28"/>
      <c r="G31" s="28"/>
      <c r="H31" s="28"/>
      <c r="I31" s="28"/>
      <c r="J31" s="28"/>
      <c r="K31" s="28"/>
      <c r="L31" s="28"/>
      <c r="M31" s="19"/>
      <c r="N31" s="19"/>
      <c r="O31" s="19"/>
      <c r="P31" s="20"/>
      <c r="Q31" s="8"/>
      <c r="R31" s="30">
        <v>1.8743231269075501E-2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7FD5-149C-4497-9C56-208EAFB36485}">
  <dimension ref="A2:X37"/>
  <sheetViews>
    <sheetView showGridLines="0" zoomScale="115" zoomScaleNormal="115" workbookViewId="0">
      <selection activeCell="B32" sqref="B32"/>
    </sheetView>
  </sheetViews>
  <sheetFormatPr defaultColWidth="8.81640625" defaultRowHeight="12.5" x14ac:dyDescent="0.25"/>
  <cols>
    <col min="1" max="1" width="2.7265625" customWidth="1"/>
    <col min="2" max="2" width="18.26953125" customWidth="1"/>
    <col min="3" max="3" width="13.26953125" customWidth="1"/>
    <col min="4" max="4" width="6.7265625" customWidth="1"/>
    <col min="5" max="16" width="10.26953125" customWidth="1"/>
    <col min="17" max="17" width="2.26953125" customWidth="1"/>
    <col min="18" max="18" width="10.26953125" customWidth="1"/>
  </cols>
  <sheetData>
    <row r="2" spans="1:20" ht="13" x14ac:dyDescent="0.3">
      <c r="A2" t="s">
        <v>22</v>
      </c>
      <c r="B2" s="4" t="s">
        <v>687</v>
      </c>
      <c r="C2" s="4"/>
      <c r="D2" s="4"/>
      <c r="E2" s="4"/>
      <c r="F2" s="4"/>
      <c r="G2" s="4"/>
      <c r="H2" s="4"/>
      <c r="I2" s="4"/>
      <c r="K2" s="2"/>
      <c r="L2" s="2"/>
      <c r="M2" s="2"/>
      <c r="N2" s="2"/>
      <c r="O2" s="2"/>
      <c r="P2" s="2"/>
      <c r="Q2" s="2"/>
      <c r="R2" s="2"/>
      <c r="S2" s="2"/>
      <c r="T2" s="2"/>
    </row>
    <row r="4" spans="1:20" ht="13" x14ac:dyDescent="0.3">
      <c r="B4" s="11" t="s">
        <v>688</v>
      </c>
      <c r="C4" s="11"/>
      <c r="E4" s="11" t="s">
        <v>689</v>
      </c>
      <c r="F4" s="11"/>
      <c r="G4" s="11"/>
      <c r="H4" s="11"/>
      <c r="I4" s="11"/>
    </row>
    <row r="5" spans="1:20" x14ac:dyDescent="0.25">
      <c r="B5" t="s">
        <v>690</v>
      </c>
      <c r="C5" s="14" t="s">
        <v>438</v>
      </c>
      <c r="E5" t="s">
        <v>691</v>
      </c>
      <c r="F5" s="12" t="s">
        <v>715</v>
      </c>
      <c r="H5" t="s">
        <v>692</v>
      </c>
      <c r="I5" s="13">
        <v>3</v>
      </c>
    </row>
    <row r="6" spans="1:20" x14ac:dyDescent="0.25">
      <c r="B6" t="s">
        <v>693</v>
      </c>
      <c r="C6" s="14" t="s">
        <v>726</v>
      </c>
      <c r="E6" t="s">
        <v>695</v>
      </c>
      <c r="F6" s="13" t="s">
        <v>696</v>
      </c>
      <c r="H6" t="s">
        <v>695</v>
      </c>
      <c r="I6" s="13" t="s">
        <v>718</v>
      </c>
    </row>
    <row r="7" spans="1:20" x14ac:dyDescent="0.25">
      <c r="B7" t="s">
        <v>697</v>
      </c>
      <c r="C7" s="14">
        <v>-7</v>
      </c>
    </row>
    <row r="8" spans="1:20" x14ac:dyDescent="0.25">
      <c r="B8" t="s">
        <v>698</v>
      </c>
      <c r="C8" s="14">
        <v>0</v>
      </c>
      <c r="E8" t="s">
        <v>418</v>
      </c>
      <c r="F8" s="48">
        <v>45962</v>
      </c>
    </row>
    <row r="9" spans="1:20" x14ac:dyDescent="0.25">
      <c r="B9" t="s">
        <v>699</v>
      </c>
      <c r="C9" s="14" t="s">
        <v>700</v>
      </c>
      <c r="E9" t="s">
        <v>701</v>
      </c>
      <c r="F9" s="214">
        <v>11.375845</v>
      </c>
    </row>
    <row r="10" spans="1:20" x14ac:dyDescent="0.25">
      <c r="B10" t="s">
        <v>456</v>
      </c>
      <c r="C10" s="14" t="s">
        <v>457</v>
      </c>
    </row>
    <row r="13" spans="1:20" ht="13" x14ac:dyDescent="0.3">
      <c r="A13" t="s">
        <v>22</v>
      </c>
      <c r="B13" s="4" t="s">
        <v>702</v>
      </c>
      <c r="C13" s="4"/>
      <c r="D13" s="4"/>
      <c r="E13" s="4"/>
      <c r="F13" s="4"/>
      <c r="G13" s="4"/>
      <c r="H13" s="4"/>
      <c r="I13" s="4"/>
      <c r="J13" s="4"/>
      <c r="K13" s="4"/>
      <c r="L13" s="4"/>
      <c r="M13" s="4"/>
      <c r="N13" s="4"/>
      <c r="O13" s="4"/>
      <c r="P13" s="4"/>
      <c r="Q13" s="4"/>
      <c r="R13" s="4"/>
    </row>
    <row r="14" spans="1:20" ht="13" x14ac:dyDescent="0.3">
      <c r="B14" s="1" t="s">
        <v>703</v>
      </c>
    </row>
    <row r="15" spans="1:20" ht="13" x14ac:dyDescent="0.3">
      <c r="B15" s="5"/>
      <c r="C15" s="5"/>
      <c r="D15" s="5"/>
      <c r="E15" s="6">
        <v>2017</v>
      </c>
      <c r="F15" s="6">
        <v>2018</v>
      </c>
      <c r="G15" s="6">
        <v>2019</v>
      </c>
      <c r="H15" s="6">
        <v>2020</v>
      </c>
      <c r="I15" s="6">
        <v>2021</v>
      </c>
      <c r="J15" s="6">
        <v>2022</v>
      </c>
      <c r="K15" s="6">
        <v>2023</v>
      </c>
      <c r="L15" s="6" t="s">
        <v>715</v>
      </c>
      <c r="M15" s="7">
        <v>2025</v>
      </c>
      <c r="N15" s="7">
        <v>2026</v>
      </c>
      <c r="O15" s="7">
        <v>2027</v>
      </c>
      <c r="P15" s="7">
        <v>2028</v>
      </c>
      <c r="R15" s="10" t="s">
        <v>704</v>
      </c>
    </row>
    <row r="16" spans="1:20" x14ac:dyDescent="0.25">
      <c r="B16" t="s">
        <v>499</v>
      </c>
      <c r="E16" s="8">
        <v>138993.875864506</v>
      </c>
      <c r="F16" s="9">
        <v>135908.487835407</v>
      </c>
      <c r="G16" s="9">
        <v>139289.871257544</v>
      </c>
      <c r="H16" s="9">
        <v>111532.32436084699</v>
      </c>
      <c r="I16" s="9">
        <v>115349.575370014</v>
      </c>
      <c r="J16" s="9">
        <v>150390.92438316299</v>
      </c>
      <c r="K16" s="9">
        <v>162971.46820658399</v>
      </c>
      <c r="L16" s="9">
        <v>171021.154438019</v>
      </c>
      <c r="M16" s="9">
        <v>157610.4</v>
      </c>
      <c r="N16" s="9">
        <v>160697.72</v>
      </c>
      <c r="O16" s="9">
        <v>166121.98000000001</v>
      </c>
      <c r="P16" s="9">
        <v>172878.31</v>
      </c>
      <c r="Q16" s="8"/>
      <c r="R16" s="8"/>
    </row>
    <row r="17" spans="2:20" x14ac:dyDescent="0.25">
      <c r="B17" t="s">
        <v>705</v>
      </c>
      <c r="E17" s="8">
        <v>117758.60187673599</v>
      </c>
      <c r="F17" s="8">
        <v>116619.650821209</v>
      </c>
      <c r="G17" s="8">
        <v>122215.917186141</v>
      </c>
      <c r="H17" s="8">
        <v>100377.688384533</v>
      </c>
      <c r="I17" s="8">
        <v>94581.051036298304</v>
      </c>
      <c r="J17" s="8">
        <v>126511.178283691</v>
      </c>
      <c r="K17" s="8">
        <v>140485.436615288</v>
      </c>
      <c r="L17" s="8">
        <v>149383.73163259</v>
      </c>
      <c r="M17" s="8">
        <v>136034.64000000001</v>
      </c>
      <c r="N17" s="8">
        <v>129520.28</v>
      </c>
      <c r="O17" s="8">
        <v>127938.17</v>
      </c>
      <c r="P17" s="8">
        <v>141145.76999999999</v>
      </c>
      <c r="Q17" s="8"/>
      <c r="R17" s="8"/>
    </row>
    <row r="18" spans="2:20" x14ac:dyDescent="0.25">
      <c r="B18" t="s">
        <v>63</v>
      </c>
      <c r="E18" s="8">
        <v>11417.32876</v>
      </c>
      <c r="F18" s="8">
        <v>9714.7724099999996</v>
      </c>
      <c r="G18" s="8">
        <v>8075.9534700000004</v>
      </c>
      <c r="H18" s="8">
        <v>2526.3724099999999</v>
      </c>
      <c r="I18" s="8">
        <v>9300.4883499999996</v>
      </c>
      <c r="J18" s="8">
        <v>12276.2276</v>
      </c>
      <c r="K18" s="8">
        <v>11008.0733</v>
      </c>
      <c r="L18" s="8">
        <v>10134.134959999999</v>
      </c>
      <c r="M18" s="8">
        <v>10222.398999999999</v>
      </c>
      <c r="N18" s="8">
        <v>10873.805</v>
      </c>
      <c r="O18" s="8">
        <v>11867.49</v>
      </c>
      <c r="P18" s="8">
        <v>14546.647999999999</v>
      </c>
      <c r="Q18" s="8"/>
      <c r="R18" s="8"/>
    </row>
    <row r="19" spans="2:20" x14ac:dyDescent="0.25">
      <c r="B19" t="s">
        <v>706</v>
      </c>
      <c r="E19" s="8">
        <v>7494.2289169430696</v>
      </c>
      <c r="F19" s="8">
        <v>7042.1716432571402</v>
      </c>
      <c r="G19" s="8">
        <v>7585.44584333897</v>
      </c>
      <c r="H19" s="8">
        <v>6541.3746834993399</v>
      </c>
      <c r="I19" s="8">
        <v>5042.3824763297998</v>
      </c>
      <c r="J19" s="8">
        <v>6178.0767192840603</v>
      </c>
      <c r="K19" s="8">
        <v>6033.5822324156798</v>
      </c>
      <c r="L19" s="8">
        <v>5423.9162400960904</v>
      </c>
      <c r="M19" s="8">
        <v>5692.1815999999999</v>
      </c>
      <c r="N19" s="8">
        <v>6024.0259999999998</v>
      </c>
      <c r="O19" s="8">
        <v>6303.1790000000001</v>
      </c>
      <c r="P19" s="8">
        <v>4770.3720000000003</v>
      </c>
      <c r="Q19" s="8"/>
      <c r="R19" s="8"/>
    </row>
    <row r="20" spans="2:20" x14ac:dyDescent="0.25">
      <c r="B20" t="s">
        <v>707</v>
      </c>
      <c r="E20" s="8">
        <v>3923.0998399999999</v>
      </c>
      <c r="F20" s="8">
        <v>2672.60077</v>
      </c>
      <c r="G20" s="8">
        <v>490.50763000000001</v>
      </c>
      <c r="H20" s="8">
        <v>-4015.00227</v>
      </c>
      <c r="I20" s="8">
        <v>4258.1058700000003</v>
      </c>
      <c r="J20" s="8">
        <v>6098.1508800000001</v>
      </c>
      <c r="K20" s="8">
        <v>4974.49107</v>
      </c>
      <c r="L20" s="8">
        <v>4710.2187199999998</v>
      </c>
      <c r="M20" s="8">
        <v>5600.7449999999999</v>
      </c>
      <c r="N20" s="8">
        <v>7469.6469999999999</v>
      </c>
      <c r="O20" s="8">
        <v>8475.1149999999998</v>
      </c>
      <c r="P20" s="8">
        <v>8912.0625</v>
      </c>
      <c r="Q20" s="8"/>
      <c r="R20" s="8"/>
    </row>
    <row r="21" spans="2:20" x14ac:dyDescent="0.25">
      <c r="B21" t="s">
        <v>708</v>
      </c>
      <c r="E21" s="8">
        <v>356.40364658832601</v>
      </c>
      <c r="F21" s="8">
        <v>550.96431970596302</v>
      </c>
      <c r="G21" s="8">
        <v>-646.86251950264</v>
      </c>
      <c r="H21" s="8">
        <v>140.35402297973599</v>
      </c>
      <c r="I21" s="8">
        <v>-109.984852671623</v>
      </c>
      <c r="J21" s="8">
        <v>-822.09429931640602</v>
      </c>
      <c r="K21" s="8">
        <v>-334.83930218219803</v>
      </c>
      <c r="L21" s="8">
        <v>1237.87691247463</v>
      </c>
      <c r="M21" s="8">
        <v>820.67750000000001</v>
      </c>
      <c r="N21" s="8">
        <v>1295.2449999999999</v>
      </c>
      <c r="O21" s="8">
        <v>1326.4688000000001</v>
      </c>
      <c r="P21" s="8">
        <v>1395.5507</v>
      </c>
      <c r="Q21" s="8"/>
      <c r="R21" s="8"/>
    </row>
    <row r="22" spans="2:20" x14ac:dyDescent="0.25">
      <c r="B22" t="s">
        <v>500</v>
      </c>
      <c r="E22" s="8">
        <v>6854.1208750605601</v>
      </c>
      <c r="F22" s="8">
        <v>3116.76277470589</v>
      </c>
      <c r="G22" s="8">
        <v>41.992456376552603</v>
      </c>
      <c r="H22" s="8">
        <v>-1121.95497119427</v>
      </c>
      <c r="I22" s="8">
        <v>15175.3715566993</v>
      </c>
      <c r="J22" s="8">
        <v>-1884.91760063171</v>
      </c>
      <c r="K22" s="8">
        <v>4020.8465375304199</v>
      </c>
      <c r="L22" s="8">
        <v>5435.0099838972101</v>
      </c>
      <c r="M22" s="8">
        <v>3627.7937000000002</v>
      </c>
      <c r="N22" s="8">
        <v>5049.9395000000004</v>
      </c>
      <c r="O22" s="8">
        <v>5677.4589999999998</v>
      </c>
      <c r="P22" s="8">
        <v>6284.2839999999997</v>
      </c>
      <c r="Q22" s="8"/>
      <c r="R22" s="8"/>
    </row>
    <row r="23" spans="2:20" x14ac:dyDescent="0.25">
      <c r="E23" s="8"/>
      <c r="F23" s="8"/>
      <c r="G23" s="8"/>
      <c r="H23" s="8"/>
      <c r="I23" s="8"/>
      <c r="J23" s="8"/>
      <c r="K23" s="8"/>
      <c r="L23" s="8"/>
      <c r="M23" s="8"/>
      <c r="N23" s="8"/>
      <c r="O23" s="8"/>
      <c r="P23" s="8"/>
      <c r="Q23" s="8"/>
      <c r="R23" s="8"/>
    </row>
    <row r="24" spans="2:20" x14ac:dyDescent="0.25">
      <c r="B24" t="s">
        <v>709</v>
      </c>
      <c r="E24" s="8">
        <v>9794.0076700000009</v>
      </c>
      <c r="F24" s="8">
        <v>6134.3519699999997</v>
      </c>
      <c r="G24" s="8">
        <v>8940.8193800000008</v>
      </c>
      <c r="H24" s="8">
        <v>16252.11865</v>
      </c>
      <c r="I24" s="8">
        <v>8088.1168600000001</v>
      </c>
      <c r="J24" s="8">
        <v>-12.36947</v>
      </c>
      <c r="K24" s="8">
        <v>6180.6525300000003</v>
      </c>
      <c r="L24" s="8">
        <v>6230.0616200000004</v>
      </c>
      <c r="M24" s="8">
        <v>2002.9093</v>
      </c>
      <c r="N24" s="8">
        <v>2397.3325</v>
      </c>
      <c r="O24" s="8">
        <v>2408.2559000000001</v>
      </c>
      <c r="P24" s="8">
        <v>2749.2968999999998</v>
      </c>
      <c r="Q24" s="8"/>
      <c r="R24" s="8">
        <v>4004.9706500000002</v>
      </c>
    </row>
    <row r="25" spans="2:20" x14ac:dyDescent="0.25">
      <c r="E25" s="8"/>
      <c r="F25" s="8"/>
      <c r="G25" s="8"/>
      <c r="H25" s="8"/>
      <c r="I25" s="8"/>
      <c r="J25" s="8"/>
      <c r="K25" s="8"/>
      <c r="L25" s="8"/>
      <c r="M25" s="8"/>
      <c r="N25" s="8"/>
      <c r="O25" s="8"/>
      <c r="P25" s="8"/>
      <c r="Q25" s="8"/>
      <c r="R25" s="8"/>
    </row>
    <row r="26" spans="2:20" x14ac:dyDescent="0.25">
      <c r="B26" t="s">
        <v>710</v>
      </c>
      <c r="E26" s="8">
        <v>32417.5552709699</v>
      </c>
      <c r="F26" s="8">
        <v>29699.514100134402</v>
      </c>
      <c r="G26" s="8">
        <v>30869.488003552</v>
      </c>
      <c r="H26" s="8">
        <v>40832.822634994998</v>
      </c>
      <c r="I26" s="8">
        <v>43609.743807077401</v>
      </c>
      <c r="J26" s="8">
        <v>41293.042600750901</v>
      </c>
      <c r="K26" s="8">
        <v>36365.365734815598</v>
      </c>
      <c r="L26" s="8">
        <v>37033.316192865401</v>
      </c>
      <c r="M26" s="15"/>
      <c r="N26" s="16"/>
      <c r="O26" s="16"/>
      <c r="P26" s="17"/>
      <c r="Q26" s="8"/>
      <c r="R26" s="8">
        <v>35904.681600093798</v>
      </c>
    </row>
    <row r="27" spans="2:20" x14ac:dyDescent="0.25">
      <c r="B27" t="s">
        <v>430</v>
      </c>
      <c r="E27" s="8">
        <v>128486.843324482</v>
      </c>
      <c r="F27" s="8">
        <v>134901.80459851</v>
      </c>
      <c r="G27" s="8">
        <v>139617.818516195</v>
      </c>
      <c r="H27" s="8">
        <v>133217.277953982</v>
      </c>
      <c r="I27" s="8">
        <v>122656.52642369299</v>
      </c>
      <c r="J27" s="8">
        <v>131622.39315402499</v>
      </c>
      <c r="K27" s="8">
        <v>136791.748278379</v>
      </c>
      <c r="L27" s="8">
        <v>155347.170893312</v>
      </c>
      <c r="M27" s="18"/>
      <c r="N27" s="19"/>
      <c r="O27" s="19"/>
      <c r="P27" s="20"/>
      <c r="Q27" s="8"/>
      <c r="R27" s="8">
        <v>139899.57738661801</v>
      </c>
    </row>
    <row r="28" spans="2:20" x14ac:dyDescent="0.25">
      <c r="E28" s="8"/>
      <c r="F28" s="8"/>
      <c r="G28" s="8"/>
      <c r="H28" s="8"/>
      <c r="I28" s="8"/>
      <c r="J28" s="8"/>
      <c r="K28" s="8"/>
      <c r="L28" s="8"/>
      <c r="Q28" s="8"/>
      <c r="R28" s="8"/>
    </row>
    <row r="29" spans="2:20" x14ac:dyDescent="0.25">
      <c r="B29" t="s">
        <v>711</v>
      </c>
      <c r="E29" s="21"/>
      <c r="F29" s="22"/>
      <c r="G29" s="22"/>
      <c r="H29" s="22"/>
      <c r="I29" s="22"/>
      <c r="J29" s="22"/>
      <c r="K29" s="22"/>
      <c r="L29" s="22"/>
      <c r="M29" s="16"/>
      <c r="N29" s="16"/>
      <c r="O29" s="16"/>
      <c r="P29" s="17"/>
      <c r="Q29" s="8"/>
      <c r="R29" s="8">
        <v>4203</v>
      </c>
    </row>
    <row r="30" spans="2:20" ht="13" x14ac:dyDescent="0.3">
      <c r="B30" s="31" t="s">
        <v>712</v>
      </c>
      <c r="E30" s="23"/>
      <c r="F30" s="24"/>
      <c r="G30" s="24"/>
      <c r="H30" s="24"/>
      <c r="I30" s="24"/>
      <c r="J30" s="24"/>
      <c r="K30" s="24"/>
      <c r="L30" s="24"/>
      <c r="M30" s="25"/>
      <c r="N30" s="25"/>
      <c r="O30" s="25"/>
      <c r="P30" s="26"/>
      <c r="Q30" s="8"/>
      <c r="R30" s="30">
        <v>0.10263120590576501</v>
      </c>
      <c r="T30" s="3"/>
    </row>
    <row r="31" spans="2:20" ht="13" x14ac:dyDescent="0.3">
      <c r="B31" s="31" t="s">
        <v>713</v>
      </c>
      <c r="E31" s="27"/>
      <c r="F31" s="28"/>
      <c r="G31" s="28"/>
      <c r="H31" s="28"/>
      <c r="I31" s="28"/>
      <c r="J31" s="28"/>
      <c r="K31" s="28"/>
      <c r="L31" s="28"/>
      <c r="M31" s="19"/>
      <c r="N31" s="19"/>
      <c r="O31" s="19"/>
      <c r="P31" s="20"/>
      <c r="Q31" s="8"/>
      <c r="R31" s="30">
        <v>3.1048975040741097E-2</v>
      </c>
    </row>
    <row r="33" spans="2:24" ht="13" x14ac:dyDescent="0.3">
      <c r="B33" s="1" t="s">
        <v>714</v>
      </c>
    </row>
    <row r="36" spans="2:24" x14ac:dyDescent="0.25">
      <c r="X36" s="3"/>
    </row>
    <row r="37" spans="2:24" ht="12.75" customHeight="1" x14ac:dyDescent="0.25">
      <c r="N37" s="29"/>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4065892"><![CDATA[{"F-US^FG_PRICE(45962,,,EUR)":11.375845,"GM-US^FG_PRICE(45962,,,EUR)":59.85964,"7267-JP^FG_PRICE(45962,,,EUR)":8.7733965,"7203-JP^FG_PRICE(45962,,,EUR)":17.648024,"MBG-DE^FG_PRICE(45962,,,EUR)":56.21,"BMW-DE^FG_PRICE(45962,,,EUR)":80.72,"VOW-DE^FG_PRICE(45962,,,EUR)":91.35,"7201-JP^FG_PRICE(45962,,,EUR)":1.9880741,"STLAM-IT^FG_PRICE(45962,,,EUR)":8.778}]]></FdsFormulaCache>
</file>

<file path=customXml/itemProps1.xml><?xml version="1.0" encoding="utf-8"?>
<ds:datastoreItem xmlns:ds="http://schemas.openxmlformats.org/officeDocument/2006/customXml" ds:itemID="{62506CA8-ED64-42B2-86B1-AB74594A4013}">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Cover</vt:lpstr>
      <vt:lpstr>Assignment Manager</vt:lpstr>
      <vt:lpstr>Main Financials</vt:lpstr>
      <vt:lpstr>WACC</vt:lpstr>
      <vt:lpstr>Beta</vt:lpstr>
      <vt:lpstr>CCA</vt:lpstr>
      <vt:lpstr>Valuation</vt:lpstr>
      <vt:lpstr>Macro</vt:lpstr>
      <vt:lpstr>Ratio's</vt:lpstr>
      <vt:lpstr>Peer Group&gt;&gt;&gt;</vt:lpstr>
      <vt:lpstr>Stellantis</vt:lpstr>
      <vt:lpstr>Nissan</vt:lpstr>
      <vt:lpstr>Volkswagen</vt:lpstr>
      <vt:lpstr>BMW</vt:lpstr>
      <vt:lpstr>MercedesBenz</vt:lpstr>
      <vt:lpstr>Toyota</vt:lpstr>
      <vt:lpstr>Honda</vt:lpstr>
      <vt:lpstr>GeneralMotors</vt:lpstr>
      <vt:lpstr>Ford</vt:lpstr>
      <vt:lpstr>Cash_to_sales_ratio</vt:lpstr>
      <vt:lpstr>cs_fd_outstanding</vt:lpstr>
      <vt:lpstr>TGR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Theodor Hogan</dc:creator>
  <cp:keywords/>
  <dc:description/>
  <cp:lastModifiedBy>Theodor Hogan</cp:lastModifiedBy>
  <cp:revision/>
  <dcterms:created xsi:type="dcterms:W3CDTF">2025-11-20T17:00:41Z</dcterms:created>
  <dcterms:modified xsi:type="dcterms:W3CDTF">2026-01-07T09:40:03Z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ies>
</file>