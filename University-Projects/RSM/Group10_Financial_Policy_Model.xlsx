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comments5.xml" ContentType="application/vnd.openxmlformats-officedocument.spreadsheetml.comments+xml"/>
  <Override PartName="/xl/threadedComments/threadedComment2.xml" ContentType="application/vnd.ms-excel.threadedcomments+xml"/>
  <Override PartName="/xl/comments6.xml" ContentType="application/vnd.openxmlformats-officedocument.spreadsheetml.comments+xml"/>
  <Override PartName="/xl/threadedComments/threadedComment3.xml" ContentType="application/vnd.ms-excel.threadedcomments+xml"/>
  <Override PartName="/xl/comments7.xml" ContentType="application/vnd.openxmlformats-officedocument.spreadsheetml.comments+xml"/>
  <Override PartName="/xl/threadedComments/threadedComment4.xml" ContentType="application/vnd.ms-excel.threadedcomments+xml"/>
  <Override PartName="/xl/comments8.xml" ContentType="application/vnd.openxmlformats-officedocument.spreadsheetml.comments+xml"/>
  <Override PartName="/xl/threadedComments/threadedComment5.xml" ContentType="application/vnd.ms-excel.threadedcomments+xml"/>
  <Override PartName="/xl/comments9.xml" ContentType="application/vnd.openxmlformats-officedocument.spreadsheetml.comments+xml"/>
  <Override PartName="/xl/threadedComments/threadedComment6.xml" ContentType="application/vnd.ms-excel.threadedcomments+xml"/>
  <Override PartName="/xl/comments10.xml" ContentType="application/vnd.openxmlformats-officedocument.spreadsheetml.comments+xml"/>
  <Override PartName="/xl/threadedComments/threadedComment7.xml" ContentType="application/vnd.ms-excel.threadedcomments+xml"/>
  <Override PartName="/xl/comments11.xml" ContentType="application/vnd.openxmlformats-officedocument.spreadsheetml.comments+xml"/>
  <Override PartName="/xl/threadedComments/threadedComment8.xml" ContentType="application/vnd.ms-excel.threadedcomments+xml"/>
  <Override PartName="/xl/comments12.xml" ContentType="application/vnd.openxmlformats-officedocument.spreadsheetml.comments+xml"/>
  <Override PartName="/xl/threadedComments/threadedComment9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iveeur-my.sharepoint.com/personal/666665rv_eur_nl/Documents/Desktop/RSM/AP CF/Shared folder/AP-CF/#Financial Policy Assigment/"/>
    </mc:Choice>
  </mc:AlternateContent>
  <xr:revisionPtr revIDLastSave="2320" documentId="1_{2723B24A-F27F-41A8-A9DC-ADEC3CA72EA8}" xr6:coauthVersionLast="47" xr6:coauthVersionMax="47" xr10:uidLastSave="{1F63F806-0DA9-4FBA-9348-CC3486B8AD6D}"/>
  <bookViews>
    <workbookView xWindow="-103" yWindow="-103" windowWidth="24892" windowHeight="14914" tabRatio="661" firstSheet="2" activeTab="2" xr2:uid="{01F1BE01-C0AF-4830-B0B9-C5FFCA6F57A4}"/>
  </bookViews>
  <sheets>
    <sheet name="__FDSCACHE__" sheetId="11" state="veryHidden" r:id="rId1"/>
    <sheet name="Assignment Manager" sheetId="20" state="hidden" r:id="rId2"/>
    <sheet name="Cover" sheetId="19" r:id="rId3"/>
    <sheet name="Recapitalization" sheetId="38" r:id="rId4"/>
    <sheet name="Peer Analysis" sheetId="36" r:id="rId5"/>
    <sheet name="Financials" sheetId="24" r:id="rId6"/>
    <sheet name="BS" sheetId="25" r:id="rId7"/>
    <sheet name="IS" sheetId="26" r:id="rId8"/>
    <sheet name="CF" sheetId="37" r:id="rId9"/>
    <sheet name="Peer Group&gt;&gt;&gt;" sheetId="10" r:id="rId10"/>
    <sheet name="Honeywell_International" sheetId="27" r:id="rId11"/>
    <sheet name="Daifuku" sheetId="28" r:id="rId12"/>
    <sheet name="Hyster_Yale" sheetId="29" r:id="rId13"/>
    <sheet name="Mitsubishi_Logisnext" sheetId="30" r:id="rId14"/>
    <sheet name="Toyota_Industries" sheetId="31" r:id="rId15"/>
    <sheet name="Symbotic" sheetId="32" r:id="rId16"/>
    <sheet name="KENGIC" sheetId="33" r:id="rId17"/>
    <sheet name="Jungheinrich" sheetId="34" r:id="rId18"/>
    <sheet name="Manitou_BF" sheetId="35" r:id="rId19"/>
  </sheets>
  <definedNames>
    <definedName name="Cash_to_sales_ratio">#REF!</definedName>
    <definedName name="cs_fd_outstanding">#REF!</definedName>
    <definedName name="MarginalTax">#REF!</definedName>
    <definedName name="TG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8" l="1"/>
  <c r="W11" i="38"/>
  <c r="X11" i="38" s="1"/>
  <c r="Y11" i="38" s="1"/>
  <c r="Z11" i="38" s="1"/>
  <c r="AA11" i="38" s="1"/>
  <c r="AB11" i="38" s="1"/>
  <c r="AC11" i="38" s="1"/>
  <c r="AD11" i="38" s="1"/>
  <c r="AE11" i="38" s="1"/>
  <c r="S255" i="36"/>
  <c r="R255" i="36"/>
  <c r="Q255" i="36"/>
  <c r="S254" i="36"/>
  <c r="R254" i="36"/>
  <c r="Q254" i="36"/>
  <c r="P111" i="36"/>
  <c r="P112" i="36"/>
  <c r="AB78" i="38"/>
  <c r="AA78" i="38"/>
  <c r="Z78" i="38"/>
  <c r="Y78" i="38"/>
  <c r="X78" i="38"/>
  <c r="W78" i="38"/>
  <c r="AE76" i="38"/>
  <c r="AD76" i="38"/>
  <c r="AC76" i="38"/>
  <c r="AB76" i="38"/>
  <c r="AA76" i="38"/>
  <c r="Z76" i="38"/>
  <c r="Y76" i="38"/>
  <c r="X76" i="38"/>
  <c r="W76" i="38"/>
  <c r="M257" i="36"/>
  <c r="K257" i="36"/>
  <c r="M247" i="36"/>
  <c r="K247" i="36"/>
  <c r="G265" i="36"/>
  <c r="H265" i="36" s="1"/>
  <c r="K254" i="36"/>
  <c r="M254" i="36"/>
  <c r="K255" i="36"/>
  <c r="M255" i="36"/>
  <c r="M253" i="36"/>
  <c r="M239" i="36"/>
  <c r="K253" i="36"/>
  <c r="K239" i="36"/>
  <c r="G252" i="36"/>
  <c r="H252" i="36" s="1"/>
  <c r="N90" i="24"/>
  <c r="E90" i="24"/>
  <c r="K232" i="36"/>
  <c r="P194" i="36" s="1"/>
  <c r="E78" i="38"/>
  <c r="R86" i="38" s="1"/>
  <c r="S86" i="38" s="1"/>
  <c r="T86" i="38" s="1"/>
  <c r="E94" i="24"/>
  <c r="E95" i="24" s="1"/>
  <c r="M20" i="38"/>
  <c r="L20" i="38"/>
  <c r="E98" i="24"/>
  <c r="S88" i="38"/>
  <c r="T88" i="38" s="1"/>
  <c r="E6" i="38"/>
  <c r="F6" i="38" s="1"/>
  <c r="G6" i="38" s="1"/>
  <c r="H6" i="38" s="1"/>
  <c r="I6" i="38" s="1"/>
  <c r="J6" i="38" s="1"/>
  <c r="K6" i="38" s="1"/>
  <c r="L6" i="38" s="1"/>
  <c r="M6" i="38" s="1"/>
  <c r="P81" i="38"/>
  <c r="R60" i="38" s="1"/>
  <c r="R31" i="38"/>
  <c r="K71" i="35"/>
  <c r="J71" i="35"/>
  <c r="I71" i="35"/>
  <c r="H71" i="35"/>
  <c r="G71" i="35"/>
  <c r="F71" i="35"/>
  <c r="E71" i="35"/>
  <c r="J68" i="35"/>
  <c r="I68" i="35"/>
  <c r="F68" i="35"/>
  <c r="E68" i="35"/>
  <c r="K67" i="35"/>
  <c r="K68" i="35" s="1"/>
  <c r="J67" i="35"/>
  <c r="I67" i="35"/>
  <c r="H67" i="35"/>
  <c r="H68" i="35" s="1"/>
  <c r="G67" i="35"/>
  <c r="G68" i="35" s="1"/>
  <c r="F67" i="35"/>
  <c r="E67" i="35"/>
  <c r="K66" i="35"/>
  <c r="J66" i="35"/>
  <c r="I66" i="35"/>
  <c r="H66" i="35"/>
  <c r="G66" i="35"/>
  <c r="F66" i="35"/>
  <c r="E66" i="35"/>
  <c r="K63" i="35"/>
  <c r="J63" i="35"/>
  <c r="I63" i="35"/>
  <c r="H63" i="35"/>
  <c r="G63" i="35"/>
  <c r="F63" i="35"/>
  <c r="E63" i="35"/>
  <c r="K62" i="35"/>
  <c r="J62" i="35"/>
  <c r="I62" i="35"/>
  <c r="H62" i="35"/>
  <c r="G62" i="35"/>
  <c r="F62" i="35"/>
  <c r="E62" i="35"/>
  <c r="K61" i="35"/>
  <c r="J61" i="35"/>
  <c r="I61" i="35"/>
  <c r="H61" i="35"/>
  <c r="G61" i="35"/>
  <c r="F61" i="35"/>
  <c r="E61" i="35"/>
  <c r="K58" i="35"/>
  <c r="J58" i="35"/>
  <c r="I58" i="35"/>
  <c r="H58" i="35"/>
  <c r="G58" i="35"/>
  <c r="F58" i="35"/>
  <c r="E58" i="35"/>
  <c r="K57" i="35"/>
  <c r="J57" i="35"/>
  <c r="I57" i="35"/>
  <c r="H57" i="35"/>
  <c r="G57" i="35"/>
  <c r="F57" i="35"/>
  <c r="E57" i="35"/>
  <c r="K56" i="35"/>
  <c r="J56" i="35"/>
  <c r="I56" i="35"/>
  <c r="H56" i="35"/>
  <c r="G56" i="35"/>
  <c r="F56" i="35"/>
  <c r="E56" i="35"/>
  <c r="K55" i="35"/>
  <c r="J55" i="35"/>
  <c r="I55" i="35"/>
  <c r="H55" i="35"/>
  <c r="G55" i="35"/>
  <c r="F55" i="35"/>
  <c r="E55" i="35"/>
  <c r="K71" i="34"/>
  <c r="J71" i="34"/>
  <c r="I71" i="34"/>
  <c r="H71" i="34"/>
  <c r="G71" i="34"/>
  <c r="F71" i="34"/>
  <c r="E71" i="34"/>
  <c r="K68" i="34"/>
  <c r="J68" i="34"/>
  <c r="I68" i="34"/>
  <c r="K67" i="34"/>
  <c r="J67" i="34"/>
  <c r="I67" i="34"/>
  <c r="H67" i="34"/>
  <c r="H68" i="34" s="1"/>
  <c r="G67" i="34"/>
  <c r="G68" i="34" s="1"/>
  <c r="F67" i="34"/>
  <c r="F68" i="34" s="1"/>
  <c r="E67" i="34"/>
  <c r="E68" i="34" s="1"/>
  <c r="K66" i="34"/>
  <c r="J66" i="34"/>
  <c r="I66" i="34"/>
  <c r="H66" i="34"/>
  <c r="G66" i="34"/>
  <c r="F66" i="34"/>
  <c r="E66" i="34"/>
  <c r="K63" i="34"/>
  <c r="J63" i="34"/>
  <c r="I63" i="34"/>
  <c r="H63" i="34"/>
  <c r="G63" i="34"/>
  <c r="F63" i="34"/>
  <c r="E63" i="34"/>
  <c r="K62" i="34"/>
  <c r="J62" i="34"/>
  <c r="I62" i="34"/>
  <c r="H62" i="34"/>
  <c r="G62" i="34"/>
  <c r="F62" i="34"/>
  <c r="E62" i="34"/>
  <c r="K61" i="34"/>
  <c r="J61" i="34"/>
  <c r="I61" i="34"/>
  <c r="H61" i="34"/>
  <c r="G61" i="34"/>
  <c r="F61" i="34"/>
  <c r="E61" i="34"/>
  <c r="K58" i="34"/>
  <c r="J58" i="34"/>
  <c r="I58" i="34"/>
  <c r="H58" i="34"/>
  <c r="G58" i="34"/>
  <c r="F58" i="34"/>
  <c r="E58" i="34"/>
  <c r="K57" i="34"/>
  <c r="J57" i="34"/>
  <c r="I57" i="34"/>
  <c r="H57" i="34"/>
  <c r="G57" i="34"/>
  <c r="F57" i="34"/>
  <c r="E57" i="34"/>
  <c r="K56" i="34"/>
  <c r="J56" i="34"/>
  <c r="I56" i="34"/>
  <c r="H56" i="34"/>
  <c r="G56" i="34"/>
  <c r="F56" i="34"/>
  <c r="E56" i="34"/>
  <c r="K55" i="34"/>
  <c r="J55" i="34"/>
  <c r="I55" i="34"/>
  <c r="H55" i="34"/>
  <c r="G55" i="34"/>
  <c r="F55" i="34"/>
  <c r="E55" i="34"/>
  <c r="K71" i="33"/>
  <c r="J71" i="33"/>
  <c r="I71" i="33"/>
  <c r="H71" i="33"/>
  <c r="G71" i="33"/>
  <c r="F71" i="33"/>
  <c r="E71" i="33"/>
  <c r="J68" i="33"/>
  <c r="I68" i="33"/>
  <c r="H68" i="33"/>
  <c r="G68" i="33"/>
  <c r="K67" i="33"/>
  <c r="K68" i="33" s="1"/>
  <c r="J67" i="33"/>
  <c r="I67" i="33"/>
  <c r="H67" i="33"/>
  <c r="G67" i="33"/>
  <c r="F67" i="33"/>
  <c r="F68" i="33" s="1"/>
  <c r="E67" i="33"/>
  <c r="E68" i="33" s="1"/>
  <c r="K66" i="33"/>
  <c r="J66" i="33"/>
  <c r="I66" i="33"/>
  <c r="H66" i="33"/>
  <c r="G66" i="33"/>
  <c r="F66" i="33"/>
  <c r="E66" i="33"/>
  <c r="K63" i="33"/>
  <c r="J63" i="33"/>
  <c r="I63" i="33"/>
  <c r="H63" i="33"/>
  <c r="G63" i="33"/>
  <c r="F63" i="33"/>
  <c r="E63" i="33"/>
  <c r="K62" i="33"/>
  <c r="J62" i="33"/>
  <c r="I62" i="33"/>
  <c r="H62" i="33"/>
  <c r="G62" i="33"/>
  <c r="F62" i="33"/>
  <c r="E62" i="33"/>
  <c r="K61" i="33"/>
  <c r="J61" i="33"/>
  <c r="I61" i="33"/>
  <c r="H61" i="33"/>
  <c r="G61" i="33"/>
  <c r="F61" i="33"/>
  <c r="E61" i="33"/>
  <c r="K58" i="33"/>
  <c r="J58" i="33"/>
  <c r="I58" i="33"/>
  <c r="H58" i="33"/>
  <c r="G58" i="33"/>
  <c r="F58" i="33"/>
  <c r="E58" i="33"/>
  <c r="K57" i="33"/>
  <c r="J57" i="33"/>
  <c r="I57" i="33"/>
  <c r="H57" i="33"/>
  <c r="G57" i="33"/>
  <c r="F57" i="33"/>
  <c r="E57" i="33"/>
  <c r="K56" i="33"/>
  <c r="J56" i="33"/>
  <c r="I56" i="33"/>
  <c r="H56" i="33"/>
  <c r="G56" i="33"/>
  <c r="F56" i="33"/>
  <c r="E56" i="33"/>
  <c r="K55" i="33"/>
  <c r="J55" i="33"/>
  <c r="I55" i="33"/>
  <c r="H55" i="33"/>
  <c r="G55" i="33"/>
  <c r="F55" i="33"/>
  <c r="E55" i="33"/>
  <c r="K71" i="32"/>
  <c r="J71" i="32"/>
  <c r="I71" i="32"/>
  <c r="H71" i="32"/>
  <c r="G71" i="32"/>
  <c r="F71" i="32"/>
  <c r="E71" i="32"/>
  <c r="K68" i="32"/>
  <c r="K67" i="32"/>
  <c r="J67" i="32"/>
  <c r="J68" i="32" s="1"/>
  <c r="I67" i="32"/>
  <c r="I68" i="32" s="1"/>
  <c r="H67" i="32"/>
  <c r="H68" i="32" s="1"/>
  <c r="G67" i="32"/>
  <c r="G68" i="32" s="1"/>
  <c r="F67" i="32"/>
  <c r="F68" i="32" s="1"/>
  <c r="E67" i="32"/>
  <c r="E68" i="32" s="1"/>
  <c r="K66" i="32"/>
  <c r="J66" i="32"/>
  <c r="I66" i="32"/>
  <c r="H66" i="32"/>
  <c r="G66" i="32"/>
  <c r="F66" i="32"/>
  <c r="E66" i="32"/>
  <c r="K63" i="32"/>
  <c r="J63" i="32"/>
  <c r="I63" i="32"/>
  <c r="H63" i="32"/>
  <c r="G63" i="32"/>
  <c r="F63" i="32"/>
  <c r="E63" i="32"/>
  <c r="K62" i="32"/>
  <c r="J62" i="32"/>
  <c r="I62" i="32"/>
  <c r="H62" i="32"/>
  <c r="G62" i="32"/>
  <c r="F62" i="32"/>
  <c r="E62" i="32"/>
  <c r="K61" i="32"/>
  <c r="J61" i="32"/>
  <c r="I61" i="32"/>
  <c r="H61" i="32"/>
  <c r="G61" i="32"/>
  <c r="F61" i="32"/>
  <c r="E61" i="32"/>
  <c r="K58" i="32"/>
  <c r="J58" i="32"/>
  <c r="I58" i="32"/>
  <c r="H58" i="32"/>
  <c r="G58" i="32"/>
  <c r="F58" i="32"/>
  <c r="E58" i="32"/>
  <c r="K57" i="32"/>
  <c r="J57" i="32"/>
  <c r="I57" i="32"/>
  <c r="H57" i="32"/>
  <c r="G57" i="32"/>
  <c r="F57" i="32"/>
  <c r="E57" i="32"/>
  <c r="K56" i="32"/>
  <c r="J56" i="32"/>
  <c r="I56" i="32"/>
  <c r="H56" i="32"/>
  <c r="G56" i="32"/>
  <c r="F56" i="32"/>
  <c r="E56" i="32"/>
  <c r="K55" i="32"/>
  <c r="J55" i="32"/>
  <c r="I55" i="32"/>
  <c r="H55" i="32"/>
  <c r="G55" i="32"/>
  <c r="F55" i="32"/>
  <c r="E55" i="32"/>
  <c r="K71" i="31"/>
  <c r="J71" i="31"/>
  <c r="I71" i="31"/>
  <c r="H71" i="31"/>
  <c r="G71" i="31"/>
  <c r="F71" i="31"/>
  <c r="E71" i="31"/>
  <c r="J68" i="31"/>
  <c r="G68" i="31"/>
  <c r="F68" i="31"/>
  <c r="E68" i="31"/>
  <c r="K67" i="31"/>
  <c r="K68" i="31" s="1"/>
  <c r="J67" i="31"/>
  <c r="I67" i="31"/>
  <c r="I68" i="31" s="1"/>
  <c r="H67" i="31"/>
  <c r="H68" i="31" s="1"/>
  <c r="G67" i="31"/>
  <c r="F67" i="31"/>
  <c r="E67" i="31"/>
  <c r="K66" i="31"/>
  <c r="J66" i="31"/>
  <c r="I66" i="31"/>
  <c r="H66" i="31"/>
  <c r="G66" i="31"/>
  <c r="F66" i="31"/>
  <c r="E66" i="31"/>
  <c r="K63" i="31"/>
  <c r="J63" i="31"/>
  <c r="I63" i="31"/>
  <c r="H63" i="31"/>
  <c r="G63" i="31"/>
  <c r="F63" i="31"/>
  <c r="E63" i="31"/>
  <c r="K62" i="31"/>
  <c r="J62" i="31"/>
  <c r="I62" i="31"/>
  <c r="H62" i="31"/>
  <c r="G62" i="31"/>
  <c r="F62" i="31"/>
  <c r="E62" i="31"/>
  <c r="K61" i="31"/>
  <c r="J61" i="31"/>
  <c r="I61" i="31"/>
  <c r="H61" i="31"/>
  <c r="G61" i="31"/>
  <c r="F61" i="31"/>
  <c r="E61" i="31"/>
  <c r="K58" i="31"/>
  <c r="J58" i="31"/>
  <c r="I58" i="31"/>
  <c r="H58" i="31"/>
  <c r="G58" i="31"/>
  <c r="F58" i="31"/>
  <c r="E58" i="31"/>
  <c r="K57" i="31"/>
  <c r="J57" i="31"/>
  <c r="I57" i="31"/>
  <c r="H57" i="31"/>
  <c r="G57" i="31"/>
  <c r="F57" i="31"/>
  <c r="E57" i="31"/>
  <c r="K56" i="31"/>
  <c r="J56" i="31"/>
  <c r="I56" i="31"/>
  <c r="H56" i="31"/>
  <c r="G56" i="31"/>
  <c r="F56" i="31"/>
  <c r="E56" i="31"/>
  <c r="K55" i="31"/>
  <c r="J55" i="31"/>
  <c r="I55" i="31"/>
  <c r="H55" i="31"/>
  <c r="G55" i="31"/>
  <c r="F55" i="31"/>
  <c r="E55" i="31"/>
  <c r="K71" i="30"/>
  <c r="J71" i="30"/>
  <c r="I71" i="30"/>
  <c r="H71" i="30"/>
  <c r="G71" i="30"/>
  <c r="F71" i="30"/>
  <c r="E71" i="30"/>
  <c r="K68" i="30"/>
  <c r="J68" i="30"/>
  <c r="K67" i="30"/>
  <c r="J67" i="30"/>
  <c r="I67" i="30"/>
  <c r="I68" i="30" s="1"/>
  <c r="H67" i="30"/>
  <c r="H68" i="30" s="1"/>
  <c r="G67" i="30"/>
  <c r="G68" i="30" s="1"/>
  <c r="F67" i="30"/>
  <c r="F68" i="30" s="1"/>
  <c r="E67" i="30"/>
  <c r="E68" i="30" s="1"/>
  <c r="K66" i="30"/>
  <c r="J66" i="30"/>
  <c r="I66" i="30"/>
  <c r="H66" i="30"/>
  <c r="G66" i="30"/>
  <c r="F66" i="30"/>
  <c r="E66" i="30"/>
  <c r="K63" i="30"/>
  <c r="J63" i="30"/>
  <c r="I63" i="30"/>
  <c r="H63" i="30"/>
  <c r="G63" i="30"/>
  <c r="F63" i="30"/>
  <c r="E63" i="30"/>
  <c r="K62" i="30"/>
  <c r="J62" i="30"/>
  <c r="I62" i="30"/>
  <c r="H62" i="30"/>
  <c r="G62" i="30"/>
  <c r="F62" i="30"/>
  <c r="E62" i="30"/>
  <c r="K61" i="30"/>
  <c r="J61" i="30"/>
  <c r="I61" i="30"/>
  <c r="H61" i="30"/>
  <c r="G61" i="30"/>
  <c r="F61" i="30"/>
  <c r="E61" i="30"/>
  <c r="K58" i="30"/>
  <c r="J58" i="30"/>
  <c r="I58" i="30"/>
  <c r="H58" i="30"/>
  <c r="G58" i="30"/>
  <c r="F58" i="30"/>
  <c r="E58" i="30"/>
  <c r="K57" i="30"/>
  <c r="J57" i="30"/>
  <c r="I57" i="30"/>
  <c r="H57" i="30"/>
  <c r="G57" i="30"/>
  <c r="F57" i="30"/>
  <c r="E57" i="30"/>
  <c r="K56" i="30"/>
  <c r="J56" i="30"/>
  <c r="I56" i="30"/>
  <c r="H56" i="30"/>
  <c r="G56" i="30"/>
  <c r="F56" i="30"/>
  <c r="E56" i="30"/>
  <c r="K55" i="30"/>
  <c r="J55" i="30"/>
  <c r="I55" i="30"/>
  <c r="H55" i="30"/>
  <c r="G55" i="30"/>
  <c r="F55" i="30"/>
  <c r="E55" i="30"/>
  <c r="K71" i="29"/>
  <c r="J71" i="29"/>
  <c r="I71" i="29"/>
  <c r="H71" i="29"/>
  <c r="G71" i="29"/>
  <c r="F71" i="29"/>
  <c r="E71" i="29"/>
  <c r="G68" i="29"/>
  <c r="K67" i="29"/>
  <c r="K68" i="29" s="1"/>
  <c r="J67" i="29"/>
  <c r="J68" i="29" s="1"/>
  <c r="I67" i="29"/>
  <c r="I68" i="29" s="1"/>
  <c r="H67" i="29"/>
  <c r="H68" i="29" s="1"/>
  <c r="G67" i="29"/>
  <c r="F67" i="29"/>
  <c r="F68" i="29" s="1"/>
  <c r="E67" i="29"/>
  <c r="E68" i="29" s="1"/>
  <c r="K66" i="29"/>
  <c r="J66" i="29"/>
  <c r="I66" i="29"/>
  <c r="H66" i="29"/>
  <c r="G66" i="29"/>
  <c r="F66" i="29"/>
  <c r="E66" i="29"/>
  <c r="K63" i="29"/>
  <c r="J63" i="29"/>
  <c r="I63" i="29"/>
  <c r="H63" i="29"/>
  <c r="G63" i="29"/>
  <c r="F63" i="29"/>
  <c r="E63" i="29"/>
  <c r="K62" i="29"/>
  <c r="J62" i="29"/>
  <c r="I62" i="29"/>
  <c r="H62" i="29"/>
  <c r="G62" i="29"/>
  <c r="F62" i="29"/>
  <c r="E62" i="29"/>
  <c r="K61" i="29"/>
  <c r="J61" i="29"/>
  <c r="I61" i="29"/>
  <c r="H61" i="29"/>
  <c r="G61" i="29"/>
  <c r="F61" i="29"/>
  <c r="E61" i="29"/>
  <c r="K58" i="29"/>
  <c r="J58" i="29"/>
  <c r="I58" i="29"/>
  <c r="H58" i="29"/>
  <c r="G58" i="29"/>
  <c r="F58" i="29"/>
  <c r="E58" i="29"/>
  <c r="K57" i="29"/>
  <c r="J57" i="29"/>
  <c r="I57" i="29"/>
  <c r="H57" i="29"/>
  <c r="G57" i="29"/>
  <c r="F57" i="29"/>
  <c r="E57" i="29"/>
  <c r="K56" i="29"/>
  <c r="J56" i="29"/>
  <c r="I56" i="29"/>
  <c r="H56" i="29"/>
  <c r="G56" i="29"/>
  <c r="F56" i="29"/>
  <c r="E56" i="29"/>
  <c r="K55" i="29"/>
  <c r="J55" i="29"/>
  <c r="I55" i="29"/>
  <c r="H55" i="29"/>
  <c r="G55" i="29"/>
  <c r="F55" i="29"/>
  <c r="E55" i="29"/>
  <c r="K71" i="28"/>
  <c r="J71" i="28"/>
  <c r="I71" i="28"/>
  <c r="H71" i="28"/>
  <c r="G71" i="28"/>
  <c r="F71" i="28"/>
  <c r="E71" i="28"/>
  <c r="F68" i="28"/>
  <c r="E68" i="28"/>
  <c r="K67" i="28"/>
  <c r="K68" i="28" s="1"/>
  <c r="J67" i="28"/>
  <c r="J68" i="28" s="1"/>
  <c r="I67" i="28"/>
  <c r="I68" i="28" s="1"/>
  <c r="H67" i="28"/>
  <c r="H68" i="28" s="1"/>
  <c r="G67" i="28"/>
  <c r="G68" i="28" s="1"/>
  <c r="F67" i="28"/>
  <c r="E67" i="28"/>
  <c r="K66" i="28"/>
  <c r="J66" i="28"/>
  <c r="I66" i="28"/>
  <c r="H66" i="28"/>
  <c r="G66" i="28"/>
  <c r="F66" i="28"/>
  <c r="E66" i="28"/>
  <c r="K63" i="28"/>
  <c r="J63" i="28"/>
  <c r="I63" i="28"/>
  <c r="H63" i="28"/>
  <c r="G63" i="28"/>
  <c r="F63" i="28"/>
  <c r="E63" i="28"/>
  <c r="K62" i="28"/>
  <c r="J62" i="28"/>
  <c r="I62" i="28"/>
  <c r="H62" i="28"/>
  <c r="G62" i="28"/>
  <c r="F62" i="28"/>
  <c r="E62" i="28"/>
  <c r="K61" i="28"/>
  <c r="J61" i="28"/>
  <c r="I61" i="28"/>
  <c r="H61" i="28"/>
  <c r="G61" i="28"/>
  <c r="F61" i="28"/>
  <c r="E61" i="28"/>
  <c r="K58" i="28"/>
  <c r="J58" i="28"/>
  <c r="I58" i="28"/>
  <c r="H58" i="28"/>
  <c r="G58" i="28"/>
  <c r="F58" i="28"/>
  <c r="E58" i="28"/>
  <c r="K57" i="28"/>
  <c r="J57" i="28"/>
  <c r="I57" i="28"/>
  <c r="H57" i="28"/>
  <c r="G57" i="28"/>
  <c r="F57" i="28"/>
  <c r="E57" i="28"/>
  <c r="K56" i="28"/>
  <c r="J56" i="28"/>
  <c r="I56" i="28"/>
  <c r="H56" i="28"/>
  <c r="G56" i="28"/>
  <c r="F56" i="28"/>
  <c r="E56" i="28"/>
  <c r="K55" i="28"/>
  <c r="J55" i="28"/>
  <c r="I55" i="28"/>
  <c r="H55" i="28"/>
  <c r="G55" i="28"/>
  <c r="F55" i="28"/>
  <c r="E55" i="28"/>
  <c r="F104" i="24"/>
  <c r="G104" i="24"/>
  <c r="H104" i="24"/>
  <c r="I104" i="24"/>
  <c r="J104" i="24"/>
  <c r="K104" i="24"/>
  <c r="L104" i="24"/>
  <c r="M104" i="24"/>
  <c r="N104" i="24"/>
  <c r="E104" i="24"/>
  <c r="E103" i="24"/>
  <c r="F102" i="24"/>
  <c r="G102" i="24"/>
  <c r="H102" i="24"/>
  <c r="I102" i="24"/>
  <c r="J102" i="24"/>
  <c r="K102" i="24"/>
  <c r="L102" i="24"/>
  <c r="M102" i="24"/>
  <c r="N102" i="24"/>
  <c r="E102" i="24"/>
  <c r="E55" i="27"/>
  <c r="R66" i="38"/>
  <c r="K13" i="38" s="1"/>
  <c r="E64" i="38"/>
  <c r="F64" i="38"/>
  <c r="G64" i="38"/>
  <c r="H64" i="38"/>
  <c r="I64" i="38"/>
  <c r="J64" i="38"/>
  <c r="K64" i="38"/>
  <c r="L64" i="38"/>
  <c r="M64" i="38"/>
  <c r="N64" i="38"/>
  <c r="E65" i="38"/>
  <c r="F65" i="38"/>
  <c r="G65" i="38"/>
  <c r="H65" i="38"/>
  <c r="I65" i="38"/>
  <c r="J65" i="38"/>
  <c r="K65" i="38"/>
  <c r="L65" i="38"/>
  <c r="M65" i="38"/>
  <c r="N65" i="38"/>
  <c r="S31" i="38"/>
  <c r="T31" i="38"/>
  <c r="R35" i="38"/>
  <c r="S35" i="38"/>
  <c r="T35" i="38"/>
  <c r="S37" i="38"/>
  <c r="R37" i="38"/>
  <c r="G52" i="38"/>
  <c r="H52" i="38"/>
  <c r="I52" i="38"/>
  <c r="J52" i="38"/>
  <c r="K52" i="38"/>
  <c r="L52" i="38"/>
  <c r="M52" i="38"/>
  <c r="N52" i="38"/>
  <c r="T52" i="38" s="1"/>
  <c r="E52" i="38"/>
  <c r="F52" i="38"/>
  <c r="F55" i="38"/>
  <c r="G55" i="38" s="1"/>
  <c r="H55" i="38" s="1"/>
  <c r="I55" i="38" s="1"/>
  <c r="J55" i="38" s="1"/>
  <c r="K55" i="38" s="1"/>
  <c r="L55" i="38" s="1"/>
  <c r="M55" i="38" s="1"/>
  <c r="N55" i="38" s="1"/>
  <c r="F29" i="38"/>
  <c r="G29" i="38" s="1"/>
  <c r="H29" i="38" s="1"/>
  <c r="I29" i="38" s="1"/>
  <c r="J29" i="38" s="1"/>
  <c r="K29" i="38" s="1"/>
  <c r="L29" i="38" s="1"/>
  <c r="M29" i="38" s="1"/>
  <c r="N29" i="38" s="1"/>
  <c r="R29" i="38" s="1"/>
  <c r="S29" i="38" s="1"/>
  <c r="T29" i="38" s="1"/>
  <c r="P90" i="24"/>
  <c r="P89" i="24"/>
  <c r="P88" i="24"/>
  <c r="N27" i="24"/>
  <c r="N60" i="38" s="1"/>
  <c r="M27" i="24"/>
  <c r="M60" i="38" s="1"/>
  <c r="L27" i="24"/>
  <c r="L60" i="38" s="1"/>
  <c r="K27" i="24"/>
  <c r="K60" i="38" s="1"/>
  <c r="J27" i="24"/>
  <c r="J60" i="38" s="1"/>
  <c r="I27" i="24"/>
  <c r="I60" i="38" s="1"/>
  <c r="H27" i="24"/>
  <c r="H60" i="38" s="1"/>
  <c r="G27" i="24"/>
  <c r="G60" i="38" s="1"/>
  <c r="F27" i="24"/>
  <c r="F60" i="38" s="1"/>
  <c r="E27" i="24"/>
  <c r="E60" i="38" s="1"/>
  <c r="N26" i="24"/>
  <c r="M26" i="24"/>
  <c r="M58" i="38" s="1"/>
  <c r="L26" i="24"/>
  <c r="L58" i="38" s="1"/>
  <c r="K26" i="24"/>
  <c r="K58" i="38" s="1"/>
  <c r="J26" i="24"/>
  <c r="J58" i="38" s="1"/>
  <c r="I26" i="24"/>
  <c r="I58" i="38" s="1"/>
  <c r="H26" i="24"/>
  <c r="H58" i="38" s="1"/>
  <c r="G26" i="24"/>
  <c r="G58" i="38" s="1"/>
  <c r="F26" i="24"/>
  <c r="F58" i="38" s="1"/>
  <c r="E26" i="24"/>
  <c r="N25" i="24"/>
  <c r="N56" i="38" s="1"/>
  <c r="M25" i="24"/>
  <c r="L25" i="24"/>
  <c r="K25" i="24"/>
  <c r="K56" i="38" s="1"/>
  <c r="J25" i="24"/>
  <c r="J56" i="38" s="1"/>
  <c r="I25" i="24"/>
  <c r="I56" i="38" s="1"/>
  <c r="H25" i="24"/>
  <c r="H56" i="38" s="1"/>
  <c r="G25" i="24"/>
  <c r="G56" i="38" s="1"/>
  <c r="F25" i="24"/>
  <c r="F56" i="38" s="1"/>
  <c r="E25" i="24"/>
  <c r="E56" i="38" s="1"/>
  <c r="G246" i="36"/>
  <c r="H246" i="36" s="1"/>
  <c r="G238" i="36"/>
  <c r="H238" i="36" s="1"/>
  <c r="G229" i="36"/>
  <c r="H229" i="36" s="1"/>
  <c r="G220" i="36"/>
  <c r="H220" i="36" s="1"/>
  <c r="Y11" i="36"/>
  <c r="X11" i="36"/>
  <c r="Q11" i="36"/>
  <c r="W11" i="36"/>
  <c r="V11" i="36"/>
  <c r="U11" i="36"/>
  <c r="T11" i="36"/>
  <c r="S11" i="36"/>
  <c r="R11" i="36"/>
  <c r="Y10" i="36"/>
  <c r="X10" i="36"/>
  <c r="W10" i="36"/>
  <c r="V10" i="36"/>
  <c r="U10" i="36"/>
  <c r="T10" i="36"/>
  <c r="S10" i="36"/>
  <c r="Q10" i="36"/>
  <c r="R10" i="36"/>
  <c r="E17" i="36"/>
  <c r="E55" i="36"/>
  <c r="E102" i="36"/>
  <c r="E89" i="36"/>
  <c r="E127" i="36"/>
  <c r="E118" i="36"/>
  <c r="E13" i="36"/>
  <c r="E114" i="36"/>
  <c r="E53" i="36"/>
  <c r="E82" i="36"/>
  <c r="E100" i="36"/>
  <c r="E59" i="36"/>
  <c r="E143" i="36"/>
  <c r="E156" i="36"/>
  <c r="E103" i="36"/>
  <c r="E84" i="36"/>
  <c r="E99" i="36"/>
  <c r="E162" i="36"/>
  <c r="E129" i="36"/>
  <c r="E83" i="36"/>
  <c r="E38" i="36"/>
  <c r="E54" i="36"/>
  <c r="E145" i="36"/>
  <c r="E11" i="36"/>
  <c r="E126" i="36"/>
  <c r="E10" i="36"/>
  <c r="E74" i="36"/>
  <c r="E57" i="36"/>
  <c r="E132" i="36"/>
  <c r="E119" i="36"/>
  <c r="E159" i="36"/>
  <c r="E75" i="36"/>
  <c r="E69" i="36"/>
  <c r="E40" i="36"/>
  <c r="E30" i="36"/>
  <c r="E41" i="36"/>
  <c r="E163" i="36"/>
  <c r="E87" i="36"/>
  <c r="E25" i="36"/>
  <c r="E15" i="36"/>
  <c r="E16" i="36"/>
  <c r="E161" i="36"/>
  <c r="E116" i="36"/>
  <c r="E112" i="36"/>
  <c r="E146" i="36"/>
  <c r="E131" i="36"/>
  <c r="E68" i="36"/>
  <c r="E86" i="36"/>
  <c r="E26" i="36"/>
  <c r="E144" i="36"/>
  <c r="E96" i="36"/>
  <c r="E28" i="36"/>
  <c r="E128" i="36"/>
  <c r="E31" i="36"/>
  <c r="E71" i="36"/>
  <c r="E42" i="36"/>
  <c r="E117" i="36"/>
  <c r="E12" i="36"/>
  <c r="E44" i="36"/>
  <c r="E39" i="36"/>
  <c r="E72" i="36"/>
  <c r="E147" i="36"/>
  <c r="E130" i="36"/>
  <c r="E158" i="36"/>
  <c r="E157" i="36"/>
  <c r="E45" i="36"/>
  <c r="E115" i="36"/>
  <c r="E24" i="36"/>
  <c r="E70" i="36"/>
  <c r="E73" i="36"/>
  <c r="E98" i="36"/>
  <c r="E101" i="36"/>
  <c r="E29" i="36"/>
  <c r="E58" i="36"/>
  <c r="E88" i="36"/>
  <c r="E85" i="36"/>
  <c r="E52" i="36"/>
  <c r="E27" i="36"/>
  <c r="E141" i="36"/>
  <c r="E140" i="36"/>
  <c r="E97" i="36"/>
  <c r="E56" i="36"/>
  <c r="E14" i="36"/>
  <c r="E160" i="36"/>
  <c r="E43" i="36"/>
  <c r="E142" i="36"/>
  <c r="E133" i="36"/>
  <c r="E113" i="36"/>
  <c r="M66" i="38" l="1"/>
  <c r="I13" i="38" s="1"/>
  <c r="N66" i="38"/>
  <c r="E66" i="38"/>
  <c r="L66" i="38"/>
  <c r="H13" i="38" s="1"/>
  <c r="J66" i="38"/>
  <c r="F13" i="38" s="1"/>
  <c r="F66" i="38"/>
  <c r="R85" i="38"/>
  <c r="AC93" i="38" s="1"/>
  <c r="R81" i="38"/>
  <c r="AC78" i="38" s="1"/>
  <c r="I66" i="38"/>
  <c r="H66" i="38"/>
  <c r="G66" i="38"/>
  <c r="K66" i="38"/>
  <c r="F28" i="24"/>
  <c r="L28" i="24"/>
  <c r="N28" i="24"/>
  <c r="G28" i="24"/>
  <c r="M28" i="24"/>
  <c r="I28" i="24"/>
  <c r="E28" i="24"/>
  <c r="H28" i="24"/>
  <c r="J28" i="24"/>
  <c r="M56" i="38"/>
  <c r="K28" i="24"/>
  <c r="L56" i="38"/>
  <c r="N58" i="38"/>
  <c r="N62" i="38" s="1"/>
  <c r="E58" i="38"/>
  <c r="H62" i="38"/>
  <c r="K62" i="38"/>
  <c r="G12" i="38" s="1"/>
  <c r="J62" i="38"/>
  <c r="F12" i="38" s="1"/>
  <c r="I62" i="38"/>
  <c r="E12" i="38" s="1"/>
  <c r="S52" i="38"/>
  <c r="R52" i="38"/>
  <c r="G62" i="38"/>
  <c r="F62" i="38"/>
  <c r="R55" i="38"/>
  <c r="S55" i="38" s="1"/>
  <c r="T55" i="38" s="1"/>
  <c r="F72" i="36"/>
  <c r="F56" i="36"/>
  <c r="F41" i="36"/>
  <c r="F31" i="36"/>
  <c r="F161" i="36"/>
  <c r="F58" i="36"/>
  <c r="F45" i="36"/>
  <c r="F115" i="36"/>
  <c r="F52" i="36"/>
  <c r="F13" i="36"/>
  <c r="F53" i="36"/>
  <c r="F99" i="36"/>
  <c r="F89" i="36"/>
  <c r="F114" i="36"/>
  <c r="F119" i="36"/>
  <c r="F75" i="36"/>
  <c r="F30" i="36"/>
  <c r="F129" i="36"/>
  <c r="F157" i="36"/>
  <c r="F132" i="36"/>
  <c r="F158" i="36"/>
  <c r="F15" i="36"/>
  <c r="F69" i="36"/>
  <c r="F103" i="36"/>
  <c r="F126" i="36"/>
  <c r="F130" i="36"/>
  <c r="F10" i="36"/>
  <c r="F159" i="36"/>
  <c r="F57" i="36"/>
  <c r="F11" i="36"/>
  <c r="F29" i="36"/>
  <c r="F133" i="36"/>
  <c r="F141" i="36"/>
  <c r="F116" i="36"/>
  <c r="F162" i="36"/>
  <c r="F44" i="36"/>
  <c r="F12" i="36"/>
  <c r="F118" i="36"/>
  <c r="F17" i="36"/>
  <c r="F68" i="36"/>
  <c r="F40" i="36"/>
  <c r="F73" i="36"/>
  <c r="F98" i="36"/>
  <c r="F145" i="36"/>
  <c r="F39" i="36"/>
  <c r="F101" i="36"/>
  <c r="F83" i="36"/>
  <c r="F28" i="36"/>
  <c r="F42" i="36"/>
  <c r="F71" i="36"/>
  <c r="F84" i="36"/>
  <c r="F86" i="36"/>
  <c r="F163" i="36"/>
  <c r="F26" i="36"/>
  <c r="F140" i="36"/>
  <c r="F38" i="36"/>
  <c r="F70" i="36"/>
  <c r="F55" i="36"/>
  <c r="F87" i="36"/>
  <c r="F147" i="36"/>
  <c r="F144" i="36"/>
  <c r="F74" i="36"/>
  <c r="F16" i="36"/>
  <c r="F102" i="36"/>
  <c r="F97" i="36"/>
  <c r="F113" i="36"/>
  <c r="F100" i="36"/>
  <c r="F112" i="36"/>
  <c r="F59" i="36"/>
  <c r="F160" i="36"/>
  <c r="F88" i="36"/>
  <c r="F43" i="36"/>
  <c r="F54" i="36"/>
  <c r="F143" i="36"/>
  <c r="F127" i="36"/>
  <c r="F142" i="36"/>
  <c r="F24" i="36"/>
  <c r="F146" i="36"/>
  <c r="F128" i="36"/>
  <c r="F25" i="36"/>
  <c r="F156" i="36"/>
  <c r="F82" i="36"/>
  <c r="F85" i="36"/>
  <c r="F131" i="36"/>
  <c r="F96" i="36"/>
  <c r="F117" i="36"/>
  <c r="F27" i="36"/>
  <c r="F14" i="36"/>
  <c r="G67" i="38" l="1"/>
  <c r="M62" i="38"/>
  <c r="I12" i="38" s="1"/>
  <c r="I14" i="38"/>
  <c r="J13" i="38"/>
  <c r="J14" i="38"/>
  <c r="E13" i="38"/>
  <c r="E14" i="38"/>
  <c r="L62" i="38"/>
  <c r="H12" i="38" s="1"/>
  <c r="H14" i="38"/>
  <c r="G13" i="38"/>
  <c r="G14" i="38"/>
  <c r="F14" i="38"/>
  <c r="N67" i="38"/>
  <c r="J20" i="38" s="1"/>
  <c r="J12" i="38"/>
  <c r="H67" i="38"/>
  <c r="K67" i="38"/>
  <c r="F67" i="38"/>
  <c r="I67" i="38"/>
  <c r="E20" i="38" s="1"/>
  <c r="J67" i="38"/>
  <c r="F20" i="38" s="1"/>
  <c r="S85" i="38"/>
  <c r="AD93" i="38" s="1"/>
  <c r="S81" i="38"/>
  <c r="AD78" i="38" s="1"/>
  <c r="E62" i="38"/>
  <c r="E67" i="38" s="1"/>
  <c r="G127" i="36"/>
  <c r="G147" i="36"/>
  <c r="G114" i="36"/>
  <c r="G143" i="36"/>
  <c r="G11" i="36"/>
  <c r="H147" i="36"/>
  <c r="H40" i="36"/>
  <c r="H42" i="36"/>
  <c r="H56" i="36"/>
  <c r="H143" i="36"/>
  <c r="H142" i="36"/>
  <c r="I159" i="36"/>
  <c r="I84" i="36"/>
  <c r="I99" i="36"/>
  <c r="I41" i="36"/>
  <c r="I113" i="36"/>
  <c r="J16" i="36"/>
  <c r="J53" i="36"/>
  <c r="J128" i="36"/>
  <c r="J86" i="36"/>
  <c r="J17" i="36"/>
  <c r="J85" i="36"/>
  <c r="K160" i="36"/>
  <c r="K101" i="36"/>
  <c r="K115" i="36"/>
  <c r="K130" i="36"/>
  <c r="K126" i="36"/>
  <c r="G159" i="36"/>
  <c r="G118" i="36"/>
  <c r="H59" i="36"/>
  <c r="I85" i="36"/>
  <c r="I83" i="36"/>
  <c r="J112" i="36"/>
  <c r="J31" i="36"/>
  <c r="K158" i="36"/>
  <c r="G53" i="36"/>
  <c r="H132" i="36"/>
  <c r="H156" i="36"/>
  <c r="I57" i="36"/>
  <c r="J52" i="36"/>
  <c r="K86" i="36"/>
  <c r="K40" i="36"/>
  <c r="G89" i="36"/>
  <c r="H86" i="36"/>
  <c r="I115" i="36"/>
  <c r="J145" i="36"/>
  <c r="K30" i="36"/>
  <c r="H129" i="36"/>
  <c r="J43" i="36"/>
  <c r="K132" i="36"/>
  <c r="J101" i="36"/>
  <c r="J27" i="36"/>
  <c r="K74" i="36"/>
  <c r="G24" i="36"/>
  <c r="I70" i="36"/>
  <c r="J142" i="36"/>
  <c r="K45" i="36"/>
  <c r="H99" i="36"/>
  <c r="I97" i="36"/>
  <c r="J146" i="36"/>
  <c r="K26" i="36"/>
  <c r="G43" i="36"/>
  <c r="I130" i="36"/>
  <c r="J126" i="36"/>
  <c r="K127" i="36"/>
  <c r="G73" i="36"/>
  <c r="G42" i="36"/>
  <c r="G29" i="36"/>
  <c r="G146" i="36"/>
  <c r="G86" i="36"/>
  <c r="H102" i="36"/>
  <c r="H127" i="36"/>
  <c r="H162" i="36"/>
  <c r="H145" i="36"/>
  <c r="H131" i="36"/>
  <c r="H117" i="36"/>
  <c r="I10" i="36"/>
  <c r="I127" i="36"/>
  <c r="I12" i="36"/>
  <c r="I14" i="36"/>
  <c r="I55" i="36"/>
  <c r="J73" i="36"/>
  <c r="J15" i="36"/>
  <c r="J55" i="36"/>
  <c r="J12" i="36"/>
  <c r="J89" i="36"/>
  <c r="J68" i="36"/>
  <c r="K99" i="36"/>
  <c r="K28" i="36"/>
  <c r="K159" i="36"/>
  <c r="K88" i="36"/>
  <c r="K41" i="36"/>
  <c r="G31" i="36"/>
  <c r="G161" i="36"/>
  <c r="H44" i="36"/>
  <c r="I38" i="36"/>
  <c r="I88" i="36"/>
  <c r="J11" i="36"/>
  <c r="K27" i="36"/>
  <c r="K87" i="36"/>
  <c r="G126" i="36"/>
  <c r="G113" i="36"/>
  <c r="H11" i="36"/>
  <c r="I131" i="36"/>
  <c r="I143" i="36"/>
  <c r="J115" i="36"/>
  <c r="K157" i="36"/>
  <c r="G26" i="36"/>
  <c r="H160" i="36"/>
  <c r="I43" i="36"/>
  <c r="J132" i="36"/>
  <c r="J88" i="36"/>
  <c r="K133" i="36"/>
  <c r="I15" i="36"/>
  <c r="I101" i="36"/>
  <c r="J41" i="36"/>
  <c r="K96" i="36"/>
  <c r="H75" i="36"/>
  <c r="J156" i="36"/>
  <c r="G58" i="36"/>
  <c r="H89" i="36"/>
  <c r="I141" i="36"/>
  <c r="J99" i="36"/>
  <c r="J72" i="36"/>
  <c r="K68" i="36"/>
  <c r="G88" i="36"/>
  <c r="I44" i="36"/>
  <c r="J96" i="36"/>
  <c r="G74" i="36"/>
  <c r="H114" i="36"/>
  <c r="I75" i="36"/>
  <c r="J58" i="36"/>
  <c r="K31" i="36"/>
  <c r="G45" i="36"/>
  <c r="G59" i="36"/>
  <c r="G72" i="36"/>
  <c r="G44" i="36"/>
  <c r="G28" i="36"/>
  <c r="G56" i="36"/>
  <c r="H161" i="36"/>
  <c r="H133" i="36"/>
  <c r="H88" i="36"/>
  <c r="H96" i="36"/>
  <c r="H130" i="36"/>
  <c r="I28" i="36"/>
  <c r="I162" i="36"/>
  <c r="I69" i="36"/>
  <c r="I133" i="36"/>
  <c r="I146" i="36"/>
  <c r="I114" i="36"/>
  <c r="J147" i="36"/>
  <c r="J28" i="36"/>
  <c r="J131" i="36"/>
  <c r="J141" i="36"/>
  <c r="J10" i="36"/>
  <c r="K57" i="36"/>
  <c r="K75" i="36"/>
  <c r="K25" i="36"/>
  <c r="K128" i="36"/>
  <c r="K39" i="36"/>
  <c r="K58" i="36"/>
  <c r="G69" i="36"/>
  <c r="H103" i="36"/>
  <c r="H28" i="36"/>
  <c r="I103" i="36"/>
  <c r="J113" i="36"/>
  <c r="K114" i="36"/>
  <c r="G10" i="36"/>
  <c r="H118" i="36"/>
  <c r="I119" i="36"/>
  <c r="J160" i="36"/>
  <c r="K52" i="36"/>
  <c r="G39" i="36"/>
  <c r="H73" i="36"/>
  <c r="I73" i="36"/>
  <c r="K103" i="36"/>
  <c r="I82" i="36"/>
  <c r="I128" i="36"/>
  <c r="K15" i="36"/>
  <c r="I25" i="36"/>
  <c r="K17" i="36"/>
  <c r="H70" i="36"/>
  <c r="J57" i="36"/>
  <c r="G16" i="36"/>
  <c r="H112" i="36"/>
  <c r="I24" i="36"/>
  <c r="K117" i="36"/>
  <c r="G13" i="36"/>
  <c r="I53" i="36"/>
  <c r="J75" i="36"/>
  <c r="G71" i="36"/>
  <c r="G144" i="36"/>
  <c r="G40" i="36"/>
  <c r="G129" i="36"/>
  <c r="G141" i="36"/>
  <c r="G57" i="36"/>
  <c r="H41" i="36"/>
  <c r="H69" i="36"/>
  <c r="H30" i="36"/>
  <c r="H26" i="36"/>
  <c r="H54" i="36"/>
  <c r="I157" i="36"/>
  <c r="I142" i="36"/>
  <c r="I56" i="36"/>
  <c r="I31" i="36"/>
  <c r="I87" i="36"/>
  <c r="I26" i="36"/>
  <c r="J157" i="36"/>
  <c r="J117" i="36"/>
  <c r="J133" i="36"/>
  <c r="J13" i="36"/>
  <c r="J56" i="36"/>
  <c r="K97" i="36"/>
  <c r="K53" i="36"/>
  <c r="K161" i="36"/>
  <c r="K38" i="36"/>
  <c r="K13" i="36"/>
  <c r="K12" i="36"/>
  <c r="G160" i="36"/>
  <c r="H87" i="36"/>
  <c r="I29" i="36"/>
  <c r="J100" i="36"/>
  <c r="K142" i="36"/>
  <c r="K29" i="36"/>
  <c r="G14" i="36"/>
  <c r="G163" i="36"/>
  <c r="H13" i="36"/>
  <c r="I140" i="36"/>
  <c r="J69" i="36"/>
  <c r="J14" i="36"/>
  <c r="K113" i="36"/>
  <c r="G119" i="36"/>
  <c r="G131" i="36"/>
  <c r="H101" i="36"/>
  <c r="I11" i="36"/>
  <c r="I118" i="36"/>
  <c r="J140" i="36"/>
  <c r="K71" i="36"/>
  <c r="H140" i="36"/>
  <c r="J97" i="36"/>
  <c r="K10" i="36"/>
  <c r="I59" i="36"/>
  <c r="K145" i="36"/>
  <c r="G133" i="36"/>
  <c r="H45" i="36"/>
  <c r="J158" i="36"/>
  <c r="G102" i="36"/>
  <c r="H128" i="36"/>
  <c r="J70" i="36"/>
  <c r="K16" i="36"/>
  <c r="H27" i="36"/>
  <c r="H83" i="36"/>
  <c r="J159" i="36"/>
  <c r="K14" i="36"/>
  <c r="I27" i="36"/>
  <c r="K118" i="36"/>
  <c r="G17" i="36"/>
  <c r="H157" i="36"/>
  <c r="I52" i="36"/>
  <c r="J82" i="36"/>
  <c r="K116" i="36"/>
  <c r="K69" i="36"/>
  <c r="I89" i="36"/>
  <c r="J163" i="36"/>
  <c r="K89" i="36"/>
  <c r="I100" i="36"/>
  <c r="J83" i="36"/>
  <c r="K42" i="36"/>
  <c r="G83" i="36"/>
  <c r="H14" i="36"/>
  <c r="I54" i="36"/>
  <c r="J119" i="36"/>
  <c r="K141" i="36"/>
  <c r="G100" i="36"/>
  <c r="I40" i="36"/>
  <c r="J44" i="36"/>
  <c r="G82" i="36"/>
  <c r="H82" i="36"/>
  <c r="J24" i="36"/>
  <c r="K43" i="36"/>
  <c r="G162" i="36"/>
  <c r="G30" i="36"/>
  <c r="G103" i="36"/>
  <c r="G55" i="36"/>
  <c r="G84" i="36"/>
  <c r="G54" i="36"/>
  <c r="H58" i="36"/>
  <c r="H68" i="36"/>
  <c r="H119" i="36"/>
  <c r="H97" i="36"/>
  <c r="H98" i="36"/>
  <c r="I39" i="36"/>
  <c r="I96" i="36"/>
  <c r="I129" i="36"/>
  <c r="I145" i="36"/>
  <c r="I72" i="36"/>
  <c r="I30" i="36"/>
  <c r="J116" i="36"/>
  <c r="J144" i="36"/>
  <c r="J42" i="36"/>
  <c r="J102" i="36"/>
  <c r="J118" i="36"/>
  <c r="K54" i="36"/>
  <c r="K24" i="36"/>
  <c r="K131" i="36"/>
  <c r="K70" i="36"/>
  <c r="K98" i="36"/>
  <c r="K129" i="36"/>
  <c r="G142" i="36"/>
  <c r="G158" i="36"/>
  <c r="G38" i="36"/>
  <c r="G41" i="36"/>
  <c r="G87" i="36"/>
  <c r="G116" i="36"/>
  <c r="H159" i="36"/>
  <c r="H113" i="36"/>
  <c r="H85" i="36"/>
  <c r="H72" i="36"/>
  <c r="H84" i="36"/>
  <c r="I58" i="36"/>
  <c r="I147" i="36"/>
  <c r="I98" i="36"/>
  <c r="I158" i="36"/>
  <c r="I17" i="36"/>
  <c r="I68" i="36"/>
  <c r="J161" i="36"/>
  <c r="J38" i="36"/>
  <c r="J98" i="36"/>
  <c r="J87" i="36"/>
  <c r="J29" i="36"/>
  <c r="K100" i="36"/>
  <c r="K144" i="36"/>
  <c r="K84" i="36"/>
  <c r="K156" i="36"/>
  <c r="K11" i="36"/>
  <c r="K140" i="36"/>
  <c r="G68" i="36"/>
  <c r="G132" i="36"/>
  <c r="G98" i="36"/>
  <c r="G15" i="36"/>
  <c r="G97" i="36"/>
  <c r="G70" i="36"/>
  <c r="H12" i="36"/>
  <c r="H39" i="36"/>
  <c r="H31" i="36"/>
  <c r="I13" i="36"/>
  <c r="J162" i="36"/>
  <c r="K55" i="36"/>
  <c r="I117" i="36"/>
  <c r="J127" i="36"/>
  <c r="K73" i="36"/>
  <c r="G96" i="36"/>
  <c r="H116" i="36"/>
  <c r="I112" i="36"/>
  <c r="K112" i="36"/>
  <c r="G52" i="36"/>
  <c r="H158" i="36"/>
  <c r="J129" i="36"/>
  <c r="K162" i="36"/>
  <c r="G115" i="36"/>
  <c r="H53" i="36"/>
  <c r="I71" i="36"/>
  <c r="J30" i="36"/>
  <c r="G157" i="36"/>
  <c r="G75" i="36"/>
  <c r="G27" i="36"/>
  <c r="G145" i="36"/>
  <c r="G99" i="36"/>
  <c r="H55" i="36"/>
  <c r="H29" i="36"/>
  <c r="H163" i="36"/>
  <c r="H38" i="36"/>
  <c r="H126" i="36"/>
  <c r="H15" i="36"/>
  <c r="I163" i="36"/>
  <c r="I161" i="36"/>
  <c r="I144" i="36"/>
  <c r="I86" i="36"/>
  <c r="I16" i="36"/>
  <c r="J103" i="36"/>
  <c r="J54" i="36"/>
  <c r="J114" i="36"/>
  <c r="J74" i="36"/>
  <c r="J39" i="36"/>
  <c r="J59" i="36"/>
  <c r="K146" i="36"/>
  <c r="K59" i="36"/>
  <c r="K72" i="36"/>
  <c r="K85" i="36"/>
  <c r="K56" i="36"/>
  <c r="G112" i="36"/>
  <c r="G140" i="36"/>
  <c r="G101" i="36"/>
  <c r="G25" i="36"/>
  <c r="G117" i="36"/>
  <c r="H52" i="36"/>
  <c r="H57" i="36"/>
  <c r="H43" i="36"/>
  <c r="H71" i="36"/>
  <c r="H141" i="36"/>
  <c r="H17" i="36"/>
  <c r="I45" i="36"/>
  <c r="I116" i="36"/>
  <c r="I156" i="36"/>
  <c r="I126" i="36"/>
  <c r="I74" i="36"/>
  <c r="J84" i="36"/>
  <c r="J130" i="36"/>
  <c r="J40" i="36"/>
  <c r="J25" i="36"/>
  <c r="J26" i="36"/>
  <c r="J45" i="36"/>
  <c r="K82" i="36"/>
  <c r="K119" i="36"/>
  <c r="K163" i="36"/>
  <c r="K102" i="36"/>
  <c r="K83" i="36"/>
  <c r="G85" i="36"/>
  <c r="G156" i="36"/>
  <c r="G12" i="36"/>
  <c r="G128" i="36"/>
  <c r="G130" i="36"/>
  <c r="H144" i="36"/>
  <c r="H24" i="36"/>
  <c r="H10" i="36"/>
  <c r="H16" i="36"/>
  <c r="H100" i="36"/>
  <c r="I160" i="36"/>
  <c r="J71" i="36"/>
  <c r="H146" i="36"/>
  <c r="I102" i="36"/>
  <c r="K147" i="36"/>
  <c r="H25" i="36"/>
  <c r="H115" i="36"/>
  <c r="I42" i="36"/>
  <c r="J143" i="36"/>
  <c r="K143" i="36"/>
  <c r="H74" i="36"/>
  <c r="I132" i="36"/>
  <c r="K44" i="36"/>
  <c r="M67" i="38" l="1"/>
  <c r="I20" i="38" s="1"/>
  <c r="L67" i="38"/>
  <c r="H20" i="38" s="1"/>
  <c r="Q111" i="36"/>
  <c r="Y28" i="36"/>
  <c r="X28" i="36"/>
  <c r="W28" i="36"/>
  <c r="V28" i="36"/>
  <c r="U28" i="36"/>
  <c r="T28" i="36"/>
  <c r="S28" i="36"/>
  <c r="R28" i="36"/>
  <c r="Y27" i="36"/>
  <c r="X27" i="36"/>
  <c r="W27" i="36"/>
  <c r="V27" i="36"/>
  <c r="U27" i="36"/>
  <c r="T27" i="36"/>
  <c r="S27" i="36"/>
  <c r="R27" i="36"/>
  <c r="P67" i="38"/>
  <c r="G20" i="38"/>
  <c r="T81" i="38"/>
  <c r="AE78" i="38" s="1"/>
  <c r="T85" i="38"/>
  <c r="AE93" i="38" s="1"/>
  <c r="F55" i="27"/>
  <c r="G55" i="27"/>
  <c r="H55" i="27"/>
  <c r="I55" i="27"/>
  <c r="J55" i="27"/>
  <c r="K55" i="27"/>
  <c r="F56" i="27"/>
  <c r="G56" i="27"/>
  <c r="H56" i="27"/>
  <c r="I56" i="27"/>
  <c r="J56" i="27"/>
  <c r="K56" i="27"/>
  <c r="F57" i="27"/>
  <c r="G57" i="27"/>
  <c r="H57" i="27"/>
  <c r="I57" i="27"/>
  <c r="J57" i="27"/>
  <c r="K57" i="27"/>
  <c r="F58" i="27"/>
  <c r="G58" i="27"/>
  <c r="H58" i="27"/>
  <c r="I58" i="27"/>
  <c r="J58" i="27"/>
  <c r="K58" i="27"/>
  <c r="F61" i="27"/>
  <c r="G61" i="27"/>
  <c r="H61" i="27"/>
  <c r="I61" i="27"/>
  <c r="J61" i="27"/>
  <c r="K61" i="27"/>
  <c r="F62" i="27"/>
  <c r="G62" i="27"/>
  <c r="H62" i="27"/>
  <c r="I62" i="27"/>
  <c r="J62" i="27"/>
  <c r="K62" i="27"/>
  <c r="F63" i="27"/>
  <c r="G63" i="27"/>
  <c r="H63" i="27"/>
  <c r="I63" i="27"/>
  <c r="J63" i="27"/>
  <c r="K63" i="27"/>
  <c r="F66" i="27"/>
  <c r="G66" i="27"/>
  <c r="H66" i="27"/>
  <c r="I66" i="27"/>
  <c r="J66" i="27"/>
  <c r="K66" i="27"/>
  <c r="F67" i="27"/>
  <c r="F68" i="27" s="1"/>
  <c r="G67" i="27"/>
  <c r="G68" i="27" s="1"/>
  <c r="H67" i="27"/>
  <c r="H68" i="27" s="1"/>
  <c r="I67" i="27"/>
  <c r="I68" i="27" s="1"/>
  <c r="J67" i="27"/>
  <c r="J68" i="27" s="1"/>
  <c r="K67" i="27"/>
  <c r="K68" i="27" s="1"/>
  <c r="F71" i="27"/>
  <c r="G71" i="27"/>
  <c r="H71" i="27"/>
  <c r="I71" i="27"/>
  <c r="J71" i="27"/>
  <c r="K71" i="27"/>
  <c r="E71" i="27"/>
  <c r="E67" i="27"/>
  <c r="E68" i="27" s="1"/>
  <c r="E66" i="27"/>
  <c r="E63" i="27"/>
  <c r="E62" i="27"/>
  <c r="E61" i="27"/>
  <c r="E58" i="27"/>
  <c r="E57" i="27"/>
  <c r="E56" i="27"/>
  <c r="E240" i="25"/>
  <c r="F24" i="24"/>
  <c r="G24" i="24" s="1"/>
  <c r="H24" i="24" s="1"/>
  <c r="I24" i="24" s="1"/>
  <c r="J24" i="24" s="1"/>
  <c r="K24" i="24" s="1"/>
  <c r="L24" i="24" s="1"/>
  <c r="M24" i="24" s="1"/>
  <c r="N24" i="24" s="1"/>
  <c r="N8" i="24"/>
  <c r="M8" i="24"/>
  <c r="L8" i="24"/>
  <c r="K8" i="24"/>
  <c r="K38" i="38" s="1"/>
  <c r="J8" i="24"/>
  <c r="I8" i="24"/>
  <c r="H8" i="24"/>
  <c r="G8" i="24"/>
  <c r="F8" i="24"/>
  <c r="E8" i="24"/>
  <c r="E127" i="26"/>
  <c r="D127" i="26"/>
  <c r="N13" i="24"/>
  <c r="M13" i="24"/>
  <c r="M41" i="38" s="1"/>
  <c r="M42" i="38" s="1"/>
  <c r="L13" i="24"/>
  <c r="K13" i="24"/>
  <c r="J13" i="24"/>
  <c r="I13" i="24"/>
  <c r="H13" i="24"/>
  <c r="G13" i="24"/>
  <c r="F13" i="24"/>
  <c r="E13" i="24"/>
  <c r="F6" i="24"/>
  <c r="F34" i="38" s="1"/>
  <c r="F5" i="24"/>
  <c r="F30" i="38" s="1"/>
  <c r="G5" i="24"/>
  <c r="G30" i="38" s="1"/>
  <c r="H5" i="24"/>
  <c r="H30" i="38" s="1"/>
  <c r="I5" i="24"/>
  <c r="J5" i="24"/>
  <c r="K5" i="24"/>
  <c r="L5" i="24"/>
  <c r="M5" i="24"/>
  <c r="N5" i="24"/>
  <c r="G6" i="24"/>
  <c r="G34" i="38" s="1"/>
  <c r="H6" i="24"/>
  <c r="H34" i="38" s="1"/>
  <c r="I6" i="24"/>
  <c r="I34" i="38" s="1"/>
  <c r="J6" i="24"/>
  <c r="J34" i="38" s="1"/>
  <c r="K6" i="24"/>
  <c r="K34" i="38" s="1"/>
  <c r="L6" i="24"/>
  <c r="L34" i="38" s="1"/>
  <c r="M6" i="24"/>
  <c r="M34" i="38" s="1"/>
  <c r="N6" i="24"/>
  <c r="F9" i="24"/>
  <c r="G9" i="24"/>
  <c r="H9" i="24"/>
  <c r="I9" i="24"/>
  <c r="J9" i="24"/>
  <c r="K9" i="24"/>
  <c r="L9" i="24"/>
  <c r="M9" i="24"/>
  <c r="N9" i="24"/>
  <c r="F11" i="24"/>
  <c r="G11" i="24"/>
  <c r="H11" i="24"/>
  <c r="I11" i="24"/>
  <c r="J11" i="24"/>
  <c r="K11" i="24"/>
  <c r="L11" i="24"/>
  <c r="M11" i="24"/>
  <c r="N11" i="24"/>
  <c r="C37" i="26"/>
  <c r="B37" i="26"/>
  <c r="F15" i="24"/>
  <c r="F44" i="38" s="1"/>
  <c r="F87" i="38" s="1"/>
  <c r="F89" i="38" s="1"/>
  <c r="G15" i="24"/>
  <c r="H15" i="24"/>
  <c r="I15" i="24"/>
  <c r="J15" i="24"/>
  <c r="K15" i="24"/>
  <c r="L15" i="24"/>
  <c r="M15" i="24"/>
  <c r="N15" i="24"/>
  <c r="F17" i="24"/>
  <c r="F46" i="38" s="1"/>
  <c r="G17" i="24"/>
  <c r="G46" i="38" s="1"/>
  <c r="H17" i="24"/>
  <c r="H46" i="38" s="1"/>
  <c r="I17" i="24"/>
  <c r="I46" i="38" s="1"/>
  <c r="J17" i="24"/>
  <c r="J46" i="38" s="1"/>
  <c r="K17" i="24"/>
  <c r="K46" i="38" s="1"/>
  <c r="L17" i="24"/>
  <c r="L46" i="38" s="1"/>
  <c r="M17" i="24"/>
  <c r="M46" i="38" s="1"/>
  <c r="N17" i="24"/>
  <c r="E15" i="24"/>
  <c r="D37" i="26"/>
  <c r="E37" i="26"/>
  <c r="F37" i="26"/>
  <c r="G37" i="26"/>
  <c r="H37" i="26"/>
  <c r="I37" i="26"/>
  <c r="J37" i="26"/>
  <c r="K37" i="26"/>
  <c r="B180" i="26"/>
  <c r="C189" i="26"/>
  <c r="C190" i="26"/>
  <c r="C179" i="26"/>
  <c r="C188" i="26"/>
  <c r="C185" i="26"/>
  <c r="C182" i="26"/>
  <c r="C180" i="26" s="1"/>
  <c r="M38" i="38" l="1"/>
  <c r="J38" i="38"/>
  <c r="J41" i="38"/>
  <c r="J42" i="38" s="1"/>
  <c r="K41" i="38"/>
  <c r="K42" i="38" s="1"/>
  <c r="L41" i="38"/>
  <c r="L42" i="38" s="1"/>
  <c r="N38" i="38"/>
  <c r="Q17" i="24"/>
  <c r="R3" i="24"/>
  <c r="J30" i="38"/>
  <c r="R4" i="24"/>
  <c r="H19" i="24"/>
  <c r="H49" i="38" s="1"/>
  <c r="H44" i="38"/>
  <c r="H87" i="38" s="1"/>
  <c r="H89" i="38" s="1"/>
  <c r="I30" i="38"/>
  <c r="Q3" i="24"/>
  <c r="Q4" i="24"/>
  <c r="L38" i="38"/>
  <c r="I19" i="24"/>
  <c r="I49" i="38" s="1"/>
  <c r="I44" i="38"/>
  <c r="I87" i="38" s="1"/>
  <c r="N34" i="38"/>
  <c r="Q15" i="24"/>
  <c r="Q18" i="24"/>
  <c r="N41" i="38"/>
  <c r="N42" i="38" s="1"/>
  <c r="F35" i="38"/>
  <c r="H35" i="38"/>
  <c r="G35" i="38"/>
  <c r="F41" i="38"/>
  <c r="F42" i="38" s="1"/>
  <c r="F38" i="38"/>
  <c r="F39" i="38" s="1"/>
  <c r="G59" i="38"/>
  <c r="G31" i="38"/>
  <c r="F59" i="38"/>
  <c r="N19" i="24"/>
  <c r="N44" i="38"/>
  <c r="N87" i="38" s="1"/>
  <c r="Q19" i="24"/>
  <c r="M19" i="24"/>
  <c r="M49" i="38" s="1"/>
  <c r="M44" i="38"/>
  <c r="N30" i="38"/>
  <c r="J8" i="38" s="1"/>
  <c r="Q16" i="24"/>
  <c r="V4" i="24"/>
  <c r="V3" i="24"/>
  <c r="G41" i="38"/>
  <c r="G42" i="38" s="1"/>
  <c r="G38" i="38"/>
  <c r="G39" i="38" s="1"/>
  <c r="S3" i="24"/>
  <c r="K30" i="38"/>
  <c r="S4" i="24"/>
  <c r="G19" i="24"/>
  <c r="G49" i="38" s="1"/>
  <c r="G44" i="38"/>
  <c r="G87" i="38" s="1"/>
  <c r="G89" i="38" s="1"/>
  <c r="H31" i="38"/>
  <c r="H59" i="38"/>
  <c r="E19" i="24"/>
  <c r="E49" i="38" s="1"/>
  <c r="E44" i="38"/>
  <c r="E87" i="38" s="1"/>
  <c r="E89" i="38" s="1"/>
  <c r="L19" i="24"/>
  <c r="L49" i="38" s="1"/>
  <c r="L44" i="38"/>
  <c r="L87" i="38" s="1"/>
  <c r="U4" i="24"/>
  <c r="U3" i="24"/>
  <c r="M30" i="38"/>
  <c r="I8" i="38" s="1"/>
  <c r="H41" i="38"/>
  <c r="H42" i="38" s="1"/>
  <c r="H38" i="38"/>
  <c r="H39" i="38" s="1"/>
  <c r="Q20" i="24"/>
  <c r="N46" i="38"/>
  <c r="K19" i="24"/>
  <c r="K49" i="38" s="1"/>
  <c r="K44" i="38"/>
  <c r="K87" i="38" s="1"/>
  <c r="T3" i="24"/>
  <c r="T4" i="24"/>
  <c r="L30" i="38"/>
  <c r="I41" i="38"/>
  <c r="I42" i="38" s="1"/>
  <c r="I38" i="38"/>
  <c r="J19" i="24"/>
  <c r="J49" i="38" s="1"/>
  <c r="J44" i="38"/>
  <c r="J87" i="38" s="1"/>
  <c r="N7" i="24"/>
  <c r="N10" i="24" s="1"/>
  <c r="M7" i="24"/>
  <c r="M10" i="24" s="1"/>
  <c r="L7" i="24"/>
  <c r="L10" i="24" s="1"/>
  <c r="K7" i="24"/>
  <c r="K10" i="24" s="1"/>
  <c r="J7" i="24"/>
  <c r="J10" i="24" s="1"/>
  <c r="I7" i="24"/>
  <c r="I10" i="24" s="1"/>
  <c r="H7" i="24"/>
  <c r="H10" i="24" s="1"/>
  <c r="H12" i="24" s="1"/>
  <c r="H14" i="24" s="1"/>
  <c r="H98" i="24" s="1"/>
  <c r="G7" i="24"/>
  <c r="G10" i="24" s="1"/>
  <c r="G12" i="24" s="1"/>
  <c r="G14" i="24" s="1"/>
  <c r="G98" i="24" s="1"/>
  <c r="F7" i="24"/>
  <c r="F10" i="24" s="1"/>
  <c r="F12" i="24" s="1"/>
  <c r="F14" i="24" s="1"/>
  <c r="F98" i="24" s="1"/>
  <c r="F19" i="24"/>
  <c r="F49" i="38" s="1"/>
  <c r="E17" i="24"/>
  <c r="E46" i="38" s="1"/>
  <c r="N39" i="38" l="1"/>
  <c r="N89" i="38"/>
  <c r="AB92" i="38"/>
  <c r="J89" i="38"/>
  <c r="X92" i="38"/>
  <c r="M87" i="38"/>
  <c r="I89" i="38"/>
  <c r="W92" i="38"/>
  <c r="K89" i="38"/>
  <c r="Y92" i="38"/>
  <c r="L89" i="38"/>
  <c r="Z92" i="38"/>
  <c r="I35" i="38"/>
  <c r="E8" i="38"/>
  <c r="K35" i="38"/>
  <c r="G8" i="38"/>
  <c r="L35" i="38"/>
  <c r="H8" i="38"/>
  <c r="J35" i="38"/>
  <c r="F8" i="38"/>
  <c r="M39" i="38"/>
  <c r="I39" i="38"/>
  <c r="W4" i="24"/>
  <c r="M35" i="38"/>
  <c r="R42" i="38"/>
  <c r="S42" i="38" s="1"/>
  <c r="T42" i="38" s="1"/>
  <c r="F40" i="38"/>
  <c r="F43" i="38" s="1"/>
  <c r="N35" i="38"/>
  <c r="J59" i="38"/>
  <c r="J40" i="38"/>
  <c r="J31" i="38"/>
  <c r="G40" i="38"/>
  <c r="G43" i="38" s="1"/>
  <c r="G47" i="38" s="1"/>
  <c r="J39" i="38"/>
  <c r="M59" i="38"/>
  <c r="M40" i="38"/>
  <c r="M31" i="38"/>
  <c r="N40" i="38"/>
  <c r="R30" i="38"/>
  <c r="N31" i="38"/>
  <c r="N59" i="38"/>
  <c r="L39" i="38"/>
  <c r="L12" i="24"/>
  <c r="L14" i="24" s="1"/>
  <c r="L98" i="24" s="1"/>
  <c r="T96" i="24" s="1"/>
  <c r="T26" i="24"/>
  <c r="T27" i="24" s="1"/>
  <c r="N12" i="24"/>
  <c r="N14" i="24" s="1"/>
  <c r="N98" i="24" s="1"/>
  <c r="V26" i="24"/>
  <c r="V27" i="24" s="1"/>
  <c r="H40" i="38"/>
  <c r="H43" i="38" s="1"/>
  <c r="H47" i="38" s="1"/>
  <c r="I12" i="24"/>
  <c r="I14" i="24" s="1"/>
  <c r="I98" i="24" s="1"/>
  <c r="Q96" i="24" s="1"/>
  <c r="Q26" i="24"/>
  <c r="Q27" i="24" s="1"/>
  <c r="L59" i="38"/>
  <c r="L40" i="38"/>
  <c r="L31" i="38"/>
  <c r="I59" i="38"/>
  <c r="I40" i="38"/>
  <c r="I31" i="38"/>
  <c r="J12" i="24"/>
  <c r="J14" i="24" s="1"/>
  <c r="J98" i="24" s="1"/>
  <c r="R96" i="24" s="1"/>
  <c r="R26" i="24"/>
  <c r="R27" i="24" s="1"/>
  <c r="K12" i="24"/>
  <c r="K14" i="24" s="1"/>
  <c r="K98" i="24" s="1"/>
  <c r="S96" i="24" s="1"/>
  <c r="S26" i="24"/>
  <c r="S27" i="24" s="1"/>
  <c r="Q21" i="24"/>
  <c r="N49" i="38"/>
  <c r="K40" i="38"/>
  <c r="K31" i="38"/>
  <c r="K59" i="38"/>
  <c r="M12" i="24"/>
  <c r="M14" i="24" s="1"/>
  <c r="M98" i="24" s="1"/>
  <c r="U96" i="24" s="1"/>
  <c r="U26" i="24"/>
  <c r="U27" i="24" s="1"/>
  <c r="K39" i="38"/>
  <c r="F79" i="24"/>
  <c r="G79" i="24" s="1"/>
  <c r="H79" i="24" s="1"/>
  <c r="I79" i="24" s="1"/>
  <c r="J79" i="24" s="1"/>
  <c r="K79" i="24" s="1"/>
  <c r="L79" i="24" s="1"/>
  <c r="M79" i="24" s="1"/>
  <c r="N79" i="24" s="1"/>
  <c r="N72" i="24"/>
  <c r="M72" i="24"/>
  <c r="L72" i="24"/>
  <c r="K72" i="24"/>
  <c r="J72" i="24"/>
  <c r="I72" i="24"/>
  <c r="H72" i="24"/>
  <c r="G72" i="24"/>
  <c r="F72" i="24"/>
  <c r="E72" i="24"/>
  <c r="N71" i="24"/>
  <c r="M71" i="24"/>
  <c r="L71" i="24"/>
  <c r="K71" i="24"/>
  <c r="J71" i="24"/>
  <c r="I71" i="24"/>
  <c r="H71" i="24"/>
  <c r="G71" i="24"/>
  <c r="F71" i="24"/>
  <c r="E71" i="24"/>
  <c r="F64" i="24"/>
  <c r="G64" i="24"/>
  <c r="H64" i="24"/>
  <c r="I64" i="24"/>
  <c r="J64" i="24"/>
  <c r="K64" i="24"/>
  <c r="L64" i="24"/>
  <c r="M64" i="24"/>
  <c r="N64" i="24"/>
  <c r="F65" i="24"/>
  <c r="G65" i="24"/>
  <c r="H65" i="24"/>
  <c r="I65" i="24"/>
  <c r="J65" i="24"/>
  <c r="K65" i="24"/>
  <c r="L65" i="24"/>
  <c r="M65" i="24"/>
  <c r="N65" i="24"/>
  <c r="F66" i="24"/>
  <c r="G66" i="24"/>
  <c r="H66" i="24"/>
  <c r="I66" i="24"/>
  <c r="J66" i="24"/>
  <c r="K66" i="24"/>
  <c r="L66" i="24"/>
  <c r="M66" i="24"/>
  <c r="N66" i="24"/>
  <c r="F67" i="24"/>
  <c r="G67" i="24"/>
  <c r="H67" i="24"/>
  <c r="I67" i="24"/>
  <c r="J67" i="24"/>
  <c r="K67" i="24"/>
  <c r="L67" i="24"/>
  <c r="M67" i="24"/>
  <c r="N67" i="24"/>
  <c r="E67" i="24"/>
  <c r="E66" i="24"/>
  <c r="E65" i="24"/>
  <c r="E64" i="24"/>
  <c r="F55" i="24"/>
  <c r="G55" i="24"/>
  <c r="H55" i="24"/>
  <c r="I55" i="24"/>
  <c r="J55" i="24"/>
  <c r="K55" i="24"/>
  <c r="L55" i="24"/>
  <c r="M55" i="24"/>
  <c r="N55" i="24"/>
  <c r="F56" i="24"/>
  <c r="G56" i="24"/>
  <c r="H56" i="24"/>
  <c r="I56" i="24"/>
  <c r="J56" i="24"/>
  <c r="K56" i="24"/>
  <c r="L56" i="24"/>
  <c r="M56" i="24"/>
  <c r="N56" i="24"/>
  <c r="F57" i="24"/>
  <c r="G57" i="24"/>
  <c r="H57" i="24"/>
  <c r="I57" i="24"/>
  <c r="J57" i="24"/>
  <c r="K57" i="24"/>
  <c r="L57" i="24"/>
  <c r="M57" i="24"/>
  <c r="N57" i="24"/>
  <c r="F58" i="24"/>
  <c r="G58" i="24"/>
  <c r="H58" i="24"/>
  <c r="I58" i="24"/>
  <c r="J58" i="24"/>
  <c r="K58" i="24"/>
  <c r="L58" i="24"/>
  <c r="M58" i="24"/>
  <c r="N58" i="24"/>
  <c r="F59" i="24"/>
  <c r="G59" i="24"/>
  <c r="H59" i="24"/>
  <c r="I59" i="24"/>
  <c r="J59" i="24"/>
  <c r="K59" i="24"/>
  <c r="L59" i="24"/>
  <c r="M59" i="24"/>
  <c r="N59" i="24"/>
  <c r="F60" i="24"/>
  <c r="G60" i="24"/>
  <c r="H60" i="24"/>
  <c r="I60" i="24"/>
  <c r="J60" i="24"/>
  <c r="K60" i="24"/>
  <c r="L60" i="24"/>
  <c r="M60" i="24"/>
  <c r="N60" i="24"/>
  <c r="E60" i="24"/>
  <c r="E59" i="24"/>
  <c r="E58" i="24"/>
  <c r="E57" i="24"/>
  <c r="E56" i="24"/>
  <c r="E55" i="24"/>
  <c r="N45" i="24"/>
  <c r="M45" i="24"/>
  <c r="L45" i="24"/>
  <c r="K45" i="24"/>
  <c r="J45" i="24"/>
  <c r="I45" i="24"/>
  <c r="H45" i="24"/>
  <c r="G45" i="24"/>
  <c r="F45" i="24"/>
  <c r="E45" i="24"/>
  <c r="F43" i="24"/>
  <c r="G43" i="24"/>
  <c r="H43" i="24"/>
  <c r="I43" i="24"/>
  <c r="J43" i="24"/>
  <c r="K43" i="24"/>
  <c r="L43" i="24"/>
  <c r="M43" i="24"/>
  <c r="N43" i="24"/>
  <c r="F44" i="24"/>
  <c r="G44" i="24"/>
  <c r="H44" i="24"/>
  <c r="I44" i="24"/>
  <c r="J44" i="24"/>
  <c r="K44" i="24"/>
  <c r="L44" i="24"/>
  <c r="M44" i="24"/>
  <c r="N44" i="24"/>
  <c r="F46" i="24"/>
  <c r="G46" i="24"/>
  <c r="H46" i="24"/>
  <c r="I46" i="24"/>
  <c r="J46" i="24"/>
  <c r="K46" i="24"/>
  <c r="L46" i="24"/>
  <c r="M46" i="24"/>
  <c r="N46" i="24"/>
  <c r="F47" i="24"/>
  <c r="G47" i="24"/>
  <c r="H47" i="24"/>
  <c r="I47" i="24"/>
  <c r="J47" i="24"/>
  <c r="K47" i="24"/>
  <c r="L47" i="24"/>
  <c r="M47" i="24"/>
  <c r="N47" i="24"/>
  <c r="F48" i="24"/>
  <c r="G48" i="24"/>
  <c r="H48" i="24"/>
  <c r="I48" i="24"/>
  <c r="J48" i="24"/>
  <c r="K48" i="24"/>
  <c r="L48" i="24"/>
  <c r="M48" i="24"/>
  <c r="N48" i="24"/>
  <c r="F49" i="24"/>
  <c r="G49" i="24"/>
  <c r="H49" i="24"/>
  <c r="I49" i="24"/>
  <c r="J49" i="24"/>
  <c r="K49" i="24"/>
  <c r="L49" i="24"/>
  <c r="M49" i="24"/>
  <c r="N49" i="24"/>
  <c r="E49" i="24"/>
  <c r="E48" i="24"/>
  <c r="E47" i="24"/>
  <c r="E46" i="24"/>
  <c r="E44" i="24"/>
  <c r="E43" i="24"/>
  <c r="F34" i="24"/>
  <c r="G34" i="24"/>
  <c r="H34" i="24"/>
  <c r="I34" i="24"/>
  <c r="J34" i="24"/>
  <c r="K34" i="24"/>
  <c r="L34" i="24"/>
  <c r="M34" i="24"/>
  <c r="N34" i="24"/>
  <c r="F35" i="24"/>
  <c r="G35" i="24"/>
  <c r="H35" i="24"/>
  <c r="I35" i="24"/>
  <c r="J35" i="24"/>
  <c r="K35" i="24"/>
  <c r="L35" i="24"/>
  <c r="M35" i="24"/>
  <c r="N35" i="24"/>
  <c r="F36" i="24"/>
  <c r="G36" i="24"/>
  <c r="H36" i="24"/>
  <c r="I36" i="24"/>
  <c r="J36" i="24"/>
  <c r="K36" i="24"/>
  <c r="L36" i="24"/>
  <c r="M36" i="24"/>
  <c r="N36" i="24"/>
  <c r="F37" i="24"/>
  <c r="G37" i="24"/>
  <c r="H37" i="24"/>
  <c r="I37" i="24"/>
  <c r="J37" i="24"/>
  <c r="K37" i="24"/>
  <c r="L37" i="24"/>
  <c r="M37" i="24"/>
  <c r="N37" i="24"/>
  <c r="F38" i="24"/>
  <c r="G38" i="24"/>
  <c r="H38" i="24"/>
  <c r="I38" i="24"/>
  <c r="J38" i="24"/>
  <c r="K38" i="24"/>
  <c r="L38" i="24"/>
  <c r="M38" i="24"/>
  <c r="N38" i="24"/>
  <c r="F39" i="24"/>
  <c r="G39" i="24"/>
  <c r="H39" i="24"/>
  <c r="I39" i="24"/>
  <c r="J39" i="24"/>
  <c r="K39" i="24"/>
  <c r="L39" i="24"/>
  <c r="M39" i="24"/>
  <c r="N39" i="24"/>
  <c r="E39" i="24"/>
  <c r="E38" i="24"/>
  <c r="E37" i="24"/>
  <c r="E36" i="24"/>
  <c r="E35" i="24"/>
  <c r="E34" i="24"/>
  <c r="F32" i="24"/>
  <c r="G32" i="24" s="1"/>
  <c r="H32" i="24" s="1"/>
  <c r="I32" i="24" s="1"/>
  <c r="J32" i="24" s="1"/>
  <c r="K32" i="24" s="1"/>
  <c r="L32" i="24" s="1"/>
  <c r="M32" i="24" s="1"/>
  <c r="N32" i="24" s="1"/>
  <c r="E11" i="24"/>
  <c r="E41" i="38" s="1"/>
  <c r="E42" i="38" s="1"/>
  <c r="P42" i="38" s="1"/>
  <c r="E9" i="24"/>
  <c r="E38" i="38" s="1"/>
  <c r="E6" i="24"/>
  <c r="E34" i="38" s="1"/>
  <c r="M89" i="38" l="1"/>
  <c r="AA92" i="38"/>
  <c r="N43" i="38"/>
  <c r="J9" i="38"/>
  <c r="M43" i="38"/>
  <c r="I9" i="38"/>
  <c r="I43" i="38"/>
  <c r="E9" i="38"/>
  <c r="K43" i="38"/>
  <c r="K48" i="38" s="1"/>
  <c r="K57" i="38" s="1"/>
  <c r="G9" i="38"/>
  <c r="L43" i="38"/>
  <c r="L48" i="38" s="1"/>
  <c r="H9" i="38"/>
  <c r="J43" i="38"/>
  <c r="F9" i="38"/>
  <c r="R34" i="38"/>
  <c r="K8" i="38"/>
  <c r="F48" i="38"/>
  <c r="F47" i="38"/>
  <c r="H48" i="38"/>
  <c r="W27" i="24"/>
  <c r="G48" i="38"/>
  <c r="R59" i="38"/>
  <c r="R38" i="38"/>
  <c r="S30" i="38"/>
  <c r="L8" i="38" s="1"/>
  <c r="I48" i="38"/>
  <c r="N48" i="38"/>
  <c r="N94" i="24"/>
  <c r="M47" i="38"/>
  <c r="M48" i="38"/>
  <c r="V96" i="24"/>
  <c r="E93" i="24"/>
  <c r="G94" i="24"/>
  <c r="G82" i="38" s="1"/>
  <c r="G83" i="38" s="1"/>
  <c r="F94" i="24"/>
  <c r="F82" i="38" s="1"/>
  <c r="F83" i="38" s="1"/>
  <c r="N93" i="24"/>
  <c r="M93" i="24"/>
  <c r="U94" i="24" s="1"/>
  <c r="E82" i="38"/>
  <c r="E83" i="38" s="1"/>
  <c r="L93" i="24"/>
  <c r="T94" i="24" s="1"/>
  <c r="K93" i="24"/>
  <c r="S94" i="24" s="1"/>
  <c r="J93" i="24"/>
  <c r="R94" i="24" s="1"/>
  <c r="I93" i="24"/>
  <c r="Q94" i="24" s="1"/>
  <c r="M94" i="24"/>
  <c r="H93" i="24"/>
  <c r="L94" i="24"/>
  <c r="F61" i="24"/>
  <c r="F90" i="24" s="1"/>
  <c r="G93" i="24"/>
  <c r="K94" i="24"/>
  <c r="F93" i="24"/>
  <c r="J94" i="24"/>
  <c r="I94" i="24"/>
  <c r="H94" i="24"/>
  <c r="H82" i="38" s="1"/>
  <c r="H83" i="38" s="1"/>
  <c r="M68" i="24"/>
  <c r="N61" i="24"/>
  <c r="M61" i="24"/>
  <c r="M90" i="24" s="1"/>
  <c r="U90" i="24" s="1"/>
  <c r="E61" i="24"/>
  <c r="E40" i="24"/>
  <c r="E68" i="24"/>
  <c r="N68" i="24"/>
  <c r="K68" i="24"/>
  <c r="I68" i="24"/>
  <c r="H68" i="24"/>
  <c r="L61" i="24"/>
  <c r="L90" i="24" s="1"/>
  <c r="T90" i="24" s="1"/>
  <c r="G68" i="24"/>
  <c r="E50" i="24"/>
  <c r="K61" i="24"/>
  <c r="K90" i="24" s="1"/>
  <c r="S90" i="24" s="1"/>
  <c r="I61" i="24"/>
  <c r="I90" i="24" s="1"/>
  <c r="Q90" i="24" s="1"/>
  <c r="N50" i="24"/>
  <c r="H61" i="24"/>
  <c r="H90" i="24" s="1"/>
  <c r="L68" i="24"/>
  <c r="J68" i="24"/>
  <c r="F68" i="24"/>
  <c r="J61" i="24"/>
  <c r="J90" i="24" s="1"/>
  <c r="R90" i="24" s="1"/>
  <c r="G61" i="24"/>
  <c r="G90" i="24" s="1"/>
  <c r="J50" i="24"/>
  <c r="M50" i="24"/>
  <c r="L50" i="24"/>
  <c r="K50" i="24"/>
  <c r="I50" i="24"/>
  <c r="H50" i="24"/>
  <c r="F50" i="24"/>
  <c r="G50" i="24"/>
  <c r="K40" i="24"/>
  <c r="J40" i="24"/>
  <c r="H40" i="24"/>
  <c r="N40" i="24"/>
  <c r="M40" i="24"/>
  <c r="F40" i="24"/>
  <c r="I40" i="24"/>
  <c r="G40" i="24"/>
  <c r="L40" i="24"/>
  <c r="I125" i="36"/>
  <c r="I51" i="36"/>
  <c r="I67" i="36"/>
  <c r="I9" i="36"/>
  <c r="I95" i="36"/>
  <c r="I81" i="36"/>
  <c r="I139" i="36"/>
  <c r="I155" i="36"/>
  <c r="I37" i="36"/>
  <c r="I23" i="36"/>
  <c r="I111" i="36"/>
  <c r="Z22" i="38" l="1"/>
  <c r="H22" i="38"/>
  <c r="Y22" i="38"/>
  <c r="G22" i="38"/>
  <c r="AA22" i="38"/>
  <c r="I22" i="38"/>
  <c r="X22" i="38"/>
  <c r="F22" i="38"/>
  <c r="E22" i="38"/>
  <c r="W22" i="38"/>
  <c r="J22" i="38"/>
  <c r="AB22" i="38"/>
  <c r="F18" i="38"/>
  <c r="F10" i="38"/>
  <c r="K47" i="38"/>
  <c r="G18" i="38"/>
  <c r="G10" i="38"/>
  <c r="I10" i="38"/>
  <c r="I18" i="38"/>
  <c r="L47" i="38"/>
  <c r="H10" i="38"/>
  <c r="H18" i="38"/>
  <c r="J48" i="38"/>
  <c r="J57" i="38" s="1"/>
  <c r="J47" i="38"/>
  <c r="I47" i="38"/>
  <c r="E10" i="38"/>
  <c r="E18" i="38"/>
  <c r="N47" i="38"/>
  <c r="J10" i="38"/>
  <c r="J18" i="38"/>
  <c r="K50" i="38"/>
  <c r="F57" i="38"/>
  <c r="F50" i="38"/>
  <c r="F53" i="38" s="1"/>
  <c r="L52" i="24"/>
  <c r="H45" i="38"/>
  <c r="H88" i="38" s="1"/>
  <c r="H61" i="38"/>
  <c r="M57" i="38"/>
  <c r="M50" i="38"/>
  <c r="R93" i="24"/>
  <c r="J82" i="38"/>
  <c r="N50" i="38"/>
  <c r="N57" i="38"/>
  <c r="L50" i="38"/>
  <c r="L57" i="38"/>
  <c r="K82" i="38"/>
  <c r="S93" i="24"/>
  <c r="V94" i="24"/>
  <c r="I50" i="38"/>
  <c r="I57" i="38"/>
  <c r="H57" i="38"/>
  <c r="H50" i="38"/>
  <c r="H53" i="38" s="1"/>
  <c r="F61" i="38"/>
  <c r="F45" i="38"/>
  <c r="F88" i="38" s="1"/>
  <c r="R40" i="38"/>
  <c r="G61" i="38"/>
  <c r="G45" i="38"/>
  <c r="G88" i="38" s="1"/>
  <c r="M82" i="38"/>
  <c r="U93" i="24"/>
  <c r="J50" i="38"/>
  <c r="E61" i="38"/>
  <c r="E45" i="38"/>
  <c r="E88" i="38" s="1"/>
  <c r="M240" i="36"/>
  <c r="V93" i="24"/>
  <c r="N82" i="38"/>
  <c r="AB77" i="38" s="1"/>
  <c r="T30" i="38"/>
  <c r="M8" i="38" s="1"/>
  <c r="S38" i="38"/>
  <c r="S34" i="38"/>
  <c r="L82" i="38"/>
  <c r="T93" i="24"/>
  <c r="S59" i="38"/>
  <c r="R58" i="38"/>
  <c r="R41" i="38" s="1"/>
  <c r="M232" i="36"/>
  <c r="V90" i="24"/>
  <c r="G50" i="38"/>
  <c r="G53" i="38" s="1"/>
  <c r="G57" i="38"/>
  <c r="Q93" i="24"/>
  <c r="I82" i="38"/>
  <c r="M88" i="24"/>
  <c r="U88" i="24" s="1"/>
  <c r="M89" i="24"/>
  <c r="U89" i="24" s="1"/>
  <c r="I89" i="24"/>
  <c r="Q89" i="24" s="1"/>
  <c r="I88" i="24"/>
  <c r="Q88" i="24" s="1"/>
  <c r="K240" i="36"/>
  <c r="H88" i="24"/>
  <c r="H89" i="24"/>
  <c r="J89" i="24"/>
  <c r="R89" i="24" s="1"/>
  <c r="J88" i="24"/>
  <c r="R88" i="24" s="1"/>
  <c r="F89" i="24"/>
  <c r="F88" i="24"/>
  <c r="N89" i="24"/>
  <c r="N88" i="24"/>
  <c r="K89" i="24"/>
  <c r="S89" i="24" s="1"/>
  <c r="K88" i="24"/>
  <c r="S88" i="24" s="1"/>
  <c r="E89" i="24"/>
  <c r="E88" i="24"/>
  <c r="L88" i="24"/>
  <c r="T88" i="24" s="1"/>
  <c r="L89" i="24"/>
  <c r="T89" i="24" s="1"/>
  <c r="G89" i="24"/>
  <c r="G88" i="24"/>
  <c r="I149" i="36"/>
  <c r="I150" i="36"/>
  <c r="I92" i="36"/>
  <c r="I91" i="36"/>
  <c r="I135" i="36"/>
  <c r="I136" i="36"/>
  <c r="I48" i="36"/>
  <c r="I47" i="36"/>
  <c r="I19" i="36"/>
  <c r="I20" i="36"/>
  <c r="I106" i="36"/>
  <c r="I105" i="36"/>
  <c r="I166" i="36"/>
  <c r="I165" i="36"/>
  <c r="I78" i="36"/>
  <c r="I77" i="36"/>
  <c r="I61" i="36"/>
  <c r="I62" i="36"/>
  <c r="I34" i="36"/>
  <c r="I33" i="36"/>
  <c r="I122" i="36"/>
  <c r="I121" i="36"/>
  <c r="M74" i="24"/>
  <c r="F74" i="24"/>
  <c r="G52" i="24"/>
  <c r="E52" i="24"/>
  <c r="G74" i="24"/>
  <c r="N74" i="24"/>
  <c r="E74" i="24"/>
  <c r="J74" i="24"/>
  <c r="N52" i="24"/>
  <c r="L74" i="24"/>
  <c r="L75" i="24" s="1"/>
  <c r="H52" i="24"/>
  <c r="K52" i="24"/>
  <c r="H74" i="24"/>
  <c r="I74" i="24"/>
  <c r="K74" i="24"/>
  <c r="J52" i="24"/>
  <c r="F52" i="24"/>
  <c r="I52" i="24"/>
  <c r="M52" i="24"/>
  <c r="J125" i="36"/>
  <c r="J51" i="36"/>
  <c r="J111" i="36"/>
  <c r="J23" i="36"/>
  <c r="J9" i="36"/>
  <c r="J37" i="36"/>
  <c r="J139" i="36"/>
  <c r="J81" i="36"/>
  <c r="J95" i="36"/>
  <c r="J155" i="36"/>
  <c r="J67" i="36"/>
  <c r="F23" i="38" l="1"/>
  <c r="X23" i="38"/>
  <c r="E23" i="38"/>
  <c r="W23" i="38"/>
  <c r="M83" i="38"/>
  <c r="AA77" i="38"/>
  <c r="M45" i="38"/>
  <c r="M88" i="38" s="1"/>
  <c r="K83" i="38"/>
  <c r="Y77" i="38"/>
  <c r="J83" i="38"/>
  <c r="X77" i="38"/>
  <c r="AB23" i="38"/>
  <c r="J23" i="38"/>
  <c r="I83" i="38"/>
  <c r="W77" i="38"/>
  <c r="H23" i="38"/>
  <c r="Z23" i="38"/>
  <c r="L83" i="38"/>
  <c r="Z77" i="38"/>
  <c r="AA23" i="38"/>
  <c r="I23" i="38"/>
  <c r="G23" i="38"/>
  <c r="Y23" i="38"/>
  <c r="L53" i="38"/>
  <c r="H17" i="38" s="1"/>
  <c r="H11" i="38"/>
  <c r="N53" i="38"/>
  <c r="J17" i="38" s="1"/>
  <c r="J11" i="38"/>
  <c r="J53" i="38"/>
  <c r="F17" i="38" s="1"/>
  <c r="F11" i="38"/>
  <c r="K53" i="38"/>
  <c r="G17" i="38" s="1"/>
  <c r="G11" i="38"/>
  <c r="M53" i="38"/>
  <c r="I17" i="38" s="1"/>
  <c r="I11" i="38"/>
  <c r="I53" i="38"/>
  <c r="E17" i="38" s="1"/>
  <c r="E11" i="38"/>
  <c r="K9" i="38"/>
  <c r="R87" i="38"/>
  <c r="N83" i="38"/>
  <c r="R82" i="38"/>
  <c r="AC77" i="38" s="1"/>
  <c r="S40" i="38"/>
  <c r="R43" i="38"/>
  <c r="K231" i="36"/>
  <c r="P192" i="36" s="1"/>
  <c r="T59" i="38"/>
  <c r="T58" i="38" s="1"/>
  <c r="T41" i="38" s="1"/>
  <c r="S58" i="38"/>
  <c r="S41" i="38" s="1"/>
  <c r="L61" i="38"/>
  <c r="L45" i="38"/>
  <c r="L88" i="38" s="1"/>
  <c r="M230" i="36"/>
  <c r="V88" i="24"/>
  <c r="M61" i="38"/>
  <c r="M231" i="36"/>
  <c r="V89" i="24"/>
  <c r="K61" i="38"/>
  <c r="K45" i="38"/>
  <c r="K88" i="38" s="1"/>
  <c r="I61" i="38"/>
  <c r="I45" i="38"/>
  <c r="I88" i="38" s="1"/>
  <c r="T38" i="38"/>
  <c r="T34" i="38"/>
  <c r="N61" i="38"/>
  <c r="N45" i="38"/>
  <c r="N88" i="38" s="1"/>
  <c r="J61" i="38"/>
  <c r="J45" i="38"/>
  <c r="J88" i="38" s="1"/>
  <c r="K230" i="36"/>
  <c r="P190" i="36" s="1"/>
  <c r="J91" i="36"/>
  <c r="J92" i="36"/>
  <c r="J78" i="36"/>
  <c r="J77" i="36"/>
  <c r="J149" i="36"/>
  <c r="J150" i="36"/>
  <c r="J166" i="36"/>
  <c r="J165" i="36"/>
  <c r="J48" i="36"/>
  <c r="J47" i="36"/>
  <c r="J62" i="36"/>
  <c r="J61" i="36"/>
  <c r="J105" i="36"/>
  <c r="J106" i="36"/>
  <c r="J34" i="36"/>
  <c r="J33" i="36"/>
  <c r="J135" i="36"/>
  <c r="J136" i="36"/>
  <c r="J122" i="36"/>
  <c r="J121" i="36"/>
  <c r="J20" i="36"/>
  <c r="J19" i="36"/>
  <c r="E75" i="24"/>
  <c r="M75" i="24"/>
  <c r="G75" i="24"/>
  <c r="K75" i="24"/>
  <c r="F75" i="24"/>
  <c r="H75" i="24"/>
  <c r="J75" i="24"/>
  <c r="N75" i="24"/>
  <c r="I75" i="24"/>
  <c r="N16" i="24"/>
  <c r="M16" i="24"/>
  <c r="L16" i="24"/>
  <c r="K16" i="24"/>
  <c r="J16" i="24"/>
  <c r="I16" i="24"/>
  <c r="H16" i="24"/>
  <c r="G16" i="24"/>
  <c r="F16" i="24"/>
  <c r="E5" i="24"/>
  <c r="F4" i="24"/>
  <c r="G4" i="24" s="1"/>
  <c r="H4" i="24" s="1"/>
  <c r="I4" i="24" s="1"/>
  <c r="J4" i="24" s="1"/>
  <c r="K4" i="24" s="1"/>
  <c r="L4" i="24" s="1"/>
  <c r="M4" i="24" s="1"/>
  <c r="N4" i="24" s="1"/>
  <c r="K81" i="36"/>
  <c r="K155" i="36"/>
  <c r="K51" i="36"/>
  <c r="K95" i="36"/>
  <c r="K111" i="36"/>
  <c r="K139" i="36"/>
  <c r="K9" i="36"/>
  <c r="K37" i="36"/>
  <c r="K23" i="36"/>
  <c r="K125" i="36"/>
  <c r="K67" i="36"/>
  <c r="E19" i="38" l="1"/>
  <c r="E21" i="38"/>
  <c r="F19" i="38"/>
  <c r="F21" i="38"/>
  <c r="G19" i="38"/>
  <c r="G21" i="38"/>
  <c r="R89" i="38"/>
  <c r="R44" i="38" s="1"/>
  <c r="K18" i="38" s="1"/>
  <c r="AC92" i="38"/>
  <c r="I19" i="38"/>
  <c r="I21" i="38"/>
  <c r="J19" i="38"/>
  <c r="J21" i="38"/>
  <c r="H19" i="38"/>
  <c r="H21" i="38"/>
  <c r="AC22" i="38"/>
  <c r="K22" i="38"/>
  <c r="P12" i="36"/>
  <c r="R12" i="36"/>
  <c r="Q12" i="36"/>
  <c r="V12" i="36"/>
  <c r="T12" i="36"/>
  <c r="Y12" i="36"/>
  <c r="S12" i="36"/>
  <c r="X12" i="36"/>
  <c r="U12" i="36"/>
  <c r="W12" i="36"/>
  <c r="P13" i="36"/>
  <c r="Y13" i="36"/>
  <c r="W13" i="36"/>
  <c r="V13" i="36"/>
  <c r="X13" i="36"/>
  <c r="U13" i="36"/>
  <c r="T13" i="36"/>
  <c r="Q13" i="36"/>
  <c r="S13" i="36"/>
  <c r="R13" i="36"/>
  <c r="K10" i="38"/>
  <c r="L9" i="38"/>
  <c r="S87" i="38"/>
  <c r="T82" i="38"/>
  <c r="S82" i="38"/>
  <c r="AD77" i="38" s="1"/>
  <c r="R83" i="38"/>
  <c r="S43" i="38"/>
  <c r="P45" i="38"/>
  <c r="P61" i="38"/>
  <c r="T40" i="38"/>
  <c r="E7" i="24"/>
  <c r="E82" i="24" s="1"/>
  <c r="E30" i="38"/>
  <c r="K47" i="36"/>
  <c r="K48" i="36"/>
  <c r="K19" i="36"/>
  <c r="K20" i="36"/>
  <c r="K106" i="36"/>
  <c r="K105" i="36"/>
  <c r="K149" i="36"/>
  <c r="K150" i="36"/>
  <c r="K122" i="36"/>
  <c r="K121" i="36"/>
  <c r="K166" i="36"/>
  <c r="K165" i="36"/>
  <c r="K77" i="36"/>
  <c r="K78" i="36"/>
  <c r="K61" i="36"/>
  <c r="K62" i="36"/>
  <c r="K92" i="36"/>
  <c r="K91" i="36"/>
  <c r="K34" i="36"/>
  <c r="K33" i="36"/>
  <c r="K135" i="36"/>
  <c r="K136" i="36"/>
  <c r="J18" i="24"/>
  <c r="J20" i="24" s="1"/>
  <c r="K18" i="24"/>
  <c r="K20" i="24" s="1"/>
  <c r="L18" i="24"/>
  <c r="L20" i="24" s="1"/>
  <c r="I18" i="24"/>
  <c r="I20" i="24" s="1"/>
  <c r="N18" i="24"/>
  <c r="N20" i="24" s="1"/>
  <c r="M18" i="24"/>
  <c r="M20" i="24" s="1"/>
  <c r="G18" i="24"/>
  <c r="G20" i="24" s="1"/>
  <c r="H18" i="24"/>
  <c r="H20" i="24" s="1"/>
  <c r="F18" i="24"/>
  <c r="F20" i="24" s="1"/>
  <c r="F82" i="24"/>
  <c r="G82" i="24"/>
  <c r="H82" i="24"/>
  <c r="I82" i="24"/>
  <c r="J82" i="24"/>
  <c r="K82" i="24"/>
  <c r="L82" i="24"/>
  <c r="M82" i="24"/>
  <c r="N82" i="24"/>
  <c r="M221" i="36" s="1"/>
  <c r="E21" i="19"/>
  <c r="E25" i="19"/>
  <c r="T83" i="38" l="1"/>
  <c r="M19" i="38" s="1"/>
  <c r="AE77" i="38"/>
  <c r="S89" i="38"/>
  <c r="S44" i="38" s="1"/>
  <c r="AD92" i="38"/>
  <c r="K23" i="38"/>
  <c r="AC23" i="38"/>
  <c r="AD22" i="38"/>
  <c r="L22" i="38"/>
  <c r="R45" i="38"/>
  <c r="K19" i="38"/>
  <c r="T43" i="38"/>
  <c r="M9" i="38"/>
  <c r="L10" i="38"/>
  <c r="T87" i="38"/>
  <c r="S83" i="38"/>
  <c r="L19" i="38" s="1"/>
  <c r="E10" i="24"/>
  <c r="E12" i="24" s="1"/>
  <c r="E14" i="24" s="1"/>
  <c r="K85" i="24"/>
  <c r="S39" i="24"/>
  <c r="S40" i="24" s="1"/>
  <c r="K103" i="24"/>
  <c r="H85" i="24"/>
  <c r="H103" i="24"/>
  <c r="N85" i="24"/>
  <c r="M224" i="36" s="1"/>
  <c r="Q22" i="24"/>
  <c r="Q23" i="24" s="1"/>
  <c r="V39" i="24"/>
  <c r="V40" i="24" s="1"/>
  <c r="N103" i="24"/>
  <c r="E40" i="38"/>
  <c r="E43" i="38" s="1"/>
  <c r="E59" i="38"/>
  <c r="P59" i="38" s="1"/>
  <c r="F31" i="38"/>
  <c r="P31" i="38" s="1"/>
  <c r="P30" i="38"/>
  <c r="E39" i="38"/>
  <c r="P39" i="38" s="1"/>
  <c r="E35" i="38"/>
  <c r="P35" i="38" s="1"/>
  <c r="F85" i="24"/>
  <c r="F103" i="24"/>
  <c r="G85" i="24"/>
  <c r="G103" i="24"/>
  <c r="M85" i="24"/>
  <c r="M103" i="24"/>
  <c r="U39" i="24"/>
  <c r="U40" i="24" s="1"/>
  <c r="I85" i="24"/>
  <c r="I103" i="24"/>
  <c r="Q39" i="24"/>
  <c r="Q40" i="24" s="1"/>
  <c r="L85" i="24"/>
  <c r="L103" i="24"/>
  <c r="T39" i="24"/>
  <c r="T40" i="24" s="1"/>
  <c r="J85" i="24"/>
  <c r="R39" i="24"/>
  <c r="R40" i="24" s="1"/>
  <c r="J103" i="24"/>
  <c r="K221" i="36"/>
  <c r="L83" i="24"/>
  <c r="L95" i="24"/>
  <c r="T95" i="24" s="1"/>
  <c r="K83" i="24"/>
  <c r="K95" i="24"/>
  <c r="S95" i="24" s="1"/>
  <c r="J83" i="24"/>
  <c r="J95" i="24"/>
  <c r="R95" i="24" s="1"/>
  <c r="I83" i="24"/>
  <c r="I95" i="24"/>
  <c r="Q95" i="24" s="1"/>
  <c r="H83" i="24"/>
  <c r="H95" i="24"/>
  <c r="G83" i="24"/>
  <c r="G95" i="24"/>
  <c r="N83" i="24"/>
  <c r="M222" i="36" s="1"/>
  <c r="P10" i="36" s="1"/>
  <c r="N95" i="24"/>
  <c r="F83" i="24"/>
  <c r="F95" i="24"/>
  <c r="M83" i="24"/>
  <c r="M95" i="24"/>
  <c r="U95" i="24" s="1"/>
  <c r="H28" i="20"/>
  <c r="T89" i="38" l="1"/>
  <c r="T44" i="38" s="1"/>
  <c r="T45" i="38" s="1"/>
  <c r="AE92" i="38"/>
  <c r="AD23" i="38"/>
  <c r="L23" i="38"/>
  <c r="AE22" i="38"/>
  <c r="M22" i="38"/>
  <c r="S45" i="38"/>
  <c r="R46" i="38"/>
  <c r="R48" i="38" s="1"/>
  <c r="M10" i="38"/>
  <c r="E83" i="24"/>
  <c r="K222" i="36" s="1"/>
  <c r="P27" i="36" s="1"/>
  <c r="E47" i="38"/>
  <c r="P47" i="38" s="1"/>
  <c r="E48" i="38"/>
  <c r="M241" i="36"/>
  <c r="V95" i="24"/>
  <c r="W40" i="24"/>
  <c r="K241" i="36"/>
  <c r="H84" i="24"/>
  <c r="G84" i="24"/>
  <c r="I84" i="24"/>
  <c r="M84" i="24"/>
  <c r="J84" i="24"/>
  <c r="F84" i="24"/>
  <c r="K84" i="24"/>
  <c r="N84" i="24"/>
  <c r="M223" i="36" s="1"/>
  <c r="P11" i="36" s="1"/>
  <c r="L84" i="24"/>
  <c r="E84" i="24"/>
  <c r="E16" i="24"/>
  <c r="E18" i="24" s="1"/>
  <c r="E20" i="24" s="1"/>
  <c r="E95" i="36"/>
  <c r="F95" i="36"/>
  <c r="E111" i="36"/>
  <c r="G81" i="36"/>
  <c r="G155" i="36"/>
  <c r="H67" i="36"/>
  <c r="E23" i="36"/>
  <c r="H155" i="36"/>
  <c r="H95" i="36"/>
  <c r="H37" i="36"/>
  <c r="F111" i="36"/>
  <c r="F81" i="36"/>
  <c r="E51" i="36"/>
  <c r="G9" i="36"/>
  <c r="G51" i="36"/>
  <c r="G111" i="36"/>
  <c r="G95" i="36"/>
  <c r="E81" i="36"/>
  <c r="F9" i="36"/>
  <c r="E155" i="36"/>
  <c r="H51" i="36"/>
  <c r="F125" i="36"/>
  <c r="F37" i="36"/>
  <c r="H139" i="36"/>
  <c r="H9" i="36"/>
  <c r="H111" i="36"/>
  <c r="G67" i="36"/>
  <c r="G37" i="36"/>
  <c r="F67" i="36"/>
  <c r="F51" i="36"/>
  <c r="E67" i="36"/>
  <c r="H81" i="36"/>
  <c r="H125" i="36"/>
  <c r="H23" i="36"/>
  <c r="G139" i="36"/>
  <c r="G125" i="36"/>
  <c r="E37" i="36"/>
  <c r="G23" i="36"/>
  <c r="E139" i="36"/>
  <c r="E125" i="36"/>
  <c r="F139" i="36"/>
  <c r="F155" i="36"/>
  <c r="F23" i="36"/>
  <c r="E9" i="36"/>
  <c r="T46" i="38" l="1"/>
  <c r="T48" i="38" s="1"/>
  <c r="M23" i="38"/>
  <c r="AE23" i="38"/>
  <c r="I257" i="36"/>
  <c r="G257" i="36"/>
  <c r="S253" i="36" s="1"/>
  <c r="E257" i="36"/>
  <c r="F257" i="36"/>
  <c r="H257" i="36"/>
  <c r="E253" i="36"/>
  <c r="G254" i="36"/>
  <c r="E254" i="36"/>
  <c r="H254" i="36"/>
  <c r="F254" i="36"/>
  <c r="I254" i="36"/>
  <c r="G253" i="36"/>
  <c r="Q253" i="36" s="1"/>
  <c r="I253" i="36"/>
  <c r="H253" i="36"/>
  <c r="F253" i="36"/>
  <c r="E255" i="36"/>
  <c r="F255" i="36"/>
  <c r="H255" i="36"/>
  <c r="G255" i="36"/>
  <c r="R253" i="36" s="1"/>
  <c r="I255" i="36"/>
  <c r="F241" i="36"/>
  <c r="G241" i="36"/>
  <c r="R252" i="36" s="1"/>
  <c r="H241" i="36"/>
  <c r="I241" i="36"/>
  <c r="E241" i="36"/>
  <c r="E240" i="36"/>
  <c r="E239" i="36"/>
  <c r="E232" i="36"/>
  <c r="Q193" i="36" s="1"/>
  <c r="E231" i="36"/>
  <c r="Q191" i="36" s="1"/>
  <c r="E230" i="36"/>
  <c r="Q189" i="36" s="1"/>
  <c r="E224" i="36"/>
  <c r="E223" i="36"/>
  <c r="E222" i="36"/>
  <c r="E221" i="36"/>
  <c r="G230" i="36"/>
  <c r="Q28" i="36"/>
  <c r="Q27" i="36"/>
  <c r="S46" i="38"/>
  <c r="S48" i="38" s="1"/>
  <c r="S50" i="38" s="1"/>
  <c r="L18" i="38"/>
  <c r="M18" i="38"/>
  <c r="R56" i="38"/>
  <c r="R50" i="38"/>
  <c r="I240" i="36"/>
  <c r="I239" i="36"/>
  <c r="G239" i="36"/>
  <c r="Q252" i="36" s="1"/>
  <c r="H239" i="36"/>
  <c r="H240" i="36"/>
  <c r="G240" i="36"/>
  <c r="I247" i="36"/>
  <c r="H247" i="36"/>
  <c r="G247" i="36"/>
  <c r="S252" i="36" s="1"/>
  <c r="F247" i="36"/>
  <c r="F240" i="36"/>
  <c r="F239" i="36"/>
  <c r="E247" i="36"/>
  <c r="I232" i="36"/>
  <c r="I231" i="36"/>
  <c r="H231" i="36"/>
  <c r="G231" i="36"/>
  <c r="G232" i="36"/>
  <c r="H232" i="36"/>
  <c r="F232" i="36"/>
  <c r="R193" i="36" s="1"/>
  <c r="F231" i="36"/>
  <c r="R191" i="36" s="1"/>
  <c r="I230" i="36"/>
  <c r="H230" i="36"/>
  <c r="F230" i="36"/>
  <c r="R189" i="36" s="1"/>
  <c r="I224" i="36"/>
  <c r="G224" i="36"/>
  <c r="H224" i="36"/>
  <c r="F224" i="36"/>
  <c r="I223" i="36"/>
  <c r="H223" i="36"/>
  <c r="G223" i="36"/>
  <c r="F223" i="36"/>
  <c r="I222" i="36"/>
  <c r="H222" i="36"/>
  <c r="G222" i="36"/>
  <c r="F222" i="36"/>
  <c r="I221" i="36"/>
  <c r="H221" i="36"/>
  <c r="G221" i="36"/>
  <c r="F221" i="36"/>
  <c r="E85" i="24"/>
  <c r="K224" i="36" s="1"/>
  <c r="E57" i="38"/>
  <c r="P57" i="38" s="1"/>
  <c r="E50" i="38"/>
  <c r="E53" i="38" s="1"/>
  <c r="S56" i="38"/>
  <c r="T50" i="38"/>
  <c r="T56" i="38"/>
  <c r="H48" i="36"/>
  <c r="H47" i="36"/>
  <c r="H105" i="36"/>
  <c r="H106" i="36"/>
  <c r="H165" i="36"/>
  <c r="H166" i="36"/>
  <c r="H122" i="36"/>
  <c r="H121" i="36"/>
  <c r="H20" i="36"/>
  <c r="H19" i="36"/>
  <c r="H150" i="36"/>
  <c r="H149" i="36"/>
  <c r="H77" i="36"/>
  <c r="H78" i="36"/>
  <c r="H34" i="36"/>
  <c r="H33" i="36"/>
  <c r="H135" i="36"/>
  <c r="H136" i="36"/>
  <c r="H91" i="36"/>
  <c r="H92" i="36"/>
  <c r="H61" i="36"/>
  <c r="H62" i="36"/>
  <c r="F62" i="36"/>
  <c r="F61" i="36"/>
  <c r="E121" i="36"/>
  <c r="E122" i="36"/>
  <c r="E165" i="36"/>
  <c r="E166" i="36"/>
  <c r="F92" i="36"/>
  <c r="F91" i="36"/>
  <c r="F106" i="36"/>
  <c r="F105" i="36"/>
  <c r="E48" i="36"/>
  <c r="E47" i="36"/>
  <c r="F33" i="36"/>
  <c r="F34" i="36"/>
  <c r="E91" i="36"/>
  <c r="E92" i="36"/>
  <c r="F165" i="36"/>
  <c r="F166" i="36"/>
  <c r="E33" i="36"/>
  <c r="E34" i="36"/>
  <c r="F150" i="36"/>
  <c r="F149" i="36"/>
  <c r="F48" i="36"/>
  <c r="F47" i="36"/>
  <c r="E136" i="36"/>
  <c r="E135" i="36"/>
  <c r="F135" i="36"/>
  <c r="F136" i="36"/>
  <c r="E149" i="36"/>
  <c r="E150" i="36"/>
  <c r="E78" i="36"/>
  <c r="E77" i="36"/>
  <c r="F78" i="36"/>
  <c r="F77" i="36"/>
  <c r="E62" i="36"/>
  <c r="E61" i="36"/>
  <c r="F20" i="36"/>
  <c r="F19" i="36"/>
  <c r="F121" i="36"/>
  <c r="F122" i="36"/>
  <c r="E105" i="36"/>
  <c r="E106" i="36"/>
  <c r="E20" i="36"/>
  <c r="E19" i="36"/>
  <c r="G77" i="36"/>
  <c r="G78" i="36"/>
  <c r="G135" i="36"/>
  <c r="G136" i="36"/>
  <c r="G106" i="36"/>
  <c r="G105" i="36"/>
  <c r="G150" i="36"/>
  <c r="G149" i="36"/>
  <c r="G122" i="36"/>
  <c r="G121" i="36"/>
  <c r="G62" i="36"/>
  <c r="G61" i="36"/>
  <c r="G166" i="36"/>
  <c r="G165" i="36"/>
  <c r="G20" i="36"/>
  <c r="G19" i="36"/>
  <c r="G92" i="36"/>
  <c r="G91" i="36"/>
  <c r="G33" i="36"/>
  <c r="G34" i="36"/>
  <c r="G48" i="36"/>
  <c r="G47" i="36"/>
  <c r="K223" i="36"/>
  <c r="P28" i="36" s="1"/>
  <c r="P114" i="36" l="1"/>
  <c r="Q114" i="36" s="1"/>
  <c r="R114" i="36" s="1"/>
  <c r="S114" i="36" s="1"/>
  <c r="T114" i="36" s="1"/>
  <c r="U114" i="36" s="1"/>
  <c r="V114" i="36" s="1"/>
  <c r="W114" i="36" s="1"/>
  <c r="X114" i="36" s="1"/>
  <c r="Y114" i="36" s="1"/>
  <c r="P113" i="36"/>
  <c r="Q113" i="36" s="1"/>
  <c r="S189" i="36"/>
  <c r="T193" i="36"/>
  <c r="U191" i="36"/>
  <c r="U193" i="36"/>
  <c r="S193" i="36"/>
  <c r="S191" i="36"/>
  <c r="T191" i="36"/>
  <c r="U189" i="36"/>
  <c r="T189" i="36"/>
  <c r="P29" i="36"/>
  <c r="Q29" i="36" s="1"/>
  <c r="R29" i="36" s="1"/>
  <c r="S29" i="36" s="1"/>
  <c r="T29" i="36" s="1"/>
  <c r="U29" i="36" s="1"/>
  <c r="V29" i="36" s="1"/>
  <c r="W29" i="36" s="1"/>
  <c r="X29" i="36" s="1"/>
  <c r="Y29" i="36" s="1"/>
  <c r="P30" i="36"/>
  <c r="Q30" i="36" s="1"/>
  <c r="R30" i="36" s="1"/>
  <c r="S30" i="36" s="1"/>
  <c r="T30" i="36" s="1"/>
  <c r="U30" i="36" s="1"/>
  <c r="V30" i="36" s="1"/>
  <c r="W30" i="36" s="1"/>
  <c r="X30" i="36" s="1"/>
  <c r="Y30" i="36" s="1"/>
  <c r="R62" i="38"/>
  <c r="R67" i="38" s="1"/>
  <c r="K20" i="38" s="1"/>
  <c r="K14" i="38"/>
  <c r="K21" i="38" s="1"/>
  <c r="T62" i="38"/>
  <c r="M12" i="38" s="1"/>
  <c r="S62" i="38"/>
  <c r="S64" i="38" s="1"/>
  <c r="S66" i="38" s="1"/>
  <c r="L13" i="38" s="1"/>
  <c r="K11" i="38"/>
  <c r="R53" i="38"/>
  <c r="K17" i="38" s="1"/>
  <c r="T53" i="38"/>
  <c r="M17" i="38" s="1"/>
  <c r="M11" i="38"/>
  <c r="S53" i="38"/>
  <c r="L17" i="38" s="1"/>
  <c r="L11" i="38"/>
  <c r="F182" i="36" a="1"/>
  <c r="F182" i="36" s="1"/>
  <c r="J182" i="36" a="1"/>
  <c r="J182" i="36" s="1"/>
  <c r="F194" i="36" a="1"/>
  <c r="F194" i="36" s="1"/>
  <c r="J194" i="36" a="1"/>
  <c r="J194" i="36" s="1"/>
  <c r="H202" i="36" a="1"/>
  <c r="H202" i="36" s="1"/>
  <c r="G177" i="36" a="1"/>
  <c r="G177" i="36" s="1"/>
  <c r="K177" i="36" a="1"/>
  <c r="K177" i="36" s="1"/>
  <c r="G207" i="36" a="1"/>
  <c r="G207" i="36" s="1"/>
  <c r="K207" i="36" a="1"/>
  <c r="K207" i="36" s="1"/>
  <c r="E196" i="36" a="1"/>
  <c r="E196" i="36" s="1"/>
  <c r="I196" i="36" a="1"/>
  <c r="I196" i="36" s="1"/>
  <c r="E189" i="36" a="1"/>
  <c r="E189" i="36" s="1"/>
  <c r="I189" i="36" a="1"/>
  <c r="I189" i="36" s="1"/>
  <c r="F178" i="36" a="1"/>
  <c r="F178" i="36" s="1"/>
  <c r="J178" i="36" a="1"/>
  <c r="J178" i="36" s="1"/>
  <c r="H176" i="36" a="1"/>
  <c r="H176" i="36" s="1"/>
  <c r="H175" i="36" a="1"/>
  <c r="H175" i="36" s="1"/>
  <c r="F183" i="36" a="1"/>
  <c r="F183" i="36" s="1"/>
  <c r="J183" i="36" a="1"/>
  <c r="J183" i="36" s="1"/>
  <c r="G183" i="36" a="1"/>
  <c r="G183" i="36" s="1"/>
  <c r="K183" i="36" a="1"/>
  <c r="K183" i="36" s="1"/>
  <c r="G202" i="36" a="1"/>
  <c r="G202" i="36" s="1"/>
  <c r="K202" i="36" a="1"/>
  <c r="K202" i="36" s="1"/>
  <c r="E191" i="36" a="1"/>
  <c r="E191" i="36" s="1"/>
  <c r="I191" i="36" a="1"/>
  <c r="I191" i="36" s="1"/>
  <c r="E194" i="36" a="1"/>
  <c r="E194" i="36" s="1"/>
  <c r="I194" i="36" a="1"/>
  <c r="I194" i="36" s="1"/>
  <c r="F184" i="36" a="1"/>
  <c r="F184" i="36" s="1"/>
  <c r="J184" i="36" a="1"/>
  <c r="J184" i="36" s="1"/>
  <c r="H182" i="36" a="1"/>
  <c r="H182" i="36" s="1"/>
  <c r="H181" i="36" a="1"/>
  <c r="H181" i="36" s="1"/>
  <c r="E181" i="36" a="1"/>
  <c r="E181" i="36" s="1"/>
  <c r="I181" i="36" a="1"/>
  <c r="I181" i="36" s="1"/>
  <c r="F176" i="36" a="1"/>
  <c r="F176" i="36" s="1"/>
  <c r="J176" i="36" a="1"/>
  <c r="J176" i="36" s="1"/>
  <c r="G182" i="36" a="1"/>
  <c r="G182" i="36" s="1"/>
  <c r="K182" i="36" a="1"/>
  <c r="K182" i="36" s="1"/>
  <c r="G178" i="36" a="1"/>
  <c r="G178" i="36" s="1"/>
  <c r="K178" i="36" a="1"/>
  <c r="K178" i="36" s="1"/>
  <c r="G194" i="36" a="1"/>
  <c r="G194" i="36" s="1"/>
  <c r="K194" i="36" a="1"/>
  <c r="K194" i="36" s="1"/>
  <c r="F206" i="36" a="1"/>
  <c r="F206" i="36" s="1"/>
  <c r="J206" i="36" a="1"/>
  <c r="J206" i="36" s="1"/>
  <c r="E208" i="36" a="1"/>
  <c r="E208" i="36" s="1"/>
  <c r="I208" i="36" a="1"/>
  <c r="I208" i="36" s="1"/>
  <c r="F203" i="36" a="1"/>
  <c r="F203" i="36" s="1"/>
  <c r="J203" i="36" a="1"/>
  <c r="J203" i="36" s="1"/>
  <c r="E177" i="36" a="1"/>
  <c r="E177" i="36" s="1"/>
  <c r="I177" i="36" a="1"/>
  <c r="I177" i="36" s="1"/>
  <c r="H201" i="36" a="1"/>
  <c r="H201" i="36" s="1"/>
  <c r="F189" i="36" a="1"/>
  <c r="F189" i="36" s="1"/>
  <c r="J189" i="36" a="1"/>
  <c r="J189" i="36" s="1"/>
  <c r="E201" i="36" a="1"/>
  <c r="E201" i="36" s="1"/>
  <c r="I201" i="36" a="1"/>
  <c r="I201" i="36" s="1"/>
  <c r="G176" i="36" a="1"/>
  <c r="G176" i="36" s="1"/>
  <c r="K176" i="36" a="1"/>
  <c r="K176" i="36" s="1"/>
  <c r="G184" i="36" a="1"/>
  <c r="G184" i="36" s="1"/>
  <c r="K184" i="36" a="1"/>
  <c r="K184" i="36" s="1"/>
  <c r="G189" i="36" a="1"/>
  <c r="G189" i="36" s="1"/>
  <c r="K189" i="36" a="1"/>
  <c r="K189" i="36" s="1"/>
  <c r="F201" i="36" a="1"/>
  <c r="F201" i="36" s="1"/>
  <c r="J201" i="36" a="1"/>
  <c r="J201" i="36" s="1"/>
  <c r="E203" i="36" a="1"/>
  <c r="E203" i="36" s="1"/>
  <c r="I203" i="36" a="1"/>
  <c r="I203" i="36" s="1"/>
  <c r="F208" i="36" a="1"/>
  <c r="F208" i="36" s="1"/>
  <c r="J208" i="36" a="1"/>
  <c r="J208" i="36" s="1"/>
  <c r="E183" i="36" a="1"/>
  <c r="E183" i="36" s="1"/>
  <c r="I183" i="36" a="1"/>
  <c r="I183" i="36" s="1"/>
  <c r="H206" i="36" a="1"/>
  <c r="H206" i="36" s="1"/>
  <c r="G191" i="36" a="1"/>
  <c r="G191" i="36" s="1"/>
  <c r="K191" i="36" a="1"/>
  <c r="K191" i="36" s="1"/>
  <c r="G201" i="36" a="1"/>
  <c r="G201" i="36" s="1"/>
  <c r="K201" i="36" a="1"/>
  <c r="K201" i="36" s="1"/>
  <c r="F175" i="36" a="1"/>
  <c r="F175" i="36" s="1"/>
  <c r="J175" i="36" a="1"/>
  <c r="J175" i="36" s="1"/>
  <c r="F207" i="36" a="1"/>
  <c r="F207" i="36" s="1"/>
  <c r="J207" i="36" a="1"/>
  <c r="J207" i="36" s="1"/>
  <c r="E182" i="36" a="1"/>
  <c r="E182" i="36" s="1"/>
  <c r="I182" i="36" a="1"/>
  <c r="I182" i="36" s="1"/>
  <c r="F191" i="36" a="1"/>
  <c r="F191" i="36" s="1"/>
  <c r="J191" i="36" a="1"/>
  <c r="J191" i="36" s="1"/>
  <c r="H184" i="36" a="1"/>
  <c r="H184" i="36" s="1"/>
  <c r="H194" i="36" a="1"/>
  <c r="H194" i="36" s="1"/>
  <c r="G196" i="36" a="1"/>
  <c r="G196" i="36" s="1"/>
  <c r="K196" i="36" a="1"/>
  <c r="K196" i="36" s="1"/>
  <c r="F181" i="36" a="1"/>
  <c r="F181" i="36" s="1"/>
  <c r="J181" i="36" a="1"/>
  <c r="J181" i="36" s="1"/>
  <c r="F202" i="36" a="1"/>
  <c r="F202" i="36" s="1"/>
  <c r="J202" i="36" a="1"/>
  <c r="J202" i="36" s="1"/>
  <c r="F196" i="36" a="1"/>
  <c r="F196" i="36" s="1"/>
  <c r="J196" i="36" a="1"/>
  <c r="J196" i="36" s="1"/>
  <c r="H178" i="36" a="1"/>
  <c r="H178" i="36" s="1"/>
  <c r="H189" i="36" a="1"/>
  <c r="H189" i="36" s="1"/>
  <c r="H213" i="36" a="1"/>
  <c r="H213" i="36" s="1"/>
  <c r="G213" i="36" a="1"/>
  <c r="G213" i="36" s="1"/>
  <c r="K213" i="36" a="1"/>
  <c r="K213" i="36" s="1"/>
  <c r="F177" i="36" a="1"/>
  <c r="F177" i="36" s="1"/>
  <c r="J177" i="36" a="1"/>
  <c r="J177" i="36" s="1"/>
  <c r="H207" i="36" a="1"/>
  <c r="H207" i="36" s="1"/>
  <c r="G206" i="36" a="1"/>
  <c r="G206" i="36" s="1"/>
  <c r="K206" i="36" a="1"/>
  <c r="K206" i="36" s="1"/>
  <c r="E176" i="36" a="1"/>
  <c r="E176" i="36" s="1"/>
  <c r="I176" i="36" a="1"/>
  <c r="I176" i="36" s="1"/>
  <c r="G190" i="36" a="1"/>
  <c r="G190" i="36" s="1"/>
  <c r="K190" i="36" a="1"/>
  <c r="K190" i="36" s="1"/>
  <c r="E178" i="36" a="1"/>
  <c r="E178" i="36" s="1"/>
  <c r="I178" i="36" a="1"/>
  <c r="I178" i="36" s="1"/>
  <c r="E202" i="36" a="1"/>
  <c r="E202" i="36" s="1"/>
  <c r="I202" i="36" a="1"/>
  <c r="I202" i="36" s="1"/>
  <c r="F190" i="36" a="1"/>
  <c r="F190" i="36" s="1"/>
  <c r="J190" i="36" a="1"/>
  <c r="J190" i="36" s="1"/>
  <c r="H196" i="36" a="1"/>
  <c r="H196" i="36" s="1"/>
  <c r="G195" i="36" a="1"/>
  <c r="G195" i="36" s="1"/>
  <c r="K195" i="36" a="1"/>
  <c r="K195" i="36" s="1"/>
  <c r="E184" i="36" a="1"/>
  <c r="E184" i="36" s="1"/>
  <c r="I184" i="36" a="1"/>
  <c r="I184" i="36" s="1"/>
  <c r="E207" i="36" a="1"/>
  <c r="E207" i="36" s="1"/>
  <c r="I207" i="36" a="1"/>
  <c r="I207" i="36" s="1"/>
  <c r="F213" i="36" a="1"/>
  <c r="F213" i="36" s="1"/>
  <c r="J213" i="36" a="1"/>
  <c r="J213" i="36" s="1"/>
  <c r="F195" i="36" a="1"/>
  <c r="F195" i="36" s="1"/>
  <c r="J195" i="36" a="1"/>
  <c r="J195" i="36" s="1"/>
  <c r="H191" i="36" a="1"/>
  <c r="H191" i="36" s="1"/>
  <c r="E175" i="36" a="1"/>
  <c r="E175" i="36" s="1"/>
  <c r="I175" i="36" a="1"/>
  <c r="I175" i="36" s="1"/>
  <c r="G175" i="36" a="1"/>
  <c r="G175" i="36" s="1"/>
  <c r="K175" i="36" a="1"/>
  <c r="K175" i="36" s="1"/>
  <c r="G203" i="36" a="1"/>
  <c r="G203" i="36" s="1"/>
  <c r="K203" i="36" a="1"/>
  <c r="K203" i="36" s="1"/>
  <c r="E195" i="36" a="1"/>
  <c r="E195" i="36" s="1"/>
  <c r="I195" i="36" a="1"/>
  <c r="I195" i="36" s="1"/>
  <c r="H195" i="36" a="1"/>
  <c r="H195" i="36" s="1"/>
  <c r="H203" i="36" a="1"/>
  <c r="H203" i="36" s="1"/>
  <c r="H177" i="36" a="1"/>
  <c r="H177" i="36" s="1"/>
  <c r="E206" i="36" a="1"/>
  <c r="E206" i="36" s="1"/>
  <c r="I206" i="36" a="1"/>
  <c r="I206" i="36" s="1"/>
  <c r="G181" i="36" a="1"/>
  <c r="G181" i="36" s="1"/>
  <c r="K181" i="36" a="1"/>
  <c r="K181" i="36" s="1"/>
  <c r="G208" i="36" a="1"/>
  <c r="G208" i="36" s="1"/>
  <c r="K208" i="36" a="1"/>
  <c r="K208" i="36" s="1"/>
  <c r="E190" i="36" a="1"/>
  <c r="E190" i="36" s="1"/>
  <c r="I190" i="36" a="1"/>
  <c r="I190" i="36" s="1"/>
  <c r="E213" i="36" a="1"/>
  <c r="E213" i="36" s="1"/>
  <c r="I213" i="36" a="1"/>
  <c r="I213" i="36" s="1"/>
  <c r="H190" i="36" a="1"/>
  <c r="H190" i="36" s="1"/>
  <c r="H208" i="36" a="1"/>
  <c r="H208" i="36" s="1"/>
  <c r="H183" i="36" a="1"/>
  <c r="H183" i="36" s="1"/>
  <c r="R113" i="36" l="1"/>
  <c r="S113" i="36" s="1"/>
  <c r="T113" i="36" s="1"/>
  <c r="U113" i="36" s="1"/>
  <c r="V113" i="36" s="1"/>
  <c r="W113" i="36" s="1"/>
  <c r="X113" i="36" s="1"/>
  <c r="Y113" i="36" s="1"/>
  <c r="K12" i="38"/>
  <c r="T64" i="38"/>
  <c r="T66" i="38" s="1"/>
  <c r="M13" i="38" s="1"/>
  <c r="L12" i="38"/>
  <c r="L14" i="38"/>
  <c r="L21" i="38" s="1"/>
  <c r="M14" i="38" l="1"/>
  <c r="M21" i="3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Theodor Hogan</author>
  </authors>
  <commentList>
    <comment ref="A1" authorId="0" shapeId="0" xr:uid="{26812DC1-B989-46BC-8167-777A4C6C259F}">
      <text>
        <r>
          <rPr>
            <b/>
            <sz val="8"/>
            <color indexed="81"/>
            <rFont val="Tahoma"/>
            <family val="2"/>
          </rPr>
          <t>&lt;?xml version="1.0" encoding="utf-8"?&gt;&lt;Schema xmlns:xsd="http://www.w3.org/2001/XMLSchema" xmlns:xsi="http://www.w3.org/2001/XMLSchema-instance" Version="2" Timestamp="1764065892"&gt;&lt;FQL&gt;&lt;Q&gt;F-US^FG_PRICE(45962,,,EUR)&lt;/Q&gt;&lt;R&gt;1&lt;/R&gt;&lt;C&gt;1&lt;/C&gt;&lt;D xsi:type="xsd:double"&gt;11.375845&lt;/D&gt;&lt;/FQL&gt;&lt;FQL&gt;&lt;Q&gt;GM-US^FG_PRICE(45962,,,EUR)&lt;/Q&gt;&lt;R&gt;1&lt;/R&gt;&lt;C&gt;1&lt;/C&gt;&lt;D xsi:type="xsd:double"&gt;59.85964&lt;/D&gt;&lt;/FQL&gt;&lt;FQL&gt;&lt;Q&gt;7267-JP^FG_PRICE(45962,,,EUR)&lt;/Q&gt;&lt;R&gt;1&lt;/R&gt;&lt;C&gt;1&lt;/C&gt;&lt;D xsi:type="xsd:double"&gt;8.7733965&lt;/D&gt;&lt;/FQL&gt;&lt;FQL&gt;&lt;Q&gt;7203-JP^FG_PRICE(45962,,,EUR)&lt;/Q&gt;&lt;R&gt;1&lt;/R&gt;&lt;C&gt;1&lt;/C&gt;&lt;D xsi:type="xsd:double"&gt;17.648024&lt;/D&gt;&lt;/FQL&gt;&lt;FQL&gt;&lt;Q&gt;MBG-DE^FG_PRICE(45962,,,EUR)&lt;/Q&gt;&lt;R&gt;1&lt;/R&gt;&lt;C&gt;1&lt;/C&gt;&lt;D xsi:type="xsd:double"&gt;56.21&lt;/D&gt;&lt;/FQL&gt;&lt;FQL&gt;&lt;Q&gt;BMW-DE^FG_PRICE(45962,,,EUR)&lt;/Q&gt;&lt;R&gt;1&lt;/R&gt;&lt;C&gt;1&lt;/C&gt;&lt;D xsi:type="xsd:double"&gt;80.72&lt;/D&gt;&lt;/FQL&gt;&lt;FQL&gt;&lt;Q&gt;VOW-DE^FG_PRICE(45962,,,EUR)&lt;/Q&gt;&lt;R&gt;1&lt;/R&gt;&lt;C&gt;1&lt;/C&gt;&lt;D xsi:type="xsd:double"&gt;91.35&lt;/D&gt;&lt;/FQL&gt;&lt;FQL&gt;&lt;Q&gt;7201-JP^FG_PRICE(45962,,,EUR)&lt;/Q&gt;&lt;R&gt;1&lt;/R&gt;&lt;C&gt;1&lt;/C&gt;&lt;D xsi:type="xsd:double"&gt;1.9880741&lt;/D&gt;&lt;/FQL&gt;&lt;FQL&gt;&lt;Q&gt;STLAM-IT^FG_PRICE(45962,,,EUR)&lt;/Q&gt;&lt;R&gt;1&lt;/R&gt;&lt;C&gt;1&lt;/C&gt;&lt;D xsi:type="xsd:double"&gt;8.778&lt;/D&gt;&lt;/FQL&gt;&lt;/Schema&gt;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Theodor Hogan</author>
  </authors>
  <commentList>
    <comment ref="P47" authorId="0" shapeId="0" xr:uid="{6ABB50F4-AB38-41F2-9C93-F736913A0A3D}">
      <text>
        <r>
          <rPr>
            <b/>
            <sz val="9"/>
            <color indexed="81"/>
            <rFont val="Tahoma"/>
            <family val="2"/>
          </rPr>
          <t>Theodor Hogan:</t>
        </r>
        <r>
          <rPr>
            <sz val="9"/>
            <color indexed="81"/>
            <rFont val="Tahoma"/>
            <family val="2"/>
          </rPr>
          <t xml:space="preserve">
we will choose the maximum of the corporate tax rate per country or historical (statutory rate 29.9)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Rikus van der Vegt</author>
  </authors>
  <commentList>
    <comment ref="B19" authorId="0" shapeId="0" xr:uid="{1F8B0087-C862-4E03-9234-330606B4CBE8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Net non-rec &amp; Non-Operating Expenses items</t>
        </r>
      </text>
    </comment>
    <comment ref="B82" authorId="0" shapeId="0" xr:uid="{66AB93D2-EB0B-4BDB-947D-32E512873A51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Gross Profit / Revenue
</t>
        </r>
      </text>
    </comment>
    <comment ref="B83" authorId="0" shapeId="0" xr:uid="{744FBA0B-B34D-4C7E-8CE2-74515B1FDF2E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EBITDA / Revenue</t>
        </r>
      </text>
    </comment>
    <comment ref="B84" authorId="0" shapeId="0" xr:uid="{73EDA20D-DD5D-4BA9-B3A4-79E3E8FA15B9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Revenue</t>
        </r>
      </text>
    </comment>
    <comment ref="B85" authorId="0" shapeId="0" xr:uid="{052E612F-3F2B-44F4-BAEE-9F67DEBF56A6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(EBIT*(1-Tax Rate))/ Capital Employed
Capital Employed = Total Assest - Current Liabilites</t>
        </r>
      </text>
    </comment>
    <comment ref="B88" authorId="0" shapeId="0" xr:uid="{CA5E4A08-374F-4625-AA88-2712583DFAF0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Current Assets / Current Liabilities</t>
        </r>
      </text>
    </comment>
    <comment ref="B89" authorId="0" shapeId="0" xr:uid="{C3ED5170-F2D6-48E0-83D2-B5648F59530D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(Current Assets - Inventories) / Current Liabilities</t>
        </r>
      </text>
    </comment>
    <comment ref="B90" authorId="0" shapeId="0" xr:uid="{79D65DDC-40AB-46FB-BA67-2277A024226A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(Cash &amp; Cash Equivalents) / Current Liabilities</t>
        </r>
      </text>
    </comment>
    <comment ref="B93" authorId="0" shapeId="0" xr:uid="{B7A5A50A-AF36-482A-9401-5CB31FD5D236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Debt / Equity
</t>
        </r>
      </text>
    </comment>
    <comment ref="B94" authorId="0" shapeId="0" xr:uid="{55692640-1953-481F-B882-3247D9C1C7DC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Total Debt - Cash &amp; Cash Equivalents
</t>
        </r>
      </text>
    </comment>
    <comment ref="B95" authorId="0" shapeId="0" xr:uid="{9FEB3D23-CB53-42FE-B987-EA620E18E5A8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Net Debt / EBITDA</t>
        </r>
      </text>
    </comment>
    <comment ref="B98" authorId="0" shapeId="0" xr:uid="{A32E9E6C-252C-4E26-9E0A-C48788D63E87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Interest Exp</t>
        </r>
      </text>
    </comment>
    <comment ref="B99" authorId="0" shapeId="0" xr:uid="{302D6DE7-6AC0-4702-89B7-7B41F64E4F6A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Net Operating Income / Total debt Service</t>
        </r>
      </text>
    </comment>
    <comment ref="B102" authorId="0" shapeId="0" xr:uid="{54B32898-AAFF-4FCB-A11F-30CA795E655D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EBITDA - increase in NWC - CapEx - Taxes
</t>
        </r>
      </text>
    </comment>
    <comment ref="B103" authorId="0" shapeId="0" xr:uid="{60830C2D-2C39-4A71-8379-429D23180A2B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Div Paid / NI</t>
        </r>
      </text>
    </comment>
    <comment ref="B104" authorId="0" shapeId="0" xr:uid="{851D370F-4B5C-4607-A4B9-C56DE40D8735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Div Paid / FCF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tc={1B891378-6C3D-4832-865E-861E249648AD}</author>
    <author>Rikus van der Vegt</author>
  </authors>
  <commentList>
    <comment ref="L15" authorId="0" shapeId="0" xr:uid="{1B891378-6C3D-4832-865E-861E249648AD}">
      <text>
        <t>[Threaded comment]
Your version of Excel allows you to read this threaded comment; however, any edits to it will get removed if the file is opened in a newer version of Excel. Learn more: https://go.microsoft.com/fwlink/?linkid=870924
Comment:
    FCF is LTM based, makes most sense if we want to incorporate FCF yield (income statement mixed with balancesheet ratio)</t>
      </text>
    </comment>
    <comment ref="B55" authorId="1" shapeId="0" xr:uid="{4CADCB14-1315-47AE-A222-7A9BD8B22E64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Gross Profit / Revenue
</t>
        </r>
      </text>
    </comment>
    <comment ref="B56" authorId="1" shapeId="0" xr:uid="{A3764BF1-EB85-41F3-ACEE-8767AE0D7794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EBITDA / Revenue</t>
        </r>
      </text>
    </comment>
    <comment ref="B57" authorId="1" shapeId="0" xr:uid="{621E3B0C-CCFF-457C-B5B4-50E69E85F450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Revenue</t>
        </r>
      </text>
    </comment>
    <comment ref="B58" authorId="1" shapeId="0" xr:uid="{865D2C52-EDD6-4AE4-B6B4-1A5417C94E6B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(EBIT*(1-Tax Rate))/ Capital Employed
Capital Employed = Total Assest - Current Liabilites</t>
        </r>
      </text>
    </comment>
    <comment ref="B61" authorId="1" shapeId="0" xr:uid="{0D525496-3084-48B5-836E-C1916256DEDD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Current Assets / Current Liabilities</t>
        </r>
      </text>
    </comment>
    <comment ref="B62" authorId="1" shapeId="0" xr:uid="{63288325-8D39-4E30-8C88-A2AEDAF6CA20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(Current Assets - Inventories) / Current Liabilities</t>
        </r>
      </text>
    </comment>
    <comment ref="B63" authorId="1" shapeId="0" xr:uid="{4E71BA31-EA02-48EC-B956-09E3FE47AFC0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(Cash &amp; Cash Equivalents) / Current Liabilities</t>
        </r>
      </text>
    </comment>
    <comment ref="B66" authorId="1" shapeId="0" xr:uid="{D82DA387-B221-47DB-B6C4-558A34A77971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Debt / Equity
</t>
        </r>
      </text>
    </comment>
    <comment ref="B67" authorId="1" shapeId="0" xr:uid="{DCAD53C1-2270-4921-ADB7-CE99306C49AD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Total Debt - Cash &amp; Cash Equivalents
</t>
        </r>
      </text>
    </comment>
    <comment ref="B68" authorId="1" shapeId="0" xr:uid="{9267BD57-8DFD-447D-97FA-8035306150D0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Net Debt / EBITDA</t>
        </r>
      </text>
    </comment>
    <comment ref="B71" authorId="1" shapeId="0" xr:uid="{0272A6E4-1D5B-4F04-A5C1-54176E7766A8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Interest Exp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tc={0233FB2A-8730-4387-92E2-45840F11183C}</author>
    <author>Rikus van der Vegt</author>
  </authors>
  <commentList>
    <comment ref="L15" authorId="0" shapeId="0" xr:uid="{0233FB2A-8730-4387-92E2-45840F11183C}">
      <text>
        <t>[Threaded comment]
Your version of Excel allows you to read this threaded comment; however, any edits to it will get removed if the file is opened in a newer version of Excel. Learn more: https://go.microsoft.com/fwlink/?linkid=870924
Comment:
    FCF is LTM based, makes most sense if we want to incorporate FCF yield (income statement mixed with balancesheet ratio)</t>
      </text>
    </comment>
    <comment ref="B55" authorId="1" shapeId="0" xr:uid="{B8ECE515-B1DA-4B31-8AF6-44BA701E6F54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Gross Profit / Revenue
</t>
        </r>
      </text>
    </comment>
    <comment ref="B56" authorId="1" shapeId="0" xr:uid="{54DB0668-937C-4CA8-8AB7-A54D006A3FE4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EBITDA / Revenue</t>
        </r>
      </text>
    </comment>
    <comment ref="B57" authorId="1" shapeId="0" xr:uid="{8D478CF6-6DC2-4BF8-9BF6-3E47995413F7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Revenue</t>
        </r>
      </text>
    </comment>
    <comment ref="B58" authorId="1" shapeId="0" xr:uid="{E6A03C73-80F9-4919-B09E-E468F559447D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(EBIT*(1-Tax Rate))/ Capital Employed
Capital Employed = Total Assest - Current Liabilites</t>
        </r>
      </text>
    </comment>
    <comment ref="B61" authorId="1" shapeId="0" xr:uid="{3A10A6B0-6E69-4EE4-9411-EAAF5F36F905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Current Assets / Current Liabilities</t>
        </r>
      </text>
    </comment>
    <comment ref="B62" authorId="1" shapeId="0" xr:uid="{7C2E1496-C4A3-4F27-A39A-E1BA43DF81BF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(Current Assets - Inventories) / Current Liabilities</t>
        </r>
      </text>
    </comment>
    <comment ref="B63" authorId="1" shapeId="0" xr:uid="{7D63B65D-2CFC-4E5C-A870-7C476DA5AC5B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(Cash &amp; Cash Equivalents) / Current Liabilities</t>
        </r>
      </text>
    </comment>
    <comment ref="B66" authorId="1" shapeId="0" xr:uid="{72BC2254-A152-4638-91B0-044E234B057C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Debt / Equity
</t>
        </r>
      </text>
    </comment>
    <comment ref="B67" authorId="1" shapeId="0" xr:uid="{71E96529-B308-46BF-BDD6-3E8DA5D8E682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Total Debt - Cash &amp; Cash Equivalents
</t>
        </r>
      </text>
    </comment>
    <comment ref="B68" authorId="1" shapeId="0" xr:uid="{314FAF81-6988-4864-B705-F94DC503B898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Net Debt / EBITDA</t>
        </r>
      </text>
    </comment>
    <comment ref="B71" authorId="1" shapeId="0" xr:uid="{EF2A6917-E892-460E-8FBE-6587E1742F86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Interest Exp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tc={F12B9214-6E51-47E4-B122-8556EAF53A52}</author>
    <author>Rikus van der Vegt</author>
  </authors>
  <commentList>
    <comment ref="L15" authorId="0" shapeId="0" xr:uid="{F12B9214-6E51-47E4-B122-8556EAF53A52}">
      <text>
        <t>[Threaded comment]
Your version of Excel allows you to read this threaded comment; however, any edits to it will get removed if the file is opened in a newer version of Excel. Learn more: https://go.microsoft.com/fwlink/?linkid=870924
Comment:
    FCF is LTM based, makes most sense if we want to incorporate FCF yield (income statement mixed with balancesheet ratio)</t>
      </text>
    </comment>
    <comment ref="B55" authorId="1" shapeId="0" xr:uid="{D441DBDD-FCC3-4B01-AAC9-478B5FDDC62F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Gross Profit / Revenue
</t>
        </r>
      </text>
    </comment>
    <comment ref="B56" authorId="1" shapeId="0" xr:uid="{CB017252-1EF9-48B8-9214-C1E55421D7EB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EBITDA / Revenue</t>
        </r>
      </text>
    </comment>
    <comment ref="B57" authorId="1" shapeId="0" xr:uid="{77405830-6E1A-4E33-8EC5-C8F165F9F624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Revenue</t>
        </r>
      </text>
    </comment>
    <comment ref="B58" authorId="1" shapeId="0" xr:uid="{5E3B5589-2325-46B4-82E5-5C3C116907B8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(EBIT*(1-Tax Rate))/ Capital Employed
Capital Employed = Total Assest - Current Liabilites</t>
        </r>
      </text>
    </comment>
    <comment ref="B61" authorId="1" shapeId="0" xr:uid="{9F5C9F61-8591-4421-BB4E-1A84D9DB3DAE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Current Assets / Current Liabilities</t>
        </r>
      </text>
    </comment>
    <comment ref="B62" authorId="1" shapeId="0" xr:uid="{12329026-7A4C-4C9F-A242-2AF9C10BCBB6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(Current Assets - Inventories) / Current Liabilities</t>
        </r>
      </text>
    </comment>
    <comment ref="B63" authorId="1" shapeId="0" xr:uid="{7C524B92-2820-4F39-AD8B-C124522AE80D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(Cash &amp; Cash Equivalents) / Current Liabilities</t>
        </r>
      </text>
    </comment>
    <comment ref="B66" authorId="1" shapeId="0" xr:uid="{8A487BAB-B9E3-4ED5-BF37-743B7AF0F3AF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Debt / Equity
</t>
        </r>
      </text>
    </comment>
    <comment ref="B67" authorId="1" shapeId="0" xr:uid="{B2E5348D-5007-43FD-B68F-E96B2871B4B1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Total Debt - Cash &amp; Cash Equivalents
</t>
        </r>
      </text>
    </comment>
    <comment ref="B68" authorId="1" shapeId="0" xr:uid="{D6245FDF-FC63-4568-A58F-195B5CD1F384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Net Debt / EBITDA</t>
        </r>
      </text>
    </comment>
    <comment ref="B71" authorId="1" shapeId="0" xr:uid="{851AD4A4-33D1-4441-A997-9A8A9D9ECB6E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Interest Exp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tc={5D0BEC3B-479D-41D1-9EE5-9AE107FCC06D}</author>
    <author>Rikus van der Vegt</author>
  </authors>
  <commentList>
    <comment ref="L15" authorId="0" shapeId="0" xr:uid="{5D0BEC3B-479D-41D1-9EE5-9AE107FCC06D}">
      <text>
        <t>[Threaded comment]
Your version of Excel allows you to read this threaded comment; however, any edits to it will get removed if the file is opened in a newer version of Excel. Learn more: https://go.microsoft.com/fwlink/?linkid=870924
Comment:
    FCF is LTM based, makes most sense if we want to incorporate FCF yield (income statement mixed with balancesheet ratio)</t>
      </text>
    </comment>
    <comment ref="B55" authorId="1" shapeId="0" xr:uid="{EC4DD16B-42A1-4E0E-9C76-B4EBBD88CBA8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Gross Profit / Revenue
</t>
        </r>
      </text>
    </comment>
    <comment ref="B56" authorId="1" shapeId="0" xr:uid="{1479ADDC-FA7A-4162-96BC-466829EC9988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EBITDA / Revenue</t>
        </r>
      </text>
    </comment>
    <comment ref="B57" authorId="1" shapeId="0" xr:uid="{A0BA5511-3309-43BD-9891-97C1229A66D0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Revenue</t>
        </r>
      </text>
    </comment>
    <comment ref="B58" authorId="1" shapeId="0" xr:uid="{072E802A-F11A-4E85-B483-65F4BD16E2D4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(EBIT*(1-Tax Rate))/ Capital Employed
Capital Employed = Total Assest - Current Liabilites</t>
        </r>
      </text>
    </comment>
    <comment ref="B61" authorId="1" shapeId="0" xr:uid="{7C3E8522-DDA1-4042-B6E6-36D2796C4DE0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Current Assets / Current Liabilities</t>
        </r>
      </text>
    </comment>
    <comment ref="B62" authorId="1" shapeId="0" xr:uid="{B63133A1-D331-44D2-89BC-22ED979C25D8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(Current Assets - Inventories) / Current Liabilities</t>
        </r>
      </text>
    </comment>
    <comment ref="B63" authorId="1" shapeId="0" xr:uid="{DF838A34-DDFF-411B-83DB-A87BB36971F8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(Cash &amp; Cash Equivalents) / Current Liabilities</t>
        </r>
      </text>
    </comment>
    <comment ref="B66" authorId="1" shapeId="0" xr:uid="{D2F4B071-E706-4F8E-ADAF-AC95C5F1F3F4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Debt / Equity
</t>
        </r>
      </text>
    </comment>
    <comment ref="B67" authorId="1" shapeId="0" xr:uid="{F4EB6432-C47B-49E0-9C9A-777DC3D6B122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Total Debt - Cash &amp; Cash Equivalents
</t>
        </r>
      </text>
    </comment>
    <comment ref="B68" authorId="1" shapeId="0" xr:uid="{7FE29060-826D-4D88-BE29-75D71C5E7865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Net Debt / EBITDA</t>
        </r>
      </text>
    </comment>
    <comment ref="B71" authorId="1" shapeId="0" xr:uid="{7066109C-E62B-4536-B191-5CE66DF3C066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Interest Exp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tc={C212F664-ADBF-478B-8248-06A78A94A82B}</author>
    <author>Rikus van der Vegt</author>
  </authors>
  <commentList>
    <comment ref="L15" authorId="0" shapeId="0" xr:uid="{C212F664-ADBF-478B-8248-06A78A94A82B}">
      <text>
        <t>[Threaded comment]
Your version of Excel allows you to read this threaded comment; however, any edits to it will get removed if the file is opened in a newer version of Excel. Learn more: https://go.microsoft.com/fwlink/?linkid=870924
Comment:
    FCF is LTM based, makes most sense if we want to incorporate FCF yield (income statement mixed with balancesheet ratio)</t>
      </text>
    </comment>
    <comment ref="B55" authorId="1" shapeId="0" xr:uid="{D538AD56-C39B-4BFD-947B-47472693ED7B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Gross Profit / Revenue
</t>
        </r>
      </text>
    </comment>
    <comment ref="B56" authorId="1" shapeId="0" xr:uid="{4BC9580C-111C-4626-83B4-E810EE31467B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EBITDA / Revenue</t>
        </r>
      </text>
    </comment>
    <comment ref="B57" authorId="1" shapeId="0" xr:uid="{BCAF65F0-AD87-41EF-BB68-444048F79250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Revenue</t>
        </r>
      </text>
    </comment>
    <comment ref="B58" authorId="1" shapeId="0" xr:uid="{07D4F623-31D5-4C3E-A6DD-61B5DD107BFC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(EBIT*(1-Tax Rate))/ Capital Employed
Capital Employed = Total Assest - Current Liabilites</t>
        </r>
      </text>
    </comment>
    <comment ref="B61" authorId="1" shapeId="0" xr:uid="{F6415D12-2D6E-4214-BFC2-42416DDD91E4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Current Assets / Current Liabilities</t>
        </r>
      </text>
    </comment>
    <comment ref="B62" authorId="1" shapeId="0" xr:uid="{6E7E5665-14DE-45F1-B854-E4489F004FFA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(Current Assets - Inventories) / Current Liabilities</t>
        </r>
      </text>
    </comment>
    <comment ref="B63" authorId="1" shapeId="0" xr:uid="{0FC5C3DB-EFC3-459A-BD61-E6B1CA08020F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(Cash &amp; Cash Equivalents) / Current Liabilities</t>
        </r>
      </text>
    </comment>
    <comment ref="B66" authorId="1" shapeId="0" xr:uid="{DD76B3F3-6774-4A30-8BEE-B46DF4CA209C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Debt / Equity
</t>
        </r>
      </text>
    </comment>
    <comment ref="B67" authorId="1" shapeId="0" xr:uid="{5C9D1524-0B14-4181-A4FE-8E2254411511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Total Debt - Cash &amp; Cash Equivalents
</t>
        </r>
      </text>
    </comment>
    <comment ref="B68" authorId="1" shapeId="0" xr:uid="{74C43BC3-43C6-4528-8C46-258B9E478EAF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Net Debt / EBITDA</t>
        </r>
      </text>
    </comment>
    <comment ref="B71" authorId="1" shapeId="0" xr:uid="{6EC6E175-584F-46BA-AA7E-C6F8FB80C65E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Interest Exp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tc={0923470D-0D29-4970-B203-C98861F19BD9}</author>
    <author>Rikus van der Vegt</author>
  </authors>
  <commentList>
    <comment ref="L15" authorId="0" shapeId="0" xr:uid="{0923470D-0D29-4970-B203-C98861F19BD9}">
      <text>
        <t>[Threaded comment]
Your version of Excel allows you to read this threaded comment; however, any edits to it will get removed if the file is opened in a newer version of Excel. Learn more: https://go.microsoft.com/fwlink/?linkid=870924
Comment:
    FCF is LTM based, makes most sense if we want to incorporate FCF yield (income statement mixed with balancesheet ratio)</t>
      </text>
    </comment>
    <comment ref="B55" authorId="1" shapeId="0" xr:uid="{6500033B-AF56-465E-8E0C-5157A04DC99B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Gross Profit / Revenue
</t>
        </r>
      </text>
    </comment>
    <comment ref="B56" authorId="1" shapeId="0" xr:uid="{9887CCB5-B1C3-4F81-9D09-A9BD0510A855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EBITDA / Revenue</t>
        </r>
      </text>
    </comment>
    <comment ref="B57" authorId="1" shapeId="0" xr:uid="{FB3C36D0-17FA-49DC-B04F-1594277DEAF1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Revenue</t>
        </r>
      </text>
    </comment>
    <comment ref="B58" authorId="1" shapeId="0" xr:uid="{D7BCC439-DBA3-4621-AEFA-8E0EA8DE0FBB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(EBIT*(1-Tax Rate))/ Capital Employed
Capital Employed = Total Assest - Current Liabilites</t>
        </r>
      </text>
    </comment>
    <comment ref="B61" authorId="1" shapeId="0" xr:uid="{A56ED1AA-C17B-444D-85AB-ABD9A8E1501B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Current Assets / Current Liabilities</t>
        </r>
      </text>
    </comment>
    <comment ref="B62" authorId="1" shapeId="0" xr:uid="{3BA7B28A-A9EE-4C3F-BFDD-35391DC9949C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(Current Assets - Inventories) / Current Liabilities</t>
        </r>
      </text>
    </comment>
    <comment ref="B63" authorId="1" shapeId="0" xr:uid="{DF791FD1-665C-4CCB-A0C9-313069BBB3B9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(Cash &amp; Cash Equivalents) / Current Liabilities</t>
        </r>
      </text>
    </comment>
    <comment ref="B66" authorId="1" shapeId="0" xr:uid="{F5E9608F-22B6-40EB-A108-17FA212CC8D0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Debt / Equity
</t>
        </r>
      </text>
    </comment>
    <comment ref="B67" authorId="1" shapeId="0" xr:uid="{508F0206-BF42-48B3-BC6B-B4DC26B66FA3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Total Debt - Cash &amp; Cash Equivalents
</t>
        </r>
      </text>
    </comment>
    <comment ref="B68" authorId="1" shapeId="0" xr:uid="{BB8B34F9-5471-4509-8342-8625E5265D25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Net Debt / EBITDA</t>
        </r>
      </text>
    </comment>
    <comment ref="B71" authorId="1" shapeId="0" xr:uid="{349BD908-D461-442C-84DA-7C2F996B2065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Interest Exp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tc={D4585356-B3AA-43D6-9C9A-B6B5FC73208A}</author>
    <author>Rikus van der Vegt</author>
  </authors>
  <commentList>
    <comment ref="L15" authorId="0" shapeId="0" xr:uid="{D4585356-B3AA-43D6-9C9A-B6B5FC73208A}">
      <text>
        <t>[Threaded comment]
Your version of Excel allows you to read this threaded comment; however, any edits to it will get removed if the file is opened in a newer version of Excel. Learn more: https://go.microsoft.com/fwlink/?linkid=870924
Comment:
    FCF is LTM based, makes most sense if we want to incorporate FCF yield (income statement mixed with balancesheet ratio)</t>
      </text>
    </comment>
    <comment ref="B55" authorId="1" shapeId="0" xr:uid="{DC8FC801-0DC0-406A-835E-3777A72A765D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Gross Profit / Revenue
</t>
        </r>
      </text>
    </comment>
    <comment ref="B56" authorId="1" shapeId="0" xr:uid="{3FA78BB1-821C-4810-8350-7888672CFFF9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EBITDA / Revenue</t>
        </r>
      </text>
    </comment>
    <comment ref="B57" authorId="1" shapeId="0" xr:uid="{06082478-92D4-4D85-89E9-9BFBB1369049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Revenue</t>
        </r>
      </text>
    </comment>
    <comment ref="B58" authorId="1" shapeId="0" xr:uid="{79100EE0-7057-40E6-9B1B-F4BA0129768A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(EBIT*(1-Tax Rate))/ Capital Employed
Capital Employed = Total Assest - Current Liabilites</t>
        </r>
      </text>
    </comment>
    <comment ref="B61" authorId="1" shapeId="0" xr:uid="{1EFFC1F0-5FFB-4D2C-8825-8C0D49DDF550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Current Assets / Current Liabilities</t>
        </r>
      </text>
    </comment>
    <comment ref="B62" authorId="1" shapeId="0" xr:uid="{C468C91E-284E-4900-B7AB-1B39F6257D7F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(Current Assets - Inventories) / Current Liabilities</t>
        </r>
      </text>
    </comment>
    <comment ref="B63" authorId="1" shapeId="0" xr:uid="{4C75AD4A-2634-45D5-9AC7-9061214F6886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(Cash &amp; Cash Equivalents) / Current Liabilities</t>
        </r>
      </text>
    </comment>
    <comment ref="B66" authorId="1" shapeId="0" xr:uid="{056100CB-E9C7-4838-8E66-A08438A31559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Debt / Equity
</t>
        </r>
      </text>
    </comment>
    <comment ref="B67" authorId="1" shapeId="0" xr:uid="{30FDEABE-B5F0-409B-A19A-CEB4C91AE2A4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Total Debt - Cash &amp; Cash Equivalents
</t>
        </r>
      </text>
    </comment>
    <comment ref="B68" authorId="1" shapeId="0" xr:uid="{6F3746EA-0C02-4797-8AFA-5C944E1B9AF5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Net Debt / EBITDA</t>
        </r>
      </text>
    </comment>
    <comment ref="B71" authorId="1" shapeId="0" xr:uid="{4A17FB07-4F8A-4DFC-BC97-48892CD132BE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Interest Exp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tc={34093531-F299-473E-80E7-DD71A674E336}</author>
    <author>Rikus van der Vegt</author>
  </authors>
  <commentList>
    <comment ref="L15" authorId="0" shapeId="0" xr:uid="{34093531-F299-473E-80E7-DD71A674E336}">
      <text>
        <t>[Threaded comment]
Your version of Excel allows you to read this threaded comment; however, any edits to it will get removed if the file is opened in a newer version of Excel. Learn more: https://go.microsoft.com/fwlink/?linkid=870924
Comment:
    FCF is LTM based, makes most sense if we want to incorporate FCF yield (income statement mixed with balancesheet ratio)</t>
      </text>
    </comment>
    <comment ref="B55" authorId="1" shapeId="0" xr:uid="{6BD46FE0-5CBF-4301-B4C3-E85C0DEBCC8C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Gross Profit / Revenue
</t>
        </r>
      </text>
    </comment>
    <comment ref="B56" authorId="1" shapeId="0" xr:uid="{A9BA0ADD-C26D-4A7F-AB57-EE125A610AC3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EBITDA / Revenue</t>
        </r>
      </text>
    </comment>
    <comment ref="B57" authorId="1" shapeId="0" xr:uid="{F951D6AC-B537-45A9-8E1C-A105E8EF2AAB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Revenue</t>
        </r>
      </text>
    </comment>
    <comment ref="B58" authorId="1" shapeId="0" xr:uid="{2FA3D648-AD38-4469-B2F5-E01DAA0F3863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(EBIT*(1-Tax Rate))/ Capital Employed
Capital Employed = Total Assest - Current Liabilites</t>
        </r>
      </text>
    </comment>
    <comment ref="B61" authorId="1" shapeId="0" xr:uid="{D2C5A60C-2DA2-4EAA-9BC4-D02FDD2B6EDC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Current Assets / Current Liabilities</t>
        </r>
      </text>
    </comment>
    <comment ref="B62" authorId="1" shapeId="0" xr:uid="{8F61C60D-69F9-4D81-AA90-2AFA997298E9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(Current Assets - Inventories) / Current Liabilities</t>
        </r>
      </text>
    </comment>
    <comment ref="B63" authorId="1" shapeId="0" xr:uid="{5F11998D-E40C-45DF-925B-E2F25A877BE3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(Cash &amp; Cash Equivalents) / Current Liabilities</t>
        </r>
      </text>
    </comment>
    <comment ref="B66" authorId="1" shapeId="0" xr:uid="{7F6A5012-87E1-4CDD-9547-57AF28C09E38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Debt / Equity
</t>
        </r>
      </text>
    </comment>
    <comment ref="B67" authorId="1" shapeId="0" xr:uid="{37306571-665F-4151-8758-074C2EF8AE04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Total Debt - Cash &amp; Cash Equivalents
</t>
        </r>
      </text>
    </comment>
    <comment ref="B68" authorId="1" shapeId="0" xr:uid="{E00900CF-EBA9-4AFB-80C1-EF5A60E75B9B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Net Debt / EBITDA</t>
        </r>
      </text>
    </comment>
    <comment ref="B71" authorId="1" shapeId="0" xr:uid="{48549C14-4637-44BF-9F56-D498667F1B6A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Interest Exp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tc={386E9180-8FE2-45C5-A604-416FB91A4449}</author>
    <author>Rikus van der Vegt</author>
  </authors>
  <commentList>
    <comment ref="L15" authorId="0" shapeId="0" xr:uid="{386E9180-8FE2-45C5-A604-416FB91A4449}">
      <text>
        <t>[Threaded comment]
Your version of Excel allows you to read this threaded comment; however, any edits to it will get removed if the file is opened in a newer version of Excel. Learn more: https://go.microsoft.com/fwlink/?linkid=870924
Comment:
    FCF is LTM based, makes most sense if we want to incorporate FCF yield (income statement mixed with balancesheet ratio)</t>
      </text>
    </comment>
    <comment ref="B55" authorId="1" shapeId="0" xr:uid="{61BFD49F-C2EE-4918-ABBC-F035EC7E38D9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Gross Profit / Revenue
</t>
        </r>
      </text>
    </comment>
    <comment ref="B56" authorId="1" shapeId="0" xr:uid="{7D3EEDFE-4284-4C16-BC04-11B4FD072938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EBITDA / Revenue</t>
        </r>
      </text>
    </comment>
    <comment ref="B57" authorId="1" shapeId="0" xr:uid="{86289DE5-461C-4700-A8C3-56198DCD6175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Revenue</t>
        </r>
      </text>
    </comment>
    <comment ref="B58" authorId="1" shapeId="0" xr:uid="{A1CE529D-2509-429E-BA91-248B48BA3AE9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(EBIT*(1-Tax Rate))/ Capital Employed
Capital Employed = Total Assest - Current Liabilites</t>
        </r>
      </text>
    </comment>
    <comment ref="B61" authorId="1" shapeId="0" xr:uid="{96B2E0CD-49CF-438C-A44E-23ED78C9FD53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Current Assets / Current Liabilities</t>
        </r>
      </text>
    </comment>
    <comment ref="B62" authorId="1" shapeId="0" xr:uid="{0EFBEAD3-A14C-4B60-AB34-0104F88051E7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(Current Assets - Inventories) / Current Liabilities</t>
        </r>
      </text>
    </comment>
    <comment ref="B63" authorId="1" shapeId="0" xr:uid="{C0860F2C-3023-4230-B6EB-938BBB069971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(Cash &amp; Cash Equivalents) / Current Liabilities</t>
        </r>
      </text>
    </comment>
    <comment ref="B66" authorId="1" shapeId="0" xr:uid="{4DEB8873-5572-45FF-B5B6-807BD928A065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Debt / Equity
</t>
        </r>
      </text>
    </comment>
    <comment ref="B67" authorId="1" shapeId="0" xr:uid="{5184642D-D6BD-41E3-A263-4518B80154BF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Total Debt - Cash &amp; Cash Equivalents
</t>
        </r>
      </text>
    </comment>
    <comment ref="B68" authorId="1" shapeId="0" xr:uid="{5B34FAC3-E280-483F-9965-C66CB3E8B8CF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Net Debt / EBITDA</t>
        </r>
      </text>
    </comment>
    <comment ref="B71" authorId="1" shapeId="0" xr:uid="{788CA28E-F0F0-43ED-884C-5038AB7FB856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Interest Exp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<sst xmlns="http://schemas.openxmlformats.org/spreadsheetml/2006/main" count="1980" uniqueCount="797">
  <si>
    <t>This sheet contains FactSet XML data for use with this workbook's =FDS codes.  Modifying the worksheet's contents may damage the workbook's =FDS functionality.</t>
  </si>
  <si>
    <t xml:space="preserve"> </t>
  </si>
  <si>
    <t>Basics</t>
  </si>
  <si>
    <t>Company</t>
  </si>
  <si>
    <t>Renault SA</t>
  </si>
  <si>
    <t>$/Share Estimate Deadline</t>
  </si>
  <si>
    <t>Final Document Deadline</t>
  </si>
  <si>
    <t>OUR DEADLINE</t>
  </si>
  <si>
    <t>Grading Rubric</t>
  </si>
  <si>
    <t>Team Members</t>
  </si>
  <si>
    <t>ID</t>
  </si>
  <si>
    <t>Abbreviation</t>
  </si>
  <si>
    <t>Jordy Dikken</t>
  </si>
  <si>
    <t>JD</t>
  </si>
  <si>
    <t>Jorick Stoel</t>
  </si>
  <si>
    <t>JS</t>
  </si>
  <si>
    <t>Rikus  van der Vegt</t>
  </si>
  <si>
    <t>RV</t>
  </si>
  <si>
    <t>Theodor Hogan</t>
  </si>
  <si>
    <t>TH</t>
  </si>
  <si>
    <t>Evaluation Criterion</t>
  </si>
  <si>
    <t>Weight</t>
  </si>
  <si>
    <t>Reorganizing balancsheet and income statement</t>
  </si>
  <si>
    <t>Adjustments to income statement and balancesheet; calculating key ratios</t>
  </si>
  <si>
    <t xml:space="preserve">JD </t>
  </si>
  <si>
    <t>Projections of future cash cashflows and continuing (i.e. stable) growth rate</t>
  </si>
  <si>
    <t>TH, RV</t>
  </si>
  <si>
    <t>Estimating the cost of debt, cost of equity, cost of capital</t>
  </si>
  <si>
    <t>JD,  JS</t>
  </si>
  <si>
    <t>Implemeting WACC; appropriate post DCF value adj. to estime $/shr</t>
  </si>
  <si>
    <t xml:space="preserve">Sensititivity analysis </t>
  </si>
  <si>
    <t>Correctly identifiying peers and implementing multiples valuation</t>
  </si>
  <si>
    <t>General presentation and readability of Excel file</t>
  </si>
  <si>
    <t>JD, JS, RV, TH</t>
  </si>
  <si>
    <t>Total</t>
  </si>
  <si>
    <t>Kion Recapitalization Proposal</t>
  </si>
  <si>
    <t>Rotterdam School of Management</t>
  </si>
  <si>
    <t>Msc. Finance &amp; Investment</t>
  </si>
  <si>
    <t>Last Update:</t>
  </si>
  <si>
    <t>Authors: Jordy Dikken (673670), Jorick Stoel (694007),</t>
  </si>
  <si>
    <t>Rikus van der Vegt (666665) &amp; Theodor Hogan (754441)</t>
  </si>
  <si>
    <t xml:space="preserve">Format: </t>
  </si>
  <si>
    <t>Hardcode</t>
  </si>
  <si>
    <t>XXX</t>
  </si>
  <si>
    <t>Sheet Link</t>
  </si>
  <si>
    <t>Ext. Link</t>
  </si>
  <si>
    <t>Note: FactSet live links have been broken for compatability.</t>
  </si>
  <si>
    <t>Mixed Formula</t>
  </si>
  <si>
    <t>Assumptions</t>
  </si>
  <si>
    <t>Font</t>
  </si>
  <si>
    <t>Arial</t>
  </si>
  <si>
    <t>Default</t>
  </si>
  <si>
    <t>10 pt</t>
  </si>
  <si>
    <t>Input Field</t>
  </si>
  <si>
    <t>[Input]</t>
  </si>
  <si>
    <t>Income Statement</t>
  </si>
  <si>
    <t>Avg/CAGR</t>
  </si>
  <si>
    <t>Revenue</t>
  </si>
  <si>
    <t>% growth</t>
  </si>
  <si>
    <t>Based Case</t>
  </si>
  <si>
    <t>Adverse Case</t>
  </si>
  <si>
    <t>GOGS</t>
  </si>
  <si>
    <t>% revenue</t>
  </si>
  <si>
    <t>OpEx</t>
  </si>
  <si>
    <t>EBITDA</t>
  </si>
  <si>
    <t>Depreciation &amp; amortization</t>
  </si>
  <si>
    <t>% capital expenditure</t>
  </si>
  <si>
    <t>EBIT</t>
  </si>
  <si>
    <t>Interest expense</t>
  </si>
  <si>
    <t>% of net debt</t>
  </si>
  <si>
    <t>Taxes</t>
  </si>
  <si>
    <t>% Effective tax</t>
  </si>
  <si>
    <t>Adj. net income</t>
  </si>
  <si>
    <t>Exceptional items, net</t>
  </si>
  <si>
    <t>Net income</t>
  </si>
  <si>
    <t>Shares Outstanding</t>
  </si>
  <si>
    <t>EPS</t>
  </si>
  <si>
    <t>Free Cashflow Items</t>
  </si>
  <si>
    <t>Cashflow from operations</t>
  </si>
  <si>
    <t>% of adj net income</t>
  </si>
  <si>
    <t>Capital expenditures</t>
  </si>
  <si>
    <t>% of revenue</t>
  </si>
  <si>
    <t>Principal payments</t>
  </si>
  <si>
    <t>% of Net debt</t>
  </si>
  <si>
    <t>Free cashflow to equity holders</t>
  </si>
  <si>
    <t>Cash paid out to equity holders - dividends</t>
  </si>
  <si>
    <t>Cash paid out to equity holders - buybacks, net</t>
  </si>
  <si>
    <t>Total cash paid out to equity holders</t>
  </si>
  <si>
    <t>% payout ratio</t>
  </si>
  <si>
    <t>Net debt</t>
  </si>
  <si>
    <t>Income Statement Standardized</t>
  </si>
  <si>
    <t>Year</t>
  </si>
  <si>
    <t>CAGR</t>
  </si>
  <si>
    <t>Year Ended</t>
  </si>
  <si>
    <t>Growth</t>
  </si>
  <si>
    <t>Revenue from Goods &amp; Services</t>
  </si>
  <si>
    <t>Cost of Revenue (excl. D&amp;A)</t>
  </si>
  <si>
    <t>Gross Profit</t>
  </si>
  <si>
    <t>SG&amp;A (excl. D&amp;A)</t>
  </si>
  <si>
    <t>Other Operating Expenses</t>
  </si>
  <si>
    <t>Depreciation Expense</t>
  </si>
  <si>
    <t>EBITA</t>
  </si>
  <si>
    <t>Amortization Expense</t>
  </si>
  <si>
    <t>Interest Expense, Net</t>
  </si>
  <si>
    <t>GOGS %</t>
  </si>
  <si>
    <t>EBT</t>
  </si>
  <si>
    <t>OpEx %</t>
  </si>
  <si>
    <t>Dep. %</t>
  </si>
  <si>
    <t>Adj. NI</t>
  </si>
  <si>
    <t>Amort. %</t>
  </si>
  <si>
    <t>Exceptional Items, Net</t>
  </si>
  <si>
    <t>Int. Exp. %</t>
  </si>
  <si>
    <t>NI</t>
  </si>
  <si>
    <t>Tax %</t>
  </si>
  <si>
    <t>Ex. Item %</t>
  </si>
  <si>
    <t>Free Cash Flow to Equity Holders</t>
  </si>
  <si>
    <t>NI %</t>
  </si>
  <si>
    <t>CFO</t>
  </si>
  <si>
    <t>CapEx</t>
  </si>
  <si>
    <t>Average</t>
  </si>
  <si>
    <t>Debt Payment</t>
  </si>
  <si>
    <t>EBITDA Margin</t>
  </si>
  <si>
    <t>FCFE</t>
  </si>
  <si>
    <t>Balancesheet</t>
  </si>
  <si>
    <t>Current Assets</t>
  </si>
  <si>
    <t>Cash &amp; Short-Term Investments</t>
  </si>
  <si>
    <t>Derivative Financial Instruments - ST</t>
  </si>
  <si>
    <t>Loans &amp; Receivables - ST</t>
  </si>
  <si>
    <t>Inventories</t>
  </si>
  <si>
    <t>Assets Held for Sale/Discontinued Operations - ST</t>
  </si>
  <si>
    <t>Other Current Assets - Total</t>
  </si>
  <si>
    <t>Net Income</t>
  </si>
  <si>
    <t>Total Current Assets</t>
  </si>
  <si>
    <t>Net Income Margin</t>
  </si>
  <si>
    <t>Non-Current Assets</t>
  </si>
  <si>
    <t>Investments - LT</t>
  </si>
  <si>
    <t>Investments in J&amp;V, Associates</t>
  </si>
  <si>
    <t>Receivables &amp; Loans - LT</t>
  </si>
  <si>
    <t>Derivative Financial Instruments - LT</t>
  </si>
  <si>
    <t>Property, Plant &amp; Equipment</t>
  </si>
  <si>
    <t xml:space="preserve">Other Non-Current Assets </t>
  </si>
  <si>
    <t>Intangible Assets</t>
  </si>
  <si>
    <t>Total Non-Current Assets</t>
  </si>
  <si>
    <t>Total Assets</t>
  </si>
  <si>
    <t>Current Liabilities</t>
  </si>
  <si>
    <t>Trade Accounts Payable &amp; Accruals - ST</t>
  </si>
  <si>
    <t>ST Debt &amp; Current Portion of LT Debt</t>
  </si>
  <si>
    <t>Derivative Liabilities - ST</t>
  </si>
  <si>
    <t>Liabilities Held for Sale/Discontinued Operations - ST</t>
  </si>
  <si>
    <t>Income Taxes - Payable - ST</t>
  </si>
  <si>
    <t xml:space="preserve">Other Current Liabilities </t>
  </si>
  <si>
    <t>Total Current Liabilities</t>
  </si>
  <si>
    <t>Non-Current Liabilities</t>
  </si>
  <si>
    <t>Debt - Long-Term - Total</t>
  </si>
  <si>
    <t>Derivative Liabilities - Hedging - Long-Term</t>
  </si>
  <si>
    <t>Deferred Tax &amp; Investment Tax Credits - Long-Term</t>
  </si>
  <si>
    <t>Other Non-Current Liabilities - Total</t>
  </si>
  <si>
    <t>Total Non-Current Liabilities</t>
  </si>
  <si>
    <t>Shareholders' Equity</t>
  </si>
  <si>
    <t>Common Equity</t>
  </si>
  <si>
    <t>Mintority Interest</t>
  </si>
  <si>
    <t>Total Liabilities and Shareholder's Equity</t>
  </si>
  <si>
    <t>check</t>
  </si>
  <si>
    <t>Financial Ratios</t>
  </si>
  <si>
    <t>Profitability Ratios</t>
  </si>
  <si>
    <t>Gross Profit Margin</t>
  </si>
  <si>
    <t>EBIT Margin (Operating Margin)</t>
  </si>
  <si>
    <t>Profit Margin</t>
  </si>
  <si>
    <t>Liquidity Ratios</t>
  </si>
  <si>
    <t>Current Ratio</t>
  </si>
  <si>
    <t>Quick Ratio</t>
  </si>
  <si>
    <t>Cash Ratio</t>
  </si>
  <si>
    <t>Solvency &amp; Leverage Ratios</t>
  </si>
  <si>
    <t>Debt to Equity</t>
  </si>
  <si>
    <t>Net Debt</t>
  </si>
  <si>
    <t>Net Leverage Ratio</t>
  </si>
  <si>
    <t>Net Lev. Ratio</t>
  </si>
  <si>
    <t>Int. Cov. Ratio</t>
  </si>
  <si>
    <t>Coverage Ratios</t>
  </si>
  <si>
    <t>Interest Coverage Ratio</t>
  </si>
  <si>
    <t xml:space="preserve">Debt Service Coverage Ratio </t>
  </si>
  <si>
    <t>-</t>
  </si>
  <si>
    <t>Payout &amp; Cash Flow Ratios</t>
  </si>
  <si>
    <t>Free Cash Flow</t>
  </si>
  <si>
    <t>Dividend Payout Ratio - NI</t>
  </si>
  <si>
    <t>Dividend Payout Ratio - FCF</t>
  </si>
  <si>
    <t>Comparables</t>
  </si>
  <si>
    <t>2024</t>
  </si>
  <si>
    <t>LTM/Cur. Q</t>
  </si>
  <si>
    <t>Honeywell_International</t>
  </si>
  <si>
    <t>Daifuku</t>
  </si>
  <si>
    <t>Hyster_Yale</t>
  </si>
  <si>
    <t>Mitsubishi_Logisnext</t>
  </si>
  <si>
    <t>Toyota_Industries</t>
  </si>
  <si>
    <t>Symbotic</t>
  </si>
  <si>
    <t>KENGIC</t>
  </si>
  <si>
    <t>Jungheinrich</t>
  </si>
  <si>
    <t>Manitou_BF</t>
  </si>
  <si>
    <t>Mean</t>
  </si>
  <si>
    <t>Median</t>
  </si>
  <si>
    <t>Financial Ratios - Mean, Median  Overview</t>
  </si>
  <si>
    <t xml:space="preserve">Financial Ratios Summary </t>
  </si>
  <si>
    <t>Minimum</t>
  </si>
  <si>
    <t>25th %</t>
  </si>
  <si>
    <t>75th %</t>
  </si>
  <si>
    <t>Max</t>
  </si>
  <si>
    <t>KION - 5Y avg</t>
  </si>
  <si>
    <t>KION - FY24</t>
  </si>
  <si>
    <t>Company Fundamentals - Balance Sheet</t>
  </si>
  <si>
    <t>Company Name</t>
  </si>
  <si>
    <t>Kion Group AG (KGX.DE)</t>
  </si>
  <si>
    <t>Country of Exchange</t>
  </si>
  <si>
    <t>Germany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</si>
  <si>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</si>
  <si>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</si>
  <si>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</si>
  <si>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</si>
  <si>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</si>
  <si>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</si>
  <si>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</si>
  <si>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</si>
  <si>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</si>
  <si>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</si>
  <si>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</si>
  <si>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</si>
  <si>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</si>
  <si>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</si>
  <si>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</si>
  <si>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</si>
  <si>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</si>
  <si>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</si>
  <si>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</si>
  <si>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</si>
  <si>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</si>
  <si>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</si>
  <si>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Period End Date</t>
  </si>
  <si>
    <t>Standardized Currency</t>
  </si>
  <si>
    <t>EUR</t>
  </si>
  <si>
    <t>Balance Sheet - Standardized (Currency: Euro)</t>
  </si>
  <si>
    <t>Field Name</t>
  </si>
  <si>
    <t>31-12-2015</t>
  </si>
  <si>
    <t>31-12-2016</t>
  </si>
  <si>
    <t>31-12-2017</t>
  </si>
  <si>
    <t>31-12-2018</t>
  </si>
  <si>
    <t>31-12-2019</t>
  </si>
  <si>
    <t>31-12-2020</t>
  </si>
  <si>
    <t>31-12-2021</t>
  </si>
  <si>
    <t>31-12-2022</t>
  </si>
  <si>
    <t>31-12-2023</t>
  </si>
  <si>
    <t>31-12-2024</t>
  </si>
  <si>
    <t>Cash &amp; Cash Equivalents</t>
  </si>
  <si>
    <t>Short-Term Investments - Total</t>
  </si>
  <si>
    <t>Financial Assets - Short-Term</t>
  </si>
  <si>
    <t>Derivative Financial Instruments - Hedging - Short-Term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</si>
  <si>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</si>
  <si>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</si>
  <si>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</si>
  <si>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</si>
  <si>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Loans - Short-Term</t>
  </si>
  <si>
    <t>Income Tax - Receivables - Short-Term</t>
  </si>
  <si>
    <t>Receivables - Other - Total</t>
  </si>
  <si>
    <t>Inventories - Total</t>
  </si>
  <si>
    <t>Inventories - Raw Materials</t>
  </si>
  <si>
    <t>Inventories - Work in Progress</t>
  </si>
  <si>
    <t>Inventories - Finished Goods</t>
  </si>
  <si>
    <t>Inventories - Other - Total</t>
  </si>
  <si>
    <t>Assets Held for Sale/Discontinued Operations - Short-Term</t>
  </si>
  <si>
    <t>Deferred Costs - Short-Term</t>
  </si>
  <si>
    <t>Restricted Accounts - Short-Term</t>
  </si>
  <si>
    <t>Other Current Assets</t>
  </si>
  <si>
    <t>Investments - Long-Term</t>
  </si>
  <si>
    <t>Investments - Available for Sale/Held to Maturity - Long-Term</t>
  </si>
  <si>
    <t>Investments in Associates, Joint Ventures and Unconsolidated Subsidiaries</t>
  </si>
  <si>
    <t>Receivables &amp; Loans - Long-Term</t>
  </si>
  <si>
    <t>Loans - Long-Term</t>
  </si>
  <si>
    <t>Finance Lease Receivables - Long-Term</t>
  </si>
  <si>
    <t>Receivables - Other - Net - Long-Term</t>
  </si>
  <si>
    <t>Derivative Financial Instruments - Hedging - Long-Term</t>
  </si>
  <si>
    <t>Property, Plant &amp; Equipment - Net - Total</t>
  </si>
  <si>
    <t>Assets Leased Out under Operating Lease - Net</t>
  </si>
  <si>
    <t>Property, Plant &amp; Equipment - excluding Assets Leased Out - Net - Total</t>
  </si>
  <si>
    <t>Land &amp; Buildings - Net</t>
  </si>
  <si>
    <t>Plant, Machinery &amp; Equipment - Net</t>
  </si>
  <si>
    <t>Construction in Progress - Net</t>
  </si>
  <si>
    <t>Property, Plant &amp; Equipment - Under Capital Lease - Net</t>
  </si>
  <si>
    <t>Right of Use Tangible Assets - Total - Net</t>
  </si>
  <si>
    <t>Right of Use Tangible Assets - Capital/Finance Lease - Net</t>
  </si>
  <si>
    <t>Property, Plant &amp; Equipment - Other - Net</t>
  </si>
  <si>
    <t>Property, Plant &amp; Equipment - Gross - Total</t>
  </si>
  <si>
    <t>Assets Leased Out under Operating Lease - Gross</t>
  </si>
  <si>
    <t>Property, Plant &amp; Equipment - excluding Assets Leased Out - Gross</t>
  </si>
  <si>
    <t>Land &amp; Buildings - Gross</t>
  </si>
  <si>
    <t>Plant, Machinery &amp; Equipment - Gross</t>
  </si>
  <si>
    <t>Construction in Progress - Gross</t>
  </si>
  <si>
    <t>Property, Plant &amp; Equipment - Under Capital Lease - Gross</t>
  </si>
  <si>
    <t>Right of Use Tangible Assets - Total - Gross</t>
  </si>
  <si>
    <t>Right of Use Tangible Assets - Capital/Finance Lease - Gross</t>
  </si>
  <si>
    <t>Property, Plant &amp; Equipment - Other - Gross</t>
  </si>
  <si>
    <t>Property, Plant &amp; Equipment - Accumulated Depreciation &amp; Impairment - Total</t>
  </si>
  <si>
    <t>Assets Leased Out under Operating Lease - Accumulated Depreciation &amp; Impairment</t>
  </si>
  <si>
    <t>Property, Plant &amp; Equipment - excluding Assets Leased Out - Accumulated Depreciation &amp; Impairment - Total</t>
  </si>
  <si>
    <t>Land &amp; Buildings - Accumulated Depreciation &amp; Impairment</t>
  </si>
  <si>
    <t>Plant, Machinery &amp; Equipment - Accumulated Depreciation &amp; Impairment</t>
  </si>
  <si>
    <t>Construction in Progress - Accumulated Depreciation &amp; Impairment</t>
  </si>
  <si>
    <t>Property, Plant &amp; Equipment - Under Capital Lease - Accumulated Depreciation &amp; Impairment</t>
  </si>
  <si>
    <t>Right of Use Tangible Assets - Total/Unspecified - Accumulated Depreciation</t>
  </si>
  <si>
    <t>Right of Use Tangible Assets - Capital/Finance Lease - Accumulated Depreciation</t>
  </si>
  <si>
    <t>Other Non-Current Assets - Total</t>
  </si>
  <si>
    <t>Deferred Tax - Asset - Long-Term</t>
  </si>
  <si>
    <t>Pension Assets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</si>
  <si>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</si>
  <si>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</si>
  <si>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</si>
  <si>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</si>
  <si>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Research &amp; Development Costs - Net</t>
  </si>
  <si>
    <t>Brands, Patents, Trademarks, Marketing &amp; Artistic Intangibles - Net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</si>
  <si>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</si>
  <si>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</si>
  <si>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</si>
  <si>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</si>
  <si>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Research &amp; Development Costs - Gross</t>
  </si>
  <si>
    <t>Brands, Patents, Trademarks, Marketing &amp; Artistic Intangibles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</si>
  <si>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</si>
  <si>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</si>
  <si>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</si>
  <si>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</si>
  <si>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Research &amp; Development Costs - Accumulated Amortization &amp; Impairment</t>
  </si>
  <si>
    <t>Brands, Patents, Trademarks, Marketing &amp; Artistic Intangibles - Accumulated Amortization &amp; Impairment</t>
  </si>
  <si>
    <t>Intangible Assets - Other - Accumulated Amortization &amp; Impairment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</si>
  <si>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</si>
  <si>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</si>
  <si>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</si>
  <si>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</si>
  <si>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</si>
  <si>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</si>
  <si>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</si>
  <si>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</si>
  <si>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Liabilities Held for Sale/Discontinued Operations - Short-Term</t>
  </si>
  <si>
    <t>Income Taxes - Payable - Short-Term</t>
  </si>
  <si>
    <t>Other Current Liabilities - Total</t>
  </si>
  <si>
    <t>Deferred Income - Short-Term</t>
  </si>
  <si>
    <t>Customer Advances - Short-Term</t>
  </si>
  <si>
    <t>Provisions - Short-Term</t>
  </si>
  <si>
    <t>Other Current Liabilities</t>
  </si>
  <si>
    <t>Long-Term Debt excluding Capitalized Leases</t>
  </si>
  <si>
    <t>Debt - Non-Convertible - Long-Term</t>
  </si>
  <si>
    <t>Capitalized Lease Obligations - Long-Term</t>
  </si>
  <si>
    <t>Deferred Tax - Liability - Long-Term</t>
  </si>
  <si>
    <t>Provisions - Long-Term</t>
  </si>
  <si>
    <t>Post Employment Benefits - Pension &amp; Other - Long-Term</t>
  </si>
  <si>
    <t>Provisions - Other - Long-Term</t>
  </si>
  <si>
    <t>Deferred Revenue - Long-Term</t>
  </si>
  <si>
    <t>Other Non-Current Liabilities</t>
  </si>
  <si>
    <t>Total Liabilities</t>
  </si>
  <si>
    <t>Shareholders' Equity - Attributable to Parent Shareholders - Total</t>
  </si>
  <si>
    <t>Common Equity Attributable to Parent Shareholders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</si>
  <si>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</si>
  <si>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</si>
  <si>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</si>
  <si>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</si>
  <si>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</si>
  <si>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</si>
  <si>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Investments - Unrealized Gain/Loss</t>
  </si>
  <si>
    <t>Hedging Reserves</t>
  </si>
  <si>
    <t>Foreign Currency Translation Adjustment - Accumulated</t>
  </si>
  <si>
    <t>Comprehensive Income - Pension Liabilities</t>
  </si>
  <si>
    <t>Comprehensive Income - Other - Total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</si>
  <si>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</si>
  <si>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</si>
  <si>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</si>
  <si>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</si>
  <si>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</si>
  <si>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</si>
  <si>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</si>
  <si>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</si>
  <si>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</si>
  <si>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Outstanding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</si>
  <si>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</si>
  <si>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</si>
  <si>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</si>
  <si>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</si>
  <si>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</si>
  <si>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</si>
  <si>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</si>
  <si>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</si>
  <si>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</si>
  <si>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Right of Use Tangible Assets - Total - Gross - Supplemental</t>
  </si>
  <si>
    <t>Right of Use Tangible Assets - Capital/Finance Lease - Gross - Supplemental</t>
  </si>
  <si>
    <t>Right of Use Tangible Assets - Total - Accumulated Depreciation - Supplemental</t>
  </si>
  <si>
    <t>Right of Use Tangible Assets - Capital/Finance Lease - Accumulated Depreciation - Supplemental</t>
  </si>
  <si>
    <t>Property, Plant &amp; Equipment - excluding Right of Use Tangible Assets &amp; Capital Leases - Net</t>
  </si>
  <si>
    <t>Property, Plant &amp; Equipment - excluding Right of Use Tangible Assets &amp; Capital Leases - Gross</t>
  </si>
  <si>
    <t>Property, Plant &amp; Equipment - excluding Right of Use Tangible Assets &amp; Capital Leases - Accumulated Depreciation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</si>
  <si>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</si>
  <si>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</si>
  <si>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</si>
  <si>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</si>
  <si>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Derivative Financial Instruments - Hedging - Total</t>
  </si>
  <si>
    <t>Investments - Total</t>
  </si>
  <si>
    <t>Loans &amp; Receivables - Total</t>
  </si>
  <si>
    <t>Accounts &amp; Notes Receivable - Trade - Gross - Total</t>
  </si>
  <si>
    <t>Assets Held for Sale/Discontinued Operations - Long-Term &amp; Short-Term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</si>
  <si>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</si>
  <si>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</si>
  <si>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</si>
  <si>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</si>
  <si>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</si>
  <si>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Derivative Liabilities - Hedging</t>
  </si>
  <si>
    <t>Liabilities Held for Sale/Discontinued Operations - Long-term &amp; Short-Term</t>
  </si>
  <si>
    <t>Contract Assets - Short-Term - Unbilled Revenue in Excess of Advance Consideration &amp; Progress Billings</t>
  </si>
  <si>
    <t>Debt Related</t>
  </si>
  <si>
    <t>Debt - Total</t>
  </si>
  <si>
    <t>Revolving Line of Credit - Total Principal Amount</t>
  </si>
  <si>
    <t>Debt Maturity</t>
  </si>
  <si>
    <t>Debt - Long-Term - Maturities - Total</t>
  </si>
  <si>
    <t>Debt - Long-Term - Maturities - within 1 Year</t>
  </si>
  <si>
    <t>Debt - Long-Term - Maturities - Year 5</t>
  </si>
  <si>
    <t>Debt - Long-Term - Maturities - Remaining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</si>
  <si>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</si>
  <si>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</si>
  <si>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</si>
  <si>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</si>
  <si>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</si>
  <si>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</si>
  <si>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</si>
  <si>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</si>
  <si>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</si>
  <si>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</si>
  <si>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Capital Lease Maturities - Due in 2-3 Years</t>
  </si>
  <si>
    <t>Capital Lease Maturities - Due in 4-5 Years</t>
  </si>
  <si>
    <t>Capital Lease Maturities - Due in Year 6 &amp; Beyond</t>
  </si>
  <si>
    <t>Other</t>
  </si>
  <si>
    <t>Contract Liabilities - Short-Term - Advance Consideration &amp; Progress Billings in Excess of Unbilled Revenue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</si>
  <si>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</si>
  <si>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</si>
  <si>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</si>
  <si>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</si>
  <si>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</si>
  <si>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</si>
  <si>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</si>
  <si>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</si>
  <si>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</si>
  <si>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</si>
  <si>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</si>
  <si>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</si>
  <si>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</si>
  <si>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</si>
  <si>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</si>
  <si>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</si>
  <si>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</si>
  <si>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</si>
  <si>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</si>
  <si>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</si>
  <si>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</si>
  <si>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</si>
  <si>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Order Backlog</t>
  </si>
  <si>
    <t>Operating Lease Maturity</t>
  </si>
  <si>
    <t>Operating Lease Payments - Total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</si>
  <si>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</si>
  <si>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</si>
  <si>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</si>
  <si>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</si>
  <si>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</si>
  <si>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Remaining Maturities</t>
  </si>
  <si>
    <t>Operating Lease Payments - Due in 2-3 Years</t>
  </si>
  <si>
    <t>Operating Lease Payments - Due in 4-5 Years</t>
  </si>
  <si>
    <t>Operating Lease Payments - Due in Year 6 &amp; Beyond</t>
  </si>
  <si>
    <t>Employees</t>
  </si>
  <si>
    <t>Employees - Full-Time/Full-Time Equivalents - Period End</t>
  </si>
  <si>
    <t>Employees - Full-Time/Full-Time Equivalents - Current Date</t>
  </si>
  <si>
    <t>Company Fundamentals - Income Statement</t>
  </si>
  <si>
    <t>Income Statement - Standardized (Currency: Euro)</t>
  </si>
  <si>
    <t>Revenues</t>
  </si>
  <si>
    <t>Sales of Goods &amp; Services - Net - Unclassified</t>
  </si>
  <si>
    <t>Revenue from Business Activities - Total</t>
  </si>
  <si>
    <t>Operating Expenses</t>
  </si>
  <si>
    <t>Cost of Operating Revenue</t>
  </si>
  <si>
    <t>Cost of Revenues - Total</t>
  </si>
  <si>
    <t>Cost of Revenues - Unclassified</t>
  </si>
  <si>
    <t>Amortization in Cost of Revenues</t>
  </si>
  <si>
    <t>Gross Profit - Industrials/Property - Total</t>
  </si>
  <si>
    <t>Selling, General &amp; Administrative Expenses - Total</t>
  </si>
  <si>
    <t>Selling, General &amp; Administrative Expenses - Unclassified</t>
  </si>
  <si>
    <t>Research &amp; Development Expense</t>
  </si>
  <si>
    <t>Other Operating Expense/(Income) - Net</t>
  </si>
  <si>
    <t>Other Operating Income - Total</t>
  </si>
  <si>
    <t>Other Operating Expense</t>
  </si>
  <si>
    <t>Operating Provisions - Increase/(Decrease)</t>
  </si>
  <si>
    <t>Non-Recurring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</si>
  <si>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</si>
  <si>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</si>
  <si>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</si>
  <si>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</si>
  <si>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</si>
  <si>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</si>
  <si>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</si>
  <si>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</si>
  <si>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Non-Interest Financial Income/(Expense) - Total</t>
  </si>
  <si>
    <t>Foreign Exchange Gain/(Loss) - Non-Business</t>
  </si>
  <si>
    <t>Non-Interest Financial Income/(Expense) - Other - Net</t>
  </si>
  <si>
    <t>Sale of Tangible &amp; Intangible Fixed Assets - Gain/(Loss)</t>
  </si>
  <si>
    <t>Equity Earnings/(Loss) - before Taxes including Non-Recurring</t>
  </si>
  <si>
    <t>Other Non-Operating Income/(Expense) - Total</t>
  </si>
  <si>
    <t>Non-Operating Rental Income</t>
  </si>
  <si>
    <t>Non-Recurring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</si>
  <si>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</si>
  <si>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</si>
  <si>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</si>
  <si>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</si>
  <si>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</si>
  <si>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Goodwill</t>
  </si>
  <si>
    <t>Impairment - Intangibles excluding Goodwill</t>
  </si>
  <si>
    <t>Derivatives - Hedging - Gain/(Loss)</t>
  </si>
  <si>
    <t>Sale &amp; Acquisition of Group Companies - Gain/(Loss)</t>
  </si>
  <si>
    <t>Non-Recurring Income/(Expense) - Other - Total</t>
  </si>
  <si>
    <t>Pre-Tax Income</t>
  </si>
  <si>
    <t>Income before Taxes</t>
  </si>
  <si>
    <t>Income Taxes</t>
  </si>
  <si>
    <t>Income Taxes for the Year - Current</t>
  </si>
  <si>
    <t>Income Taxes - Deferred</t>
  </si>
  <si>
    <t>Income Taxes - Other (by Type)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</si>
  <si>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</si>
  <si>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</si>
  <si>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</si>
  <si>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</si>
  <si>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</si>
  <si>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Net Income before Minority Interest</t>
  </si>
  <si>
    <t>Minority Interest</t>
  </si>
  <si>
    <t>Net Income after Minority Interest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</si>
  <si>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</si>
  <si>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</si>
  <si>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</si>
  <si>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</si>
  <si>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</si>
  <si>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Unrealized Investment Gain/(Loss)</t>
  </si>
  <si>
    <t>Other Comprehensive Income - Hedging Gain/(Loss)</t>
  </si>
  <si>
    <t>Other Comprehensive Income - Other</t>
  </si>
  <si>
    <t>Other Comprehensive Income - Associated Companies</t>
  </si>
  <si>
    <t>Other Comprehensive Income - Pension Related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</si>
  <si>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</si>
  <si>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</si>
  <si>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</si>
  <si>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</si>
  <si>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</si>
  <si>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</si>
  <si>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</si>
  <si>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</si>
  <si>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</si>
  <si>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</si>
  <si>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</si>
  <si>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</si>
  <si>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</si>
  <si>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</si>
  <si>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</si>
  <si>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</si>
  <si>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</si>
  <si>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</si>
  <si>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</si>
  <si>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</si>
  <si>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</si>
  <si>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</si>
  <si>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</si>
  <si>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</si>
  <si>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</si>
  <si>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</si>
  <si>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</si>
  <si>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</si>
  <si>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</si>
  <si>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</si>
  <si>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</si>
  <si>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</si>
  <si>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</si>
  <si>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</si>
  <si>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</si>
  <si>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</si>
  <si>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</si>
  <si>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</si>
  <si>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</si>
  <si>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</si>
  <si>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</si>
  <si>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</si>
  <si>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</si>
  <si>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</si>
  <si>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</si>
  <si>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</si>
  <si>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</si>
  <si>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</si>
  <si>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Amortization of Brands, Patents, Trademarks, Marketing &amp; Artistic Intangibles - Supplemental</t>
  </si>
  <si>
    <t>Amortization of Capitalized Research &amp; Development Expenses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</si>
  <si>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</si>
  <si>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</si>
  <si>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</si>
  <si>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</si>
  <si>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Amortization of Intangible Assets excluding Goodwill - Total</t>
  </si>
  <si>
    <t>Research &amp; Development</t>
  </si>
  <si>
    <t>Research &amp; Development Expense - Expensed &amp; Capitalized - Total - Supplemental</t>
  </si>
  <si>
    <t>Research &amp; Development Expense - Supplemental</t>
  </si>
  <si>
    <t>Research &amp; Development Expense - Capitalized - Supplemental</t>
  </si>
  <si>
    <t>Labor &amp; Related Expenses</t>
  </si>
  <si>
    <t>Labor &amp; Related Expenses - Total</t>
  </si>
  <si>
    <t>Labor &amp; Related Expenses - Supplemental</t>
  </si>
  <si>
    <t>Auditor Fees</t>
  </si>
  <si>
    <t>Audit-Related Fees</t>
  </si>
  <si>
    <t>Tax Fees</t>
  </si>
  <si>
    <t>Fees - Other</t>
  </si>
  <si>
    <t>Non-GAAP</t>
  </si>
  <si>
    <t>Non-GAAP Income from Operations - Company Reported</t>
  </si>
  <si>
    <t>Non-GAAP Adjusted EBITDA - Company Reported</t>
  </si>
  <si>
    <t>Non-GAAP Operating Margin % - Company Reported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</si>
  <si>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</si>
  <si>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</si>
  <si>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</si>
  <si>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</si>
  <si>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</si>
  <si>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</si>
  <si>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Derivatives</t>
  </si>
  <si>
    <t>Derivatives - Hedging - Gain/(Loss) - Total - Supplemental</t>
  </si>
  <si>
    <t>Lease Expenses</t>
  </si>
  <si>
    <t>Lease Expense -Total - Supplemental</t>
  </si>
  <si>
    <t>Depreciation of Financial Lease ROU Assets - Supplemental</t>
  </si>
  <si>
    <t>Interest Expense on Financial Lease Liabilities - Supple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</si>
  <si>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</si>
  <si>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</si>
  <si>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</si>
  <si>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</si>
  <si>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</si>
  <si>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 - Average</t>
  </si>
  <si>
    <t>Company Fundamentals - Cash Flow</t>
  </si>
  <si>
    <t>Cash Flow - Standardized (Currency: Standardized)</t>
  </si>
  <si>
    <t>Operating Cash Flow - Indirect</t>
  </si>
  <si>
    <t>Profit/(Loss) - Starting Line - Cash Flow</t>
  </si>
  <si>
    <t>Non-cash Items &amp; Reconciliation Adjustments - Cash Flow</t>
  </si>
  <si>
    <t>Financial Income/(Expense) - Cash Flow - to Reconcile</t>
  </si>
  <si>
    <t>Other Non-Cash Items &amp; Reconciliation Adjustments - Cash Flow - to Reconcile</t>
  </si>
  <si>
    <t>Depreciation, Depletion &amp; Amortization including Impairment - Cash Flow - to Reconcile</t>
  </si>
  <si>
    <t>Assets Sale - Gain/(Loss)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</si>
  <si>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</si>
  <si>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</si>
  <si>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</si>
  <si>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</si>
  <si>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</si>
  <si>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</si>
  <si>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</si>
  <si>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Other Liabilities - Increase/(Decrease) -Total - Cash Flow</t>
  </si>
  <si>
    <t>Other Assets &amp; Liabilities - Increase/(Decrease) - Net - Cash Flow</t>
  </si>
  <si>
    <t>Net Cash Flow from Operating Activities</t>
  </si>
  <si>
    <t>Investing Cash Flow</t>
  </si>
  <si>
    <t>Capital Expenditures - Net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</si>
  <si>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</si>
  <si>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</si>
  <si>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</si>
  <si>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</si>
  <si>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Investments - Associated Companies &amp; Joint Ventures - Sold/(Purchased)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</si>
  <si>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</si>
  <si>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</si>
  <si>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</si>
  <si>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</si>
  <si>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</si>
  <si>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</si>
  <si>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</si>
  <si>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</si>
  <si>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</si>
  <si>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</si>
  <si>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Minority Interests &amp; Joint Ventures - Net - Cash Flow</t>
  </si>
  <si>
    <t>Debt - Long-Term &amp; Short-Term - Issuance/(Retirement) - Total - Cash Flow</t>
  </si>
  <si>
    <t>Debt - Issued/(Reduced) - Long-Term - Cash Flow</t>
  </si>
  <si>
    <t>Lease liabilities - Issued/(Reduced) - Cash Flow</t>
  </si>
  <si>
    <t>Debt - Issued - Long-Term - Cash Flow</t>
  </si>
  <si>
    <t>Debt - Reduced - Long-Term - Cash Flow</t>
  </si>
  <si>
    <t>Lease liabilities - Reduced - Cash flow</t>
  </si>
  <si>
    <t>Other Financing Cash Flow - Increase/(Decrease)</t>
  </si>
  <si>
    <t>Net Cash Flow from Financing Activities</t>
  </si>
  <si>
    <t>Non classified Cash Flow</t>
  </si>
  <si>
    <t>Non-Classified Cash Flows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</si>
  <si>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</si>
  <si>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</si>
  <si>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</si>
  <si>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</si>
  <si>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</si>
  <si>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</si>
  <si>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</si>
  <si>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</si>
  <si>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</si>
  <si>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</si>
  <si>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on Financial Leases Paid - Cash Flow - Supplemental</t>
  </si>
  <si>
    <t>Interest &amp; Dividends - Received - Cash Flow - Supplemental</t>
  </si>
  <si>
    <t>CF from Optg Activities before Change in WC &amp; Int Payments</t>
  </si>
  <si>
    <t>Non-GAAP Free Cash Flow - Company Reported</t>
  </si>
  <si>
    <t>Contract Assets/Liabilities – Net – Cash Flow</t>
  </si>
  <si>
    <t>Cash Dividends Paid &amp; Common Stock Buyback - Net</t>
  </si>
  <si>
    <t>Common Stock Buyback - Net</t>
  </si>
  <si>
    <t>Free Cash Flow to Equity</t>
  </si>
  <si>
    <t>Free Cash Flow Net of Dividends</t>
  </si>
  <si>
    <t>Dividends Provided/Paid - Common</t>
  </si>
  <si>
    <t>Company Data Inputs</t>
  </si>
  <si>
    <t>FactSet Inputs</t>
  </si>
  <si>
    <t>Reporting Information</t>
  </si>
  <si>
    <t>Name</t>
  </si>
  <si>
    <t>Honeywell International</t>
  </si>
  <si>
    <t>Last FY</t>
  </si>
  <si>
    <t>Last Quarter</t>
  </si>
  <si>
    <t>Identifier</t>
  </si>
  <si>
    <t>HON-US</t>
  </si>
  <si>
    <t>Ended</t>
  </si>
  <si>
    <t>12/31/2024</t>
  </si>
  <si>
    <t>09/30/2025</t>
  </si>
  <si>
    <t>Start Date</t>
  </si>
  <si>
    <t>6383-JP</t>
  </si>
  <si>
    <t>End Date</t>
  </si>
  <si>
    <t>€/Shr</t>
  </si>
  <si>
    <t>JUN3-DE</t>
  </si>
  <si>
    <t>Report Basis</t>
  </si>
  <si>
    <t>ANN_R</t>
  </si>
  <si>
    <t>HY-US</t>
  </si>
  <si>
    <t>Hyster-Yale</t>
  </si>
  <si>
    <t>Currency</t>
  </si>
  <si>
    <t>7105-JP</t>
  </si>
  <si>
    <t>Mitsubishi Logisnext</t>
  </si>
  <si>
    <t>Share Date</t>
  </si>
  <si>
    <t>6201-JP</t>
  </si>
  <si>
    <t>Toyota Industries</t>
  </si>
  <si>
    <t>SYM-US</t>
  </si>
  <si>
    <t>Key Financial Items and Forecast</t>
  </si>
  <si>
    <t>688455-CN</t>
  </si>
  <si>
    <t>All values in € (FactSet currency adjusted) million except for shares outstanding in millions.</t>
  </si>
  <si>
    <t>MTU-FR</t>
  </si>
  <si>
    <t>Manitou BF</t>
  </si>
  <si>
    <t xml:space="preserve">COGS </t>
  </si>
  <si>
    <t>D&amp;A</t>
  </si>
  <si>
    <t>Interest</t>
  </si>
  <si>
    <t>Cash and ST Investments</t>
  </si>
  <si>
    <t>Inventory</t>
  </si>
  <si>
    <t>Total Debt</t>
  </si>
  <si>
    <t>Total Shareholders Equity</t>
  </si>
  <si>
    <t>Total Common Stock FD</t>
  </si>
  <si>
    <t xml:space="preserve">Source: FactSet Standardized Financials </t>
  </si>
  <si>
    <t>03/31/2025</t>
  </si>
  <si>
    <t>2025</t>
  </si>
  <si>
    <t>09/27/2025</t>
  </si>
  <si>
    <t>06/30/2025</t>
  </si>
  <si>
    <t>Debt and Recapitalization</t>
  </si>
  <si>
    <t>Recapitalization</t>
  </si>
  <si>
    <t>Date</t>
  </si>
  <si>
    <t>Term</t>
  </si>
  <si>
    <t>Interest rate</t>
  </si>
  <si>
    <t>Type</t>
  </si>
  <si>
    <t>New Debt</t>
  </si>
  <si>
    <t>Fixed</t>
  </si>
  <si>
    <t>Interest expense new debt</t>
  </si>
  <si>
    <t>Interest expense old debt</t>
  </si>
  <si>
    <t>% rate</t>
  </si>
  <si>
    <t>Total interest expense</t>
  </si>
  <si>
    <t>Issuance</t>
  </si>
  <si>
    <t>New issue</t>
  </si>
  <si>
    <t>Summary and Forecast</t>
  </si>
  <si>
    <t>Key Figures</t>
  </si>
  <si>
    <t>Payouts to equity holders</t>
  </si>
  <si>
    <t>Ratios</t>
  </si>
  <si>
    <t>Interest coverage ratio</t>
  </si>
  <si>
    <t>Net leverage ratio</t>
  </si>
  <si>
    <t>Payout ratio</t>
  </si>
  <si>
    <t>Credit Rating</t>
  </si>
  <si>
    <t>BB+</t>
  </si>
  <si>
    <t>Bond spread</t>
  </si>
  <si>
    <t>DE 10yr bond</t>
  </si>
  <si>
    <t>As of Dec-1: https://www.cnbc.com/quotes/DE10Y-DE</t>
  </si>
  <si>
    <t>Current spread on their 5 year bond maturing in 2029</t>
  </si>
  <si>
    <t>Retained cashflow</t>
  </si>
  <si>
    <t>Retained cashflow/ net debt</t>
  </si>
  <si>
    <t>New debt, balance</t>
  </si>
  <si>
    <t>Old net debt, balance</t>
  </si>
  <si>
    <t>EBIT Margin</t>
  </si>
  <si>
    <t>Kion</t>
  </si>
  <si>
    <t>EBITDA Mean</t>
  </si>
  <si>
    <t>EBIT Mean</t>
  </si>
  <si>
    <t>Hyster Yale</t>
  </si>
  <si>
    <t>ManitouBF</t>
  </si>
  <si>
    <t>Kion Current Ratio</t>
  </si>
  <si>
    <t>Kion Quick Ratio</t>
  </si>
  <si>
    <t>Kion Cash Ratio</t>
  </si>
  <si>
    <t>Peer Current Ratio</t>
  </si>
  <si>
    <t>Peer Quick Ratio</t>
  </si>
  <si>
    <t>Peer Cash Ratio</t>
  </si>
  <si>
    <t>Solvency, Leverage, and Coverage Ratios - Post Covid</t>
  </si>
  <si>
    <t>Old Debt</t>
  </si>
  <si>
    <t>Debt to Equity Median</t>
  </si>
  <si>
    <t>Net Leverage Ratio Median</t>
  </si>
  <si>
    <t xml:space="preserve">Debt to Equity </t>
  </si>
  <si>
    <t>Peer Group Median</t>
  </si>
  <si>
    <t>Post Covid Peer Group Median</t>
  </si>
  <si>
    <t>Basic Interest Expense</t>
  </si>
  <si>
    <t>Recap. Interest Expense</t>
  </si>
  <si>
    <t>Recapitalization Summary</t>
  </si>
  <si>
    <t>Active Scenario</t>
  </si>
  <si>
    <t>Scenario Switch</t>
  </si>
  <si>
    <t xml:space="preserve">1 is Base Case, 2 is Adverse scenario </t>
  </si>
  <si>
    <t xml:space="preserve">Forecast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</si>
</sst>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_ * #,##0.00_ ;_ * \-#,##0.00_ ;_ * &quot;-&quot;??_ ;_ @_ "/>
    <numFmt numFmtId="165" formatCode="_(#,##0_)_%;\(#,##0\)_%;_(&quot;–&quot;_)_%;_(@_)_%"/>
    <numFmt numFmtId="166" formatCode="_ * #,##0_ ;_ * \(#,##0\)_ ;_ * &quot;-&quot;??_ ;_ @"/>
    <numFmt numFmtId="167" formatCode="dd\-mm\-yyyy"/>
    <numFmt numFmtId="168" formatCode="#,##0.0"/>
    <numFmt numFmtId="169" formatCode="[&gt;=100]##,##0.0\%;[&lt;=-100]\-##,##0.0\%;##,##0.0\%"/>
    <numFmt numFmtId="170" formatCode="0.0%"/>
    <numFmt numFmtId="171" formatCode="_(* #,##0_);_(* \(#,##0\);_(* &quot;-&quot;??_);_(@_)"/>
    <numFmt numFmtId="172" formatCode="###.#&quot;x&quot;"/>
    <numFmt numFmtId="173" formatCode="&quot;FY &quot;\ 0\ &quot;A&quot;"/>
    <numFmt numFmtId="174" formatCode="_(#,##0.00_)_%;\(#,##0.00\)_%;_(&quot;–&quot;_)_%;_(@_)_%"/>
    <numFmt numFmtId="175" formatCode="0&quot;A&quot;"/>
    <numFmt numFmtId="176" formatCode="0.0&quot;x&quot;"/>
    <numFmt numFmtId="177" formatCode="0&quot;E&quot;"/>
    <numFmt numFmtId="178" formatCode="_ * #,##0.00_ ;_ * \(#,##0.00\)_ ;_ * &quot;-&quot;??_ ;_ @"/>
    <numFmt numFmtId="179" formatCode="0.0\x"/>
    <numFmt numFmtId="181" formatCode="0&quot; years&quot;"/>
    <numFmt numFmtId="182" formatCode="0&quot; bps&quot;"/>
    <numFmt numFmtId="184" formatCode="0.0000%"/>
  </numFmts>
  <fonts count="4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b/>
      <sz val="14"/>
      <color theme="0"/>
      <name val="Arial"/>
      <family val="2"/>
    </font>
    <font>
      <sz val="10"/>
      <color rgb="FF0000FF"/>
      <name val="Arial"/>
      <family val="2"/>
    </font>
    <font>
      <sz val="10"/>
      <color rgb="FFC00000"/>
      <name val="Arial"/>
      <family val="2"/>
    </font>
    <font>
      <sz val="11"/>
      <color rgb="FF0000FF"/>
      <name val="Cambria"/>
      <family val="1"/>
    </font>
    <font>
      <sz val="12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FF"/>
      <name val="Arial"/>
      <family val="2"/>
      <scheme val="minor"/>
    </font>
    <font>
      <b/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sz val="10"/>
      <color theme="7"/>
      <name val="Arial"/>
      <family val="2"/>
      <scheme val="minor"/>
    </font>
    <font>
      <sz val="10"/>
      <color rgb="FFFF3FFF"/>
      <name val="Arial"/>
      <family val="2"/>
      <scheme val="minor"/>
    </font>
    <font>
      <sz val="10"/>
      <color theme="0"/>
      <name val="Arial"/>
      <family val="2"/>
      <scheme val="minor"/>
    </font>
    <font>
      <sz val="11"/>
      <color theme="1"/>
      <name val="Arial"/>
      <family val="2"/>
      <scheme val="minor"/>
    </font>
    <font>
      <b/>
      <sz val="8"/>
      <color indexed="81"/>
      <name val="Tahoma"/>
      <family val="2"/>
    </font>
    <font>
      <sz val="10"/>
      <color theme="7"/>
      <name val="Arial"/>
      <family val="2"/>
    </font>
    <font>
      <sz val="10"/>
      <color rgb="FFC00000"/>
      <name val="Arial"/>
      <family val="2"/>
      <scheme val="minor"/>
    </font>
    <font>
      <sz val="10"/>
      <color theme="9"/>
      <name val="Arial"/>
      <family val="2"/>
      <scheme val="minor"/>
    </font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F5475B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5"/>
      <color rgb="FF60707B"/>
      <name val="Arial"/>
      <family val="2"/>
    </font>
    <font>
      <sz val="10"/>
      <color rgb="FF000000"/>
      <name val="Arial"/>
      <family val="2"/>
    </font>
    <font>
      <sz val="6"/>
      <color rgb="FF232629"/>
      <name val="Arial"/>
      <family val="2"/>
    </font>
    <font>
      <sz val="10"/>
      <color theme="0"/>
      <name val="Arial"/>
      <family val="2"/>
    </font>
    <font>
      <b/>
      <sz val="10"/>
      <color theme="7"/>
      <name val="Arial"/>
      <family val="2"/>
    </font>
    <font>
      <i/>
      <sz val="10"/>
      <color theme="1"/>
      <name val="Arial"/>
      <family val="2"/>
    </font>
    <font>
      <i/>
      <sz val="10"/>
      <color theme="9"/>
      <name val="Arial"/>
      <family val="2"/>
    </font>
    <font>
      <i/>
      <sz val="10"/>
      <color rgb="FFFF3FFF"/>
      <name val="Arial"/>
      <family val="2"/>
    </font>
    <font>
      <b/>
      <sz val="10"/>
      <name val="Arial"/>
      <family val="2"/>
    </font>
    <font>
      <sz val="10"/>
      <color theme="9"/>
      <name val="Arial"/>
      <family val="2"/>
    </font>
    <font>
      <i/>
      <sz val="10"/>
      <name val="Arial"/>
      <family val="2"/>
    </font>
    <font>
      <b/>
      <u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Up">
        <fgColor theme="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5CD"/>
        <bgColor indexed="64"/>
      </patternFill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  <border>
      <left style="thin">
        <color rgb="FF334BFF"/>
      </left>
      <right/>
      <top style="thin">
        <color rgb="FF334BFF"/>
      </top>
      <bottom style="thin">
        <color rgb="FF334BFF"/>
      </bottom>
      <diagonal/>
    </border>
    <border>
      <left style="thin">
        <color rgb="FFD5D8DB"/>
      </left>
      <right/>
      <top style="thin">
        <color rgb="FFD5D8DB"/>
      </top>
      <bottom style="thin">
        <color rgb="FFD5D8DB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6" fillId="4" borderId="1" applyNumberFormat="0" applyAlignment="0" applyProtection="0"/>
    <xf numFmtId="0" fontId="3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5" fillId="3" borderId="0"/>
    <xf numFmtId="0" fontId="2" fillId="3" borderId="0"/>
    <xf numFmtId="165" fontId="7" fillId="5" borderId="4" applyFont="0" applyAlignment="0" applyProtection="0"/>
    <xf numFmtId="0" fontId="9" fillId="0" borderId="0"/>
    <xf numFmtId="0" fontId="8" fillId="7" borderId="1" applyNumberFormat="0" applyAlignment="0"/>
    <xf numFmtId="164" fontId="1" fillId="0" borderId="0" applyFont="0" applyFill="0" applyBorder="0" applyAlignment="0" applyProtection="0"/>
    <xf numFmtId="0" fontId="1" fillId="0" borderId="0"/>
    <xf numFmtId="0" fontId="18" fillId="0" borderId="0"/>
    <xf numFmtId="0" fontId="23" fillId="0" borderId="0" applyNumberFormat="0" applyBorder="0" applyAlignment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8">
    <xf numFmtId="0" fontId="0" fillId="0" borderId="0" xfId="0"/>
    <xf numFmtId="0" fontId="3" fillId="0" borderId="0" xfId="2"/>
    <xf numFmtId="0" fontId="5" fillId="3" borderId="0" xfId="4"/>
    <xf numFmtId="0" fontId="10" fillId="3" borderId="0" xfId="5" applyFont="1"/>
    <xf numFmtId="0" fontId="11" fillId="0" borderId="0" xfId="7" applyFont="1" applyAlignment="1">
      <alignment horizontal="center"/>
    </xf>
    <xf numFmtId="0" fontId="11" fillId="0" borderId="0" xfId="7" applyFont="1"/>
    <xf numFmtId="0" fontId="12" fillId="7" borderId="1" xfId="8" applyFont="1" applyAlignment="1">
      <alignment horizontal="center"/>
    </xf>
    <xf numFmtId="15" fontId="12" fillId="7" borderId="1" xfId="8" applyNumberFormat="1" applyFont="1" applyAlignment="1">
      <alignment horizontal="center"/>
    </xf>
    <xf numFmtId="0" fontId="13" fillId="0" borderId="2" xfId="7" applyFont="1" applyBorder="1"/>
    <xf numFmtId="0" fontId="11" fillId="0" borderId="2" xfId="7" applyFont="1" applyBorder="1"/>
    <xf numFmtId="0" fontId="13" fillId="0" borderId="2" xfId="7" applyFont="1" applyBorder="1" applyAlignment="1">
      <alignment horizontal="center"/>
    </xf>
    <xf numFmtId="0" fontId="14" fillId="0" borderId="0" xfId="7" applyFont="1"/>
    <xf numFmtId="9" fontId="14" fillId="0" borderId="0" xfId="7" applyNumberFormat="1" applyFont="1" applyAlignment="1">
      <alignment horizontal="center"/>
    </xf>
    <xf numFmtId="0" fontId="11" fillId="0" borderId="3" xfId="7" applyFont="1" applyBorder="1" applyAlignment="1">
      <alignment horizontal="left" indent="1"/>
    </xf>
    <xf numFmtId="9" fontId="11" fillId="0" borderId="3" xfId="7" applyNumberFormat="1" applyFont="1" applyBorder="1" applyAlignment="1">
      <alignment horizontal="left" indent="1"/>
    </xf>
    <xf numFmtId="0" fontId="11" fillId="6" borderId="5" xfId="7" applyFont="1" applyFill="1" applyBorder="1"/>
    <xf numFmtId="0" fontId="11" fillId="6" borderId="3" xfId="7" applyFont="1" applyFill="1" applyBorder="1"/>
    <xf numFmtId="0" fontId="11" fillId="6" borderId="6" xfId="7" applyFont="1" applyFill="1" applyBorder="1"/>
    <xf numFmtId="0" fontId="11" fillId="6" borderId="9" xfId="7" applyFont="1" applyFill="1" applyBorder="1"/>
    <xf numFmtId="0" fontId="13" fillId="6" borderId="0" xfId="7" applyFont="1" applyFill="1"/>
    <xf numFmtId="0" fontId="11" fillId="6" borderId="0" xfId="7" applyFont="1" applyFill="1"/>
    <xf numFmtId="0" fontId="11" fillId="6" borderId="10" xfId="7" applyFont="1" applyFill="1" applyBorder="1"/>
    <xf numFmtId="0" fontId="14" fillId="6" borderId="0" xfId="7" applyFont="1" applyFill="1"/>
    <xf numFmtId="0" fontId="11" fillId="6" borderId="7" xfId="7" applyFont="1" applyFill="1" applyBorder="1"/>
    <xf numFmtId="0" fontId="11" fillId="6" borderId="2" xfId="7" applyFont="1" applyFill="1" applyBorder="1"/>
    <xf numFmtId="0" fontId="11" fillId="6" borderId="8" xfId="7" applyFont="1" applyFill="1" applyBorder="1"/>
    <xf numFmtId="0" fontId="13" fillId="0" borderId="0" xfId="7" applyFont="1"/>
    <xf numFmtId="0" fontId="12" fillId="0" borderId="0" xfId="7" applyFont="1" applyAlignment="1">
      <alignment horizontal="center"/>
    </xf>
    <xf numFmtId="0" fontId="15" fillId="0" borderId="0" xfId="7" applyFont="1" applyAlignment="1">
      <alignment horizontal="center"/>
    </xf>
    <xf numFmtId="0" fontId="12" fillId="0" borderId="0" xfId="7" applyFont="1"/>
    <xf numFmtId="0" fontId="16" fillId="0" borderId="0" xfId="7" applyFont="1" applyAlignment="1">
      <alignment horizontal="center"/>
    </xf>
    <xf numFmtId="0" fontId="2" fillId="3" borderId="0" xfId="5"/>
    <xf numFmtId="0" fontId="4" fillId="2" borderId="0" xfId="3" applyFont="1"/>
    <xf numFmtId="0" fontId="17" fillId="0" borderId="0" xfId="7" applyFont="1"/>
    <xf numFmtId="0" fontId="4" fillId="0" borderId="0" xfId="0" applyFont="1"/>
    <xf numFmtId="0" fontId="2" fillId="3" borderId="0" xfId="5" applyAlignment="1">
      <alignment horizontal="center"/>
    </xf>
    <xf numFmtId="166" fontId="0" fillId="0" borderId="0" xfId="0" applyNumberFormat="1"/>
    <xf numFmtId="0" fontId="0" fillId="0" borderId="0" xfId="0" applyAlignment="1">
      <alignment horizontal="left" indent="1"/>
    </xf>
    <xf numFmtId="0" fontId="21" fillId="0" borderId="0" xfId="7" applyFont="1" applyAlignment="1">
      <alignment horizontal="center"/>
    </xf>
    <xf numFmtId="15" fontId="11" fillId="6" borderId="0" xfId="7" applyNumberFormat="1" applyFont="1" applyFill="1"/>
    <xf numFmtId="0" fontId="22" fillId="0" borderId="0" xfId="7" applyFont="1" applyAlignment="1">
      <alignment horizontal="center"/>
    </xf>
    <xf numFmtId="0" fontId="14" fillId="6" borderId="0" xfId="7" applyFont="1" applyFill="1" applyAlignment="1">
      <alignment horizontal="left" indent="4"/>
    </xf>
    <xf numFmtId="0" fontId="24" fillId="8" borderId="11" xfId="12" applyFont="1" applyFill="1" applyBorder="1"/>
    <xf numFmtId="0" fontId="25" fillId="8" borderId="11" xfId="12" applyFont="1" applyFill="1" applyBorder="1"/>
    <xf numFmtId="0" fontId="23" fillId="0" borderId="0" xfId="12"/>
    <xf numFmtId="0" fontId="26" fillId="0" borderId="0" xfId="12" applyFont="1"/>
    <xf numFmtId="0" fontId="27" fillId="0" borderId="0" xfId="12" applyFont="1"/>
    <xf numFmtId="167" fontId="26" fillId="0" borderId="0" xfId="12" applyNumberFormat="1" applyFont="1" applyAlignment="1">
      <alignment horizontal="left"/>
    </xf>
    <xf numFmtId="0" fontId="25" fillId="8" borderId="12" xfId="12" applyFont="1" applyFill="1" applyBorder="1"/>
    <xf numFmtId="0" fontId="25" fillId="8" borderId="12" xfId="12" applyFont="1" applyFill="1" applyBorder="1" applyAlignment="1">
      <alignment horizontal="center" vertical="center" wrapText="1"/>
    </xf>
    <xf numFmtId="0" fontId="26" fillId="0" borderId="13" xfId="12" applyFont="1" applyBorder="1" applyAlignment="1">
      <alignment horizontal="left" vertical="center"/>
    </xf>
    <xf numFmtId="167" fontId="26" fillId="0" borderId="13" xfId="12" applyNumberFormat="1" applyFont="1" applyBorder="1" applyAlignment="1">
      <alignment horizontal="center" vertical="center" wrapText="1"/>
    </xf>
    <xf numFmtId="0" fontId="25" fillId="8" borderId="12" xfId="12" applyFont="1" applyFill="1" applyBorder="1" applyAlignment="1">
      <alignment wrapText="1"/>
    </xf>
    <xf numFmtId="0" fontId="25" fillId="8" borderId="12" xfId="12" applyFont="1" applyFill="1" applyBorder="1" applyAlignment="1">
      <alignment horizontal="left" vertical="center" wrapText="1"/>
    </xf>
    <xf numFmtId="0" fontId="28" fillId="9" borderId="13" xfId="12" applyFont="1" applyFill="1" applyBorder="1" applyAlignment="1">
      <alignment horizontal="left" vertical="center" wrapText="1"/>
    </xf>
    <xf numFmtId="0" fontId="23" fillId="9" borderId="13" xfId="12" applyFill="1" applyBorder="1" applyAlignment="1">
      <alignment wrapText="1"/>
    </xf>
    <xf numFmtId="0" fontId="26" fillId="0" borderId="13" xfId="12" applyFont="1" applyBorder="1" applyAlignment="1">
      <alignment vertical="center" wrapText="1"/>
    </xf>
    <xf numFmtId="168" fontId="26" fillId="0" borderId="13" xfId="12" applyNumberFormat="1" applyFont="1" applyBorder="1" applyAlignment="1">
      <alignment horizontal="right" vertical="center" wrapText="1"/>
    </xf>
    <xf numFmtId="0" fontId="26" fillId="0" borderId="13" xfId="12" applyFont="1" applyBorder="1" applyAlignment="1">
      <alignment horizontal="left" vertical="center" wrapText="1" indent="2"/>
    </xf>
    <xf numFmtId="4" fontId="26" fillId="0" borderId="13" xfId="12" applyNumberFormat="1" applyFont="1" applyBorder="1" applyAlignment="1">
      <alignment horizontal="right" vertical="center" wrapText="1"/>
    </xf>
    <xf numFmtId="0" fontId="26" fillId="0" borderId="13" xfId="12" applyFont="1" applyBorder="1" applyAlignment="1">
      <alignment horizontal="left" vertical="center" wrapText="1" indent="4"/>
    </xf>
    <xf numFmtId="3" fontId="26" fillId="0" borderId="13" xfId="12" applyNumberFormat="1" applyFont="1" applyBorder="1" applyAlignment="1">
      <alignment horizontal="right" vertical="center" wrapText="1"/>
    </xf>
    <xf numFmtId="4" fontId="29" fillId="0" borderId="13" xfId="12" applyNumberFormat="1" applyFont="1" applyBorder="1" applyAlignment="1">
      <alignment horizontal="right" vertical="center" wrapText="1"/>
    </xf>
    <xf numFmtId="0" fontId="28" fillId="0" borderId="13" xfId="12" applyFont="1" applyBorder="1" applyAlignment="1">
      <alignment vertical="center" wrapText="1"/>
    </xf>
    <xf numFmtId="168" fontId="28" fillId="0" borderId="13" xfId="12" applyNumberFormat="1" applyFont="1" applyBorder="1" applyAlignment="1">
      <alignment horizontal="right" vertical="center" wrapText="1"/>
    </xf>
    <xf numFmtId="0" fontId="26" fillId="0" borderId="13" xfId="12" applyFont="1" applyBorder="1" applyAlignment="1">
      <alignment horizontal="left" vertical="center" wrapText="1" indent="6"/>
    </xf>
    <xf numFmtId="3" fontId="28" fillId="0" borderId="13" xfId="12" applyNumberFormat="1" applyFont="1" applyBorder="1" applyAlignment="1">
      <alignment horizontal="right" vertical="center" wrapText="1"/>
    </xf>
    <xf numFmtId="168" fontId="29" fillId="0" borderId="13" xfId="12" applyNumberFormat="1" applyFont="1" applyBorder="1" applyAlignment="1">
      <alignment horizontal="right" vertical="center" wrapText="1"/>
    </xf>
    <xf numFmtId="4" fontId="28" fillId="0" borderId="13" xfId="12" applyNumberFormat="1" applyFont="1" applyBorder="1" applyAlignment="1">
      <alignment horizontal="right" vertical="center" wrapText="1"/>
    </xf>
    <xf numFmtId="4" fontId="30" fillId="0" borderId="13" xfId="12" applyNumberFormat="1" applyFont="1" applyBorder="1" applyAlignment="1">
      <alignment horizontal="right" vertical="center" wrapText="1"/>
    </xf>
    <xf numFmtId="3" fontId="29" fillId="0" borderId="13" xfId="12" applyNumberFormat="1" applyFont="1" applyBorder="1" applyAlignment="1">
      <alignment horizontal="right" vertical="center" wrapText="1"/>
    </xf>
    <xf numFmtId="169" fontId="26" fillId="0" borderId="13" xfId="12" applyNumberFormat="1" applyFont="1" applyBorder="1" applyAlignment="1">
      <alignment horizontal="right" vertical="center" wrapText="1"/>
    </xf>
    <xf numFmtId="0" fontId="25" fillId="8" borderId="14" xfId="12" applyFont="1" applyFill="1" applyBorder="1"/>
    <xf numFmtId="0" fontId="26" fillId="0" borderId="15" xfId="12" applyFont="1" applyBorder="1" applyAlignment="1">
      <alignment horizontal="left" vertical="center"/>
    </xf>
    <xf numFmtId="0" fontId="25" fillId="8" borderId="14" xfId="12" applyFont="1" applyFill="1" applyBorder="1" applyAlignment="1">
      <alignment wrapText="1"/>
    </xf>
    <xf numFmtId="0" fontId="28" fillId="9" borderId="15" xfId="12" applyFont="1" applyFill="1" applyBorder="1" applyAlignment="1">
      <alignment horizontal="left" vertical="center" wrapText="1"/>
    </xf>
    <xf numFmtId="0" fontId="26" fillId="0" borderId="15" xfId="12" applyFont="1" applyBorder="1" applyAlignment="1">
      <alignment vertical="center" wrapText="1"/>
    </xf>
    <xf numFmtId="0" fontId="26" fillId="0" borderId="15" xfId="12" applyFont="1" applyBorder="1" applyAlignment="1">
      <alignment horizontal="left" vertical="center" wrapText="1" indent="2"/>
    </xf>
    <xf numFmtId="0" fontId="26" fillId="0" borderId="15" xfId="12" applyFont="1" applyBorder="1" applyAlignment="1">
      <alignment horizontal="left" vertical="center" wrapText="1" indent="4"/>
    </xf>
    <xf numFmtId="0" fontId="28" fillId="0" borderId="15" xfId="12" applyFont="1" applyBorder="1" applyAlignment="1">
      <alignment vertical="center" wrapText="1"/>
    </xf>
    <xf numFmtId="0" fontId="26" fillId="0" borderId="15" xfId="12" applyFont="1" applyBorder="1" applyAlignment="1">
      <alignment horizontal="left" vertical="center" wrapText="1" indent="6"/>
    </xf>
    <xf numFmtId="0" fontId="26" fillId="0" borderId="15" xfId="12" applyFont="1" applyBorder="1" applyAlignment="1">
      <alignment horizontal="left" vertical="center" wrapText="1" indent="8"/>
    </xf>
    <xf numFmtId="166" fontId="4" fillId="0" borderId="0" xfId="0" applyNumberFormat="1" applyFont="1"/>
    <xf numFmtId="0" fontId="4" fillId="0" borderId="3" xfId="0" applyFont="1" applyBorder="1"/>
    <xf numFmtId="166" fontId="4" fillId="0" borderId="3" xfId="0" applyNumberFormat="1" applyFont="1" applyBorder="1"/>
    <xf numFmtId="0" fontId="0" fillId="0" borderId="3" xfId="0" applyBorder="1"/>
    <xf numFmtId="166" fontId="20" fillId="0" borderId="0" xfId="0" applyNumberFormat="1" applyFont="1"/>
    <xf numFmtId="168" fontId="28" fillId="0" borderId="15" xfId="12" applyNumberFormat="1" applyFont="1" applyBorder="1" applyAlignment="1">
      <alignment vertical="center" wrapText="1"/>
    </xf>
    <xf numFmtId="170" fontId="33" fillId="0" borderId="0" xfId="14" applyNumberFormat="1" applyFont="1"/>
    <xf numFmtId="10" fontId="33" fillId="0" borderId="0" xfId="14" applyNumberFormat="1" applyFont="1"/>
    <xf numFmtId="171" fontId="33" fillId="0" borderId="0" xfId="13" applyNumberFormat="1" applyFont="1"/>
    <xf numFmtId="172" fontId="33" fillId="0" borderId="0" xfId="14" applyNumberFormat="1" applyFont="1"/>
    <xf numFmtId="168" fontId="23" fillId="9" borderId="13" xfId="12" applyNumberFormat="1" applyFill="1" applyBorder="1" applyAlignment="1">
      <alignment wrapText="1"/>
    </xf>
    <xf numFmtId="4" fontId="23" fillId="9" borderId="13" xfId="12" applyNumberFormat="1" applyFill="1" applyBorder="1" applyAlignment="1">
      <alignment wrapText="1"/>
    </xf>
    <xf numFmtId="4" fontId="23" fillId="0" borderId="0" xfId="12" applyNumberFormat="1"/>
    <xf numFmtId="168" fontId="23" fillId="0" borderId="0" xfId="12" applyNumberFormat="1"/>
    <xf numFmtId="9" fontId="0" fillId="0" borderId="0" xfId="14" applyFont="1"/>
    <xf numFmtId="0" fontId="2" fillId="3" borderId="0" xfId="5" applyAlignment="1">
      <alignment horizontal="centerContinuous"/>
    </xf>
    <xf numFmtId="0" fontId="0" fillId="0" borderId="0" xfId="0" applyAlignment="1">
      <alignment horizontal="center"/>
    </xf>
    <xf numFmtId="0" fontId="4" fillId="2" borderId="0" xfId="3" applyFont="1" applyAlignment="1">
      <alignment horizontal="centerContinuous"/>
    </xf>
    <xf numFmtId="0" fontId="6" fillId="4" borderId="1" xfId="1" applyAlignment="1">
      <alignment horizontal="center"/>
    </xf>
    <xf numFmtId="173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74" fontId="7" fillId="0" borderId="0" xfId="0" applyNumberFormat="1" applyFont="1"/>
    <xf numFmtId="14" fontId="6" fillId="4" borderId="1" xfId="1" applyNumberFormat="1" applyAlignment="1">
      <alignment horizontal="center"/>
    </xf>
    <xf numFmtId="0" fontId="4" fillId="0" borderId="2" xfId="0" applyFont="1" applyBorder="1"/>
    <xf numFmtId="175" fontId="4" fillId="0" borderId="2" xfId="0" applyNumberFormat="1" applyFont="1" applyBorder="1" applyAlignment="1">
      <alignment horizontal="center"/>
    </xf>
    <xf numFmtId="0" fontId="4" fillId="0" borderId="16" xfId="0" applyFont="1" applyBorder="1"/>
    <xf numFmtId="165" fontId="7" fillId="0" borderId="0" xfId="0" applyNumberFormat="1" applyFont="1"/>
    <xf numFmtId="165" fontId="7" fillId="0" borderId="0" xfId="0" applyNumberFormat="1" applyFont="1" applyAlignment="1">
      <alignment horizontal="center"/>
    </xf>
    <xf numFmtId="0" fontId="34" fillId="0" borderId="0" xfId="0" applyFont="1"/>
    <xf numFmtId="0" fontId="35" fillId="0" borderId="0" xfId="0" applyFont="1"/>
    <xf numFmtId="0" fontId="36" fillId="0" borderId="0" xfId="0" applyFont="1"/>
    <xf numFmtId="0" fontId="0" fillId="10" borderId="0" xfId="0" applyFill="1"/>
    <xf numFmtId="170" fontId="33" fillId="0" borderId="0" xfId="14" applyNumberFormat="1" applyFont="1" applyAlignment="1">
      <alignment horizontal="right"/>
    </xf>
    <xf numFmtId="10" fontId="33" fillId="0" borderId="0" xfId="14" applyNumberFormat="1" applyFont="1" applyAlignment="1">
      <alignment horizontal="right"/>
    </xf>
    <xf numFmtId="0" fontId="0" fillId="0" borderId="0" xfId="0" applyAlignment="1">
      <alignment horizontal="right"/>
    </xf>
    <xf numFmtId="0" fontId="4" fillId="2" borderId="0" xfId="3" applyFont="1" applyAlignment="1">
      <alignment horizontal="right"/>
    </xf>
    <xf numFmtId="172" fontId="33" fillId="0" borderId="0" xfId="14" applyNumberFormat="1" applyFont="1" applyAlignment="1">
      <alignment horizontal="right"/>
    </xf>
    <xf numFmtId="171" fontId="33" fillId="0" borderId="0" xfId="13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4" fillId="6" borderId="17" xfId="0" applyFont="1" applyFill="1" applyBorder="1" applyAlignment="1">
      <alignment horizontal="left"/>
    </xf>
    <xf numFmtId="0" fontId="0" fillId="6" borderId="18" xfId="0" applyFill="1" applyBorder="1"/>
    <xf numFmtId="0" fontId="4" fillId="6" borderId="20" xfId="0" applyFont="1" applyFill="1" applyBorder="1" applyAlignment="1">
      <alignment horizontal="left"/>
    </xf>
    <xf numFmtId="0" fontId="0" fillId="6" borderId="21" xfId="0" applyFill="1" applyBorder="1"/>
    <xf numFmtId="170" fontId="0" fillId="0" borderId="0" xfId="14" applyNumberFormat="1" applyFont="1"/>
    <xf numFmtId="170" fontId="4" fillId="6" borderId="18" xfId="14" applyNumberFormat="1" applyFont="1" applyFill="1" applyBorder="1" applyAlignment="1">
      <alignment horizontal="right"/>
    </xf>
    <xf numFmtId="170" fontId="4" fillId="6" borderId="21" xfId="14" applyNumberFormat="1" applyFont="1" applyFill="1" applyBorder="1" applyAlignment="1">
      <alignment horizontal="right"/>
    </xf>
    <xf numFmtId="170" fontId="4" fillId="6" borderId="19" xfId="14" applyNumberFormat="1" applyFont="1" applyFill="1" applyBorder="1" applyAlignment="1">
      <alignment horizontal="right"/>
    </xf>
    <xf numFmtId="170" fontId="4" fillId="6" borderId="22" xfId="14" applyNumberFormat="1" applyFont="1" applyFill="1" applyBorder="1" applyAlignment="1">
      <alignment horizontal="right"/>
    </xf>
    <xf numFmtId="176" fontId="33" fillId="0" borderId="0" xfId="14" applyNumberFormat="1" applyFont="1"/>
    <xf numFmtId="176" fontId="4" fillId="6" borderId="18" xfId="14" applyNumberFormat="1" applyFont="1" applyFill="1" applyBorder="1" applyAlignment="1">
      <alignment horizontal="right"/>
    </xf>
    <xf numFmtId="176" fontId="4" fillId="6" borderId="19" xfId="14" applyNumberFormat="1" applyFont="1" applyFill="1" applyBorder="1" applyAlignment="1">
      <alignment horizontal="right"/>
    </xf>
    <xf numFmtId="176" fontId="4" fillId="6" borderId="21" xfId="14" applyNumberFormat="1" applyFont="1" applyFill="1" applyBorder="1" applyAlignment="1">
      <alignment horizontal="right"/>
    </xf>
    <xf numFmtId="176" fontId="4" fillId="6" borderId="22" xfId="14" applyNumberFormat="1" applyFont="1" applyFill="1" applyBorder="1" applyAlignment="1">
      <alignment horizontal="right"/>
    </xf>
    <xf numFmtId="176" fontId="33" fillId="0" borderId="0" xfId="14" applyNumberFormat="1" applyFont="1" applyAlignment="1">
      <alignment horizontal="right"/>
    </xf>
    <xf numFmtId="43" fontId="33" fillId="0" borderId="0" xfId="13" applyFont="1" applyAlignment="1">
      <alignment horizontal="right"/>
    </xf>
    <xf numFmtId="171" fontId="0" fillId="0" borderId="0" xfId="13" applyNumberFormat="1" applyFont="1"/>
    <xf numFmtId="171" fontId="4" fillId="6" borderId="18" xfId="13" applyNumberFormat="1" applyFont="1" applyFill="1" applyBorder="1" applyAlignment="1">
      <alignment horizontal="right"/>
    </xf>
    <xf numFmtId="171" fontId="4" fillId="6" borderId="19" xfId="13" applyNumberFormat="1" applyFont="1" applyFill="1" applyBorder="1" applyAlignment="1">
      <alignment horizontal="right"/>
    </xf>
    <xf numFmtId="171" fontId="4" fillId="6" borderId="21" xfId="13" applyNumberFormat="1" applyFont="1" applyFill="1" applyBorder="1" applyAlignment="1">
      <alignment horizontal="right"/>
    </xf>
    <xf numFmtId="171" fontId="4" fillId="6" borderId="22" xfId="13" applyNumberFormat="1" applyFont="1" applyFill="1" applyBorder="1" applyAlignment="1">
      <alignment horizontal="right"/>
    </xf>
    <xf numFmtId="43" fontId="0" fillId="0" borderId="0" xfId="0" applyNumberFormat="1"/>
    <xf numFmtId="170" fontId="33" fillId="0" borderId="17" xfId="14" applyNumberFormat="1" applyFont="1" applyBorder="1" applyAlignment="1">
      <alignment horizontal="right"/>
    </xf>
    <xf numFmtId="170" fontId="33" fillId="0" borderId="18" xfId="14" applyNumberFormat="1" applyFont="1" applyBorder="1" applyAlignment="1">
      <alignment horizontal="right"/>
    </xf>
    <xf numFmtId="170" fontId="33" fillId="0" borderId="19" xfId="14" applyNumberFormat="1" applyFont="1" applyBorder="1" applyAlignment="1">
      <alignment horizontal="right"/>
    </xf>
    <xf numFmtId="170" fontId="33" fillId="0" borderId="23" xfId="14" applyNumberFormat="1" applyFont="1" applyBorder="1" applyAlignment="1">
      <alignment horizontal="right"/>
    </xf>
    <xf numFmtId="170" fontId="33" fillId="0" borderId="0" xfId="14" applyNumberFormat="1" applyFont="1" applyBorder="1" applyAlignment="1">
      <alignment horizontal="right"/>
    </xf>
    <xf numFmtId="170" fontId="33" fillId="0" borderId="24" xfId="14" applyNumberFormat="1" applyFont="1" applyBorder="1" applyAlignment="1">
      <alignment horizontal="right"/>
    </xf>
    <xf numFmtId="10" fontId="33" fillId="0" borderId="20" xfId="14" applyNumberFormat="1" applyFont="1" applyBorder="1" applyAlignment="1">
      <alignment horizontal="right"/>
    </xf>
    <xf numFmtId="10" fontId="33" fillId="0" borderId="21" xfId="14" applyNumberFormat="1" applyFont="1" applyBorder="1" applyAlignment="1">
      <alignment horizontal="right"/>
    </xf>
    <xf numFmtId="10" fontId="33" fillId="0" borderId="22" xfId="14" applyNumberFormat="1" applyFont="1" applyBorder="1" applyAlignment="1">
      <alignment horizontal="right"/>
    </xf>
    <xf numFmtId="176" fontId="33" fillId="0" borderId="17" xfId="14" applyNumberFormat="1" applyFont="1" applyBorder="1" applyAlignment="1">
      <alignment horizontal="right"/>
    </xf>
    <xf numFmtId="176" fontId="33" fillId="0" borderId="18" xfId="14" applyNumberFormat="1" applyFont="1" applyBorder="1" applyAlignment="1">
      <alignment horizontal="right"/>
    </xf>
    <xf numFmtId="176" fontId="33" fillId="0" borderId="19" xfId="14" applyNumberFormat="1" applyFont="1" applyBorder="1" applyAlignment="1">
      <alignment horizontal="right"/>
    </xf>
    <xf numFmtId="176" fontId="33" fillId="0" borderId="23" xfId="14" applyNumberFormat="1" applyFont="1" applyBorder="1" applyAlignment="1">
      <alignment horizontal="right"/>
    </xf>
    <xf numFmtId="176" fontId="33" fillId="0" borderId="0" xfId="14" applyNumberFormat="1" applyFont="1" applyBorder="1" applyAlignment="1">
      <alignment horizontal="right"/>
    </xf>
    <xf numFmtId="176" fontId="33" fillId="0" borderId="24" xfId="14" applyNumberFormat="1" applyFont="1" applyBorder="1" applyAlignment="1">
      <alignment horizontal="right"/>
    </xf>
    <xf numFmtId="176" fontId="33" fillId="0" borderId="20" xfId="14" applyNumberFormat="1" applyFont="1" applyBorder="1" applyAlignment="1">
      <alignment horizontal="right"/>
    </xf>
    <xf numFmtId="176" fontId="33" fillId="0" borderId="21" xfId="14" applyNumberFormat="1" applyFont="1" applyBorder="1" applyAlignment="1">
      <alignment horizontal="right"/>
    </xf>
    <xf numFmtId="176" fontId="33" fillId="0" borderId="22" xfId="14" applyNumberFormat="1" applyFont="1" applyBorder="1" applyAlignment="1">
      <alignment horizontal="right"/>
    </xf>
    <xf numFmtId="3" fontId="33" fillId="0" borderId="23" xfId="13" applyNumberFormat="1" applyFont="1" applyBorder="1" applyAlignment="1">
      <alignment horizontal="right"/>
    </xf>
    <xf numFmtId="3" fontId="33" fillId="0" borderId="0" xfId="13" applyNumberFormat="1" applyFont="1" applyBorder="1" applyAlignment="1">
      <alignment horizontal="right"/>
    </xf>
    <xf numFmtId="3" fontId="33" fillId="0" borderId="24" xfId="13" applyNumberFormat="1" applyFont="1" applyBorder="1" applyAlignment="1">
      <alignment horizontal="right"/>
    </xf>
    <xf numFmtId="0" fontId="37" fillId="0" borderId="0" xfId="0" applyFont="1"/>
    <xf numFmtId="170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70" fontId="38" fillId="0" borderId="0" xfId="0" applyNumberFormat="1" applyFont="1" applyAlignment="1">
      <alignment horizontal="center"/>
    </xf>
    <xf numFmtId="176" fontId="38" fillId="0" borderId="0" xfId="0" applyNumberFormat="1" applyFont="1" applyAlignment="1">
      <alignment horizontal="center"/>
    </xf>
    <xf numFmtId="176" fontId="0" fillId="0" borderId="0" xfId="0" applyNumberFormat="1" applyAlignment="1">
      <alignment horizontal="center"/>
    </xf>
    <xf numFmtId="3" fontId="38" fillId="0" borderId="0" xfId="13" applyNumberFormat="1" applyFont="1" applyAlignment="1">
      <alignment horizontal="center"/>
    </xf>
    <xf numFmtId="3" fontId="33" fillId="0" borderId="0" xfId="13" applyNumberFormat="1" applyFont="1" applyBorder="1" applyAlignment="1">
      <alignment horizontal="center"/>
    </xf>
    <xf numFmtId="176" fontId="33" fillId="0" borderId="0" xfId="14" applyNumberFormat="1" applyFont="1" applyBorder="1" applyAlignment="1">
      <alignment horizontal="center"/>
    </xf>
    <xf numFmtId="168" fontId="30" fillId="0" borderId="13" xfId="12" applyNumberFormat="1" applyFont="1" applyBorder="1" applyAlignment="1">
      <alignment horizontal="right" vertical="center" wrapText="1"/>
    </xf>
    <xf numFmtId="4" fontId="29" fillId="6" borderId="13" xfId="12" applyNumberFormat="1" applyFont="1" applyFill="1" applyBorder="1" applyAlignment="1">
      <alignment horizontal="right" vertical="center" wrapText="1"/>
    </xf>
    <xf numFmtId="168" fontId="29" fillId="6" borderId="13" xfId="12" applyNumberFormat="1" applyFont="1" applyFill="1" applyBorder="1" applyAlignment="1">
      <alignment horizontal="right" vertical="center" wrapText="1"/>
    </xf>
    <xf numFmtId="168" fontId="26" fillId="6" borderId="13" xfId="12" applyNumberFormat="1" applyFont="1" applyFill="1" applyBorder="1" applyAlignment="1">
      <alignment horizontal="right" vertical="center" wrapText="1"/>
    </xf>
    <xf numFmtId="0" fontId="0" fillId="0" borderId="2" xfId="0" applyBorder="1"/>
    <xf numFmtId="166" fontId="20" fillId="0" borderId="2" xfId="0" applyNumberFormat="1" applyFont="1" applyBorder="1"/>
    <xf numFmtId="171" fontId="0" fillId="0" borderId="0" xfId="0" applyNumberFormat="1"/>
    <xf numFmtId="176" fontId="0" fillId="0" borderId="0" xfId="0" applyNumberFormat="1"/>
    <xf numFmtId="0" fontId="0" fillId="0" borderId="0" xfId="0" applyAlignment="1">
      <alignment horizontal="left"/>
    </xf>
    <xf numFmtId="0" fontId="39" fillId="0" borderId="0" xfId="0" applyFont="1" applyAlignment="1">
      <alignment horizontal="left" indent="1"/>
    </xf>
    <xf numFmtId="10" fontId="39" fillId="0" borderId="0" xfId="14" applyNumberFormat="1" applyFont="1"/>
    <xf numFmtId="177" fontId="2" fillId="11" borderId="0" xfId="5" applyNumberFormat="1" applyFill="1" applyAlignment="1">
      <alignment horizontal="center"/>
    </xf>
    <xf numFmtId="0" fontId="0" fillId="0" borderId="0" xfId="0" applyAlignment="1">
      <alignment horizontal="left" indent="2"/>
    </xf>
    <xf numFmtId="170" fontId="39" fillId="0" borderId="0" xfId="14" applyNumberFormat="1" applyFont="1"/>
    <xf numFmtId="10" fontId="0" fillId="0" borderId="0" xfId="14" applyNumberFormat="1" applyFont="1" applyAlignment="1">
      <alignment horizontal="center"/>
    </xf>
    <xf numFmtId="10" fontId="39" fillId="0" borderId="0" xfId="14" applyNumberFormat="1" applyFont="1" applyAlignment="1">
      <alignment horizontal="center"/>
    </xf>
    <xf numFmtId="0" fontId="0" fillId="6" borderId="5" xfId="0" applyFill="1" applyBorder="1"/>
    <xf numFmtId="0" fontId="0" fillId="6" borderId="3" xfId="0" applyFill="1" applyBorder="1"/>
    <xf numFmtId="166" fontId="20" fillId="6" borderId="3" xfId="0" applyNumberFormat="1" applyFont="1" applyFill="1" applyBorder="1"/>
    <xf numFmtId="166" fontId="20" fillId="6" borderId="6" xfId="0" applyNumberFormat="1" applyFont="1" applyFill="1" applyBorder="1"/>
    <xf numFmtId="0" fontId="0" fillId="6" borderId="7" xfId="0" applyFill="1" applyBorder="1"/>
    <xf numFmtId="0" fontId="0" fillId="6" borderId="2" xfId="0" applyFill="1" applyBorder="1"/>
    <xf numFmtId="178" fontId="0" fillId="6" borderId="2" xfId="0" applyNumberFormat="1" applyFill="1" applyBorder="1"/>
    <xf numFmtId="178" fontId="0" fillId="6" borderId="8" xfId="0" applyNumberFormat="1" applyFill="1" applyBorder="1"/>
    <xf numFmtId="10" fontId="39" fillId="0" borderId="1" xfId="14" applyNumberFormat="1" applyFont="1" applyBorder="1"/>
    <xf numFmtId="10" fontId="40" fillId="0" borderId="1" xfId="14" applyNumberFormat="1" applyFont="1" applyBorder="1"/>
    <xf numFmtId="166" fontId="33" fillId="0" borderId="0" xfId="0" applyNumberFormat="1" applyFont="1"/>
    <xf numFmtId="10" fontId="41" fillId="0" borderId="1" xfId="14" applyNumberFormat="1" applyFont="1" applyBorder="1"/>
    <xf numFmtId="170" fontId="0" fillId="0" borderId="0" xfId="0" applyNumberFormat="1"/>
    <xf numFmtId="166" fontId="33" fillId="6" borderId="3" xfId="0" applyNumberFormat="1" applyFont="1" applyFill="1" applyBorder="1"/>
    <xf numFmtId="178" fontId="33" fillId="6" borderId="2" xfId="0" applyNumberFormat="1" applyFont="1" applyFill="1" applyBorder="1"/>
    <xf numFmtId="166" fontId="33" fillId="6" borderId="5" xfId="0" applyNumberFormat="1" applyFont="1" applyFill="1" applyBorder="1"/>
    <xf numFmtId="166" fontId="33" fillId="6" borderId="6" xfId="0" applyNumberFormat="1" applyFont="1" applyFill="1" applyBorder="1"/>
    <xf numFmtId="178" fontId="33" fillId="6" borderId="7" xfId="0" applyNumberFormat="1" applyFont="1" applyFill="1" applyBorder="1"/>
    <xf numFmtId="178" fontId="33" fillId="6" borderId="8" xfId="0" applyNumberFormat="1" applyFont="1" applyFill="1" applyBorder="1"/>
    <xf numFmtId="166" fontId="42" fillId="0" borderId="3" xfId="0" applyNumberFormat="1" applyFont="1" applyBorder="1"/>
    <xf numFmtId="170" fontId="39" fillId="0" borderId="0" xfId="14" applyNumberFormat="1" applyFont="1" applyBorder="1"/>
    <xf numFmtId="0" fontId="43" fillId="0" borderId="0" xfId="0" applyFont="1"/>
    <xf numFmtId="10" fontId="44" fillId="0" borderId="1" xfId="14" applyNumberFormat="1" applyFont="1" applyBorder="1"/>
    <xf numFmtId="10" fontId="40" fillId="0" borderId="25" xfId="14" applyNumberFormat="1" applyFont="1" applyBorder="1"/>
    <xf numFmtId="175" fontId="2" fillId="3" borderId="0" xfId="5" applyNumberFormat="1" applyAlignment="1">
      <alignment horizontal="center"/>
    </xf>
    <xf numFmtId="176" fontId="33" fillId="0" borderId="26" xfId="14" applyNumberFormat="1" applyFont="1" applyBorder="1" applyAlignment="1">
      <alignment horizontal="right"/>
    </xf>
    <xf numFmtId="176" fontId="33" fillId="0" borderId="27" xfId="14" applyNumberFormat="1" applyFont="1" applyBorder="1" applyAlignment="1">
      <alignment horizontal="right"/>
    </xf>
    <xf numFmtId="176" fontId="33" fillId="0" borderId="28" xfId="14" applyNumberFormat="1" applyFont="1" applyBorder="1" applyAlignment="1">
      <alignment horizontal="right"/>
    </xf>
    <xf numFmtId="3" fontId="0" fillId="0" borderId="0" xfId="0" applyNumberFormat="1" applyAlignment="1">
      <alignment horizontal="right" indent="1"/>
    </xf>
    <xf numFmtId="0" fontId="11" fillId="6" borderId="0" xfId="7" applyFont="1" applyFill="1" applyAlignment="1">
      <alignment horizontal="center"/>
    </xf>
    <xf numFmtId="0" fontId="6" fillId="0" borderId="0" xfId="0" applyFont="1" applyAlignment="1">
      <alignment horizontal="center"/>
    </xf>
    <xf numFmtId="15" fontId="6" fillId="0" borderId="0" xfId="0" applyNumberFormat="1" applyFont="1" applyAlignment="1">
      <alignment horizontal="center"/>
    </xf>
    <xf numFmtId="9" fontId="44" fillId="0" borderId="0" xfId="14" applyFont="1"/>
    <xf numFmtId="170" fontId="39" fillId="0" borderId="0" xfId="0" applyNumberFormat="1" applyFont="1"/>
    <xf numFmtId="166" fontId="43" fillId="0" borderId="0" xfId="0" applyNumberFormat="1" applyFont="1"/>
    <xf numFmtId="166" fontId="0" fillId="0" borderId="0" xfId="0" applyNumberFormat="1" applyAlignment="1">
      <alignment horizontal="center"/>
    </xf>
    <xf numFmtId="166" fontId="4" fillId="12" borderId="3" xfId="0" applyNumberFormat="1" applyFont="1" applyFill="1" applyBorder="1"/>
    <xf numFmtId="166" fontId="0" fillId="0" borderId="0" xfId="0" applyNumberFormat="1" applyFont="1"/>
    <xf numFmtId="166" fontId="33" fillId="0" borderId="0" xfId="0" applyNumberFormat="1" applyFont="1" applyFill="1"/>
    <xf numFmtId="0" fontId="45" fillId="0" borderId="0" xfId="0" applyFont="1"/>
    <xf numFmtId="178" fontId="0" fillId="0" borderId="0" xfId="0" applyNumberFormat="1"/>
    <xf numFmtId="179" fontId="0" fillId="0" borderId="0" xfId="0" applyNumberFormat="1"/>
    <xf numFmtId="181" fontId="6" fillId="0" borderId="0" xfId="0" applyNumberFormat="1" applyFont="1" applyAlignment="1">
      <alignment horizontal="center"/>
    </xf>
    <xf numFmtId="182" fontId="6" fillId="0" borderId="0" xfId="0" applyNumberFormat="1" applyFont="1" applyAlignment="1">
      <alignment horizontal="center"/>
    </xf>
    <xf numFmtId="184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10" fontId="44" fillId="0" borderId="1" xfId="14" applyNumberFormat="1" applyFont="1" applyFill="1" applyBorder="1"/>
    <xf numFmtId="10" fontId="0" fillId="0" borderId="0" xfId="14" applyNumberFormat="1" applyFont="1"/>
    <xf numFmtId="170" fontId="33" fillId="0" borderId="0" xfId="13" applyNumberFormat="1" applyFont="1" applyAlignment="1">
      <alignment horizontal="right"/>
    </xf>
    <xf numFmtId="0" fontId="0" fillId="0" borderId="0" xfId="0" applyFont="1"/>
    <xf numFmtId="176" fontId="33" fillId="0" borderId="0" xfId="14" applyNumberFormat="1" applyFont="1" applyAlignment="1">
      <alignment horizontal="center"/>
    </xf>
    <xf numFmtId="3" fontId="33" fillId="0" borderId="0" xfId="13" applyNumberFormat="1" applyFont="1" applyAlignment="1">
      <alignment horizontal="center"/>
    </xf>
    <xf numFmtId="10" fontId="0" fillId="6" borderId="0" xfId="14" applyNumberFormat="1" applyFont="1" applyFill="1"/>
    <xf numFmtId="177" fontId="0" fillId="6" borderId="0" xfId="0" applyNumberFormat="1" applyFill="1"/>
    <xf numFmtId="166" fontId="0" fillId="0" borderId="0" xfId="14" applyNumberFormat="1" applyFont="1"/>
    <xf numFmtId="184" fontId="6" fillId="10" borderId="0" xfId="0" applyNumberFormat="1" applyFont="1" applyFill="1" applyAlignment="1">
      <alignment horizontal="center"/>
    </xf>
    <xf numFmtId="0" fontId="42" fillId="0" borderId="0" xfId="5" applyFont="1" applyFill="1" applyAlignment="1">
      <alignment horizontal="center"/>
    </xf>
    <xf numFmtId="177" fontId="42" fillId="0" borderId="0" xfId="5" applyNumberFormat="1" applyFont="1" applyFill="1" applyAlignment="1">
      <alignment horizontal="center"/>
    </xf>
    <xf numFmtId="0" fontId="4" fillId="0" borderId="29" xfId="0" applyFont="1" applyBorder="1" applyAlignment="1">
      <alignment horizontal="center"/>
    </xf>
  </cellXfs>
  <cellStyles count="15">
    <cellStyle name="20% - Accent1" xfId="3" builtinId="30"/>
    <cellStyle name="Comma" xfId="13" builtinId="3"/>
    <cellStyle name="Comma 2" xfId="9" xr:uid="{4550E5EE-B3D9-4E22-8ACE-5826E69796E8}"/>
    <cellStyle name="Explanatory Text" xfId="2" builtinId="53"/>
    <cellStyle name="Head 2 Banner" xfId="5" xr:uid="{488E00B6-EA3B-474C-AA5C-4DE2B92791EA}"/>
    <cellStyle name="Head Banner" xfId="4" xr:uid="{F3CE9B2D-5F11-4F02-B9ED-B4646D7B4634}"/>
    <cellStyle name="Input" xfId="1" builtinId="20" customBuiltin="1"/>
    <cellStyle name="Input Field" xfId="8" xr:uid="{E62BF3A2-7871-4009-B43C-375BCA0E7AE9}"/>
    <cellStyle name="NA Data" xfId="6" xr:uid="{8DDF9D25-D2AD-4E33-BC5F-76F5599618BE}"/>
    <cellStyle name="Normal" xfId="0" builtinId="0"/>
    <cellStyle name="Normal 2" xfId="7" xr:uid="{F089E945-A59A-42DF-BF2F-03F0DD13AB48}"/>
    <cellStyle name="Normal 2 2" xfId="10" xr:uid="{8AE4D0F0-5529-49C6-A837-4CEC29848484}"/>
    <cellStyle name="Normal 3" xfId="11" xr:uid="{C8F275E9-00F9-4C2D-B748-A3FD8B24B163}"/>
    <cellStyle name="Normal 4" xfId="12" xr:uid="{65B8D2F7-1C90-4F5D-BD76-E98E4303CF6D}"/>
    <cellStyle name="Percent" xfId="14" builtinId="5"/>
  </cellStyles>
  <dxfs count="0"/>
  <tableStyles count="0" defaultTableStyle="TableStyleMedium2" defaultPivotStyle="PivotStyleLight16"/>
  <colors>
    <mruColors>
      <color rgb="FF0000FF"/>
      <color rgb="FFFF3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microsoft.com/office/2017/06/relationships/rdRichValueTypes" Target="richData/rdRichValueTypes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Recapitalization!$V$22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9E8-4E52-88D9-22FC2737398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E8-4E52-88D9-22FC2737398C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9E8-4E52-88D9-22FC2737398C}"/>
              </c:ext>
            </c:extLst>
          </c:dPt>
          <c:cat>
            <c:numRef>
              <c:f>Recapitalization!$W$21:$AE$21</c:f>
              <c:numCache>
                <c:formatCode>General</c:formatCod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 formatCode="0&quot;E&quot;">
                  <c:v>2025</c:v>
                </c:pt>
                <c:pt idx="7" formatCode="0&quot;E&quot;">
                  <c:v>2026</c:v>
                </c:pt>
                <c:pt idx="8" formatCode="0&quot;E&quot;">
                  <c:v>2027</c:v>
                </c:pt>
              </c:numCache>
            </c:numRef>
          </c:cat>
          <c:val>
            <c:numRef>
              <c:f>Recapitalization!$W$22:$AE$22</c:f>
              <c:numCache>
                <c:formatCode>_ * #,##0_ ;_ * \(#,##0\)_ ;_ * "-"??_ ;_ @</c:formatCode>
                <c:ptCount val="9"/>
                <c:pt idx="0">
                  <c:v>1646.6999999999996</c:v>
                </c:pt>
                <c:pt idx="1">
                  <c:v>1413.8000000000002</c:v>
                </c:pt>
                <c:pt idx="2">
                  <c:v>1845.6999999999998</c:v>
                </c:pt>
                <c:pt idx="3">
                  <c:v>1306.0999999999999</c:v>
                </c:pt>
                <c:pt idx="4">
                  <c:v>1833.0000000000002</c:v>
                </c:pt>
                <c:pt idx="5">
                  <c:v>2037.4999999999993</c:v>
                </c:pt>
                <c:pt idx="6">
                  <c:v>2277.633600000001</c:v>
                </c:pt>
                <c:pt idx="7">
                  <c:v>2482.620624000001</c:v>
                </c:pt>
                <c:pt idx="8">
                  <c:v>2681.2302739200004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E8-4E52-88D9-22FC2737398C}"/>
            </c:ext>
          </c:extLst>
        </c:ser>
        <c:ser>
          <c:idx val="1"/>
          <c:order val="1"/>
          <c:tx>
            <c:strRef>
              <c:f>Recapitalization!$V$23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9E8-4E52-88D9-22FC2737398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9E8-4E52-88D9-22FC2737398C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9E8-4E52-88D9-22FC2737398C}"/>
              </c:ext>
            </c:extLst>
          </c:dPt>
          <c:cat>
            <c:numRef>
              <c:f>Recapitalization!$W$21:$AE$21</c:f>
              <c:numCache>
                <c:formatCode>General</c:formatCod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 formatCode="0&quot;E&quot;">
                  <c:v>2025</c:v>
                </c:pt>
                <c:pt idx="7" formatCode="0&quot;E&quot;">
                  <c:v>2026</c:v>
                </c:pt>
                <c:pt idx="8" formatCode="0&quot;E&quot;">
                  <c:v>2027</c:v>
                </c:pt>
              </c:numCache>
            </c:numRef>
          </c:cat>
          <c:val>
            <c:numRef>
              <c:f>Recapitalization!$W$23:$AE$23</c:f>
              <c:numCache>
                <c:formatCode>_ * #,##0_ ;_ * \(#,##0\)_ ;_ * "-"??_ ;_ @</c:formatCode>
                <c:ptCount val="9"/>
                <c:pt idx="0">
                  <c:v>755.69999999999959</c:v>
                </c:pt>
                <c:pt idx="1">
                  <c:v>497.70000000000016</c:v>
                </c:pt>
                <c:pt idx="2">
                  <c:v>906.79999999999984</c:v>
                </c:pt>
                <c:pt idx="3">
                  <c:v>292.79999999999995</c:v>
                </c:pt>
                <c:pt idx="4">
                  <c:v>786.50000000000023</c:v>
                </c:pt>
                <c:pt idx="5">
                  <c:v>926.69999999999936</c:v>
                </c:pt>
                <c:pt idx="6">
                  <c:v>1025.819762963235</c:v>
                </c:pt>
                <c:pt idx="7">
                  <c:v>1118.1435416299262</c:v>
                </c:pt>
                <c:pt idx="8">
                  <c:v>1207.5950249603195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E8-4E52-88D9-22FC27373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631743"/>
        <c:axId val="94628863"/>
      </c:barChart>
      <c:lineChart>
        <c:grouping val="standard"/>
        <c:varyColors val="0"/>
        <c:ser>
          <c:idx val="2"/>
          <c:order val="2"/>
          <c:tx>
            <c:strRef>
              <c:f>Recapitalization!$V$24</c:f>
              <c:strCache>
                <c:ptCount val="1"/>
                <c:pt idx="0">
                  <c:v>EBITDA Margin</c:v>
                </c:pt>
              </c:strCache>
            </c:strRef>
          </c:tx>
          <c:spPr>
            <a:ln w="1460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Recapitalization!$W$21:$AE$21</c:f>
              <c:numCache>
                <c:formatCode>General</c:formatCod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 formatCode="0&quot;E&quot;">
                  <c:v>2025</c:v>
                </c:pt>
                <c:pt idx="7" formatCode="0&quot;E&quot;">
                  <c:v>2026</c:v>
                </c:pt>
                <c:pt idx="8" formatCode="0&quot;E&quot;">
                  <c:v>2027</c:v>
                </c:pt>
              </c:numCache>
            </c:numRef>
          </c:cat>
          <c:val>
            <c:numRef>
              <c:f>Recapitalization!$W$24:$AE$24</c:f>
              <c:numCache>
                <c:formatCode>0.00%</c:formatCode>
                <c:ptCount val="9"/>
                <c:pt idx="0">
                  <c:v>0.18698688468744673</c:v>
                </c:pt>
                <c:pt idx="1">
                  <c:v>0.16948786803490939</c:v>
                </c:pt>
                <c:pt idx="2">
                  <c:v>0.17929339537413908</c:v>
                </c:pt>
                <c:pt idx="3">
                  <c:v>0.11729049175616939</c:v>
                </c:pt>
                <c:pt idx="4">
                  <c:v>0.16031555839317108</c:v>
                </c:pt>
                <c:pt idx="5">
                  <c:v>0.17712462619097288</c:v>
                </c:pt>
                <c:pt idx="6">
                  <c:v>0.18000000000000005</c:v>
                </c:pt>
                <c:pt idx="7">
                  <c:v>0.18000000000000005</c:v>
                </c:pt>
                <c:pt idx="8">
                  <c:v>0.17999999999999997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E8-4E52-88D9-22FC2737398C}"/>
            </c:ext>
          </c:extLst>
        </c:ser>
        <c:ser>
          <c:idx val="3"/>
          <c:order val="3"/>
          <c:tx>
            <c:strRef>
              <c:f>Recapitalization!$V$25</c:f>
              <c:strCache>
                <c:ptCount val="1"/>
                <c:pt idx="0">
                  <c:v>EBIT Margin</c:v>
                </c:pt>
              </c:strCache>
            </c:strRef>
          </c:tx>
          <c:spPr>
            <a:ln w="1460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Recapitalization!$W$21:$AE$21</c:f>
              <c:numCache>
                <c:formatCode>General</c:formatCod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 formatCode="0&quot;E&quot;">
                  <c:v>2025</c:v>
                </c:pt>
                <c:pt idx="7" formatCode="0&quot;E&quot;">
                  <c:v>2026</c:v>
                </c:pt>
                <c:pt idx="8" formatCode="0&quot;E&quot;">
                  <c:v>2027</c:v>
                </c:pt>
              </c:numCache>
            </c:numRef>
          </c:cat>
          <c:val>
            <c:numRef>
              <c:f>Recapitalization!$W$25:$AE$25</c:f>
              <c:numCache>
                <c:formatCode>0.00%</c:formatCode>
                <c:ptCount val="9"/>
                <c:pt idx="0">
                  <c:v>8.5811616419689957E-2</c:v>
                </c:pt>
                <c:pt idx="1">
                  <c:v>5.9664812505994071E-2</c:v>
                </c:pt>
                <c:pt idx="2">
                  <c:v>8.8087582448539467E-2</c:v>
                </c:pt>
                <c:pt idx="3">
                  <c:v>2.6294047918387867E-2</c:v>
                </c:pt>
                <c:pt idx="4">
                  <c:v>6.8787881438204621E-2</c:v>
                </c:pt>
                <c:pt idx="5">
                  <c:v>8.0560191946588713E-2</c:v>
                </c:pt>
                <c:pt idx="6">
                  <c:v>8.1069912796062668E-2</c:v>
                </c:pt>
                <c:pt idx="7">
                  <c:v>8.1069912796062668E-2</c:v>
                </c:pt>
                <c:pt idx="8">
                  <c:v>8.1069912796062599E-2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E8-4E52-88D9-22FC27373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634623"/>
        <c:axId val="94634143"/>
      </c:lineChart>
      <c:catAx>
        <c:axId val="9463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28863"/>
        <c:crosses val="autoZero"/>
        <c:auto val="1"/>
        <c:lblAlgn val="ctr"/>
        <c:lblOffset val="100"/>
        <c:noMultiLvlLbl val="0"/>
      </c:catAx>
      <c:valAx>
        <c:axId val="94628863"/>
        <c:scaling>
          <c:orientation val="minMax"/>
        </c:scaling>
        <c:delete val="0"/>
        <c:axPos val="l"/>
        <c:numFmt formatCode="_ * #,##0_ ;_ * \(#,##0\)_ ;_ * &quot;-&quot;??_ ;_ 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31743"/>
        <c:crosses val="autoZero"/>
        <c:crossBetween val="between"/>
      </c:valAx>
      <c:valAx>
        <c:axId val="94634143"/>
        <c:scaling>
          <c:orientation val="minMax"/>
          <c:max val="0.4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34623"/>
        <c:crosses val="max"/>
        <c:crossBetween val="between"/>
      </c:valAx>
      <c:catAx>
        <c:axId val="946346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63414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Recapitalization!$V$77</c:f>
              <c:strCache>
                <c:ptCount val="1"/>
                <c:pt idx="0">
                  <c:v>Old Debt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Recapitalization!$W$76:$AE$76</c:f>
              <c:numCache>
                <c:formatCode>General</c:formatCod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 formatCode="0&quot;E&quot;">
                  <c:v>2025</c:v>
                </c:pt>
                <c:pt idx="7" formatCode="0&quot;E&quot;">
                  <c:v>2026</c:v>
                </c:pt>
                <c:pt idx="8" formatCode="0&quot;E&quot;">
                  <c:v>2027</c:v>
                </c:pt>
              </c:numCache>
            </c:numRef>
          </c:cat>
          <c:val>
            <c:numRef>
              <c:f>Recapitalization!$W$77:$AE$77</c:f>
              <c:numCache>
                <c:formatCode>_ * #,##0_ ;_ * \(#,##0\)_ ;_ * "-"??_ ;_ @</c:formatCode>
                <c:ptCount val="9"/>
                <c:pt idx="0">
                  <c:v>5168.3999999999996</c:v>
                </c:pt>
                <c:pt idx="1">
                  <c:v>4606.5999999999995</c:v>
                </c:pt>
                <c:pt idx="2">
                  <c:v>4636.3999999999996</c:v>
                </c:pt>
                <c:pt idx="3">
                  <c:v>5976.3000000000011</c:v>
                </c:pt>
                <c:pt idx="4">
                  <c:v>6279.7999999999993</c:v>
                </c:pt>
                <c:pt idx="5">
                  <c:v>6852.3</c:v>
                </c:pt>
                <c:pt idx="6">
                  <c:v>6852.3</c:v>
                </c:pt>
                <c:pt idx="7">
                  <c:v>6852.3</c:v>
                </c:pt>
                <c:pt idx="8">
                  <c:v>6852.3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5-4CB3-BC1B-08EC6541B2B8}"/>
            </c:ext>
          </c:extLst>
        </c:ser>
        <c:ser>
          <c:idx val="1"/>
          <c:order val="1"/>
          <c:tx>
            <c:strRef>
              <c:f>Recapitalization!$V$78</c:f>
              <c:strCache>
                <c:ptCount val="1"/>
                <c:pt idx="0">
                  <c:v>New Debt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Recapitalization!$W$76:$AE$76</c:f>
              <c:numCache>
                <c:formatCode>General</c:formatCod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 formatCode="0&quot;E&quot;">
                  <c:v>2025</c:v>
                </c:pt>
                <c:pt idx="7" formatCode="0&quot;E&quot;">
                  <c:v>2026</c:v>
                </c:pt>
                <c:pt idx="8" formatCode="0&quot;E&quot;">
                  <c:v>2027</c:v>
                </c:pt>
              </c:numCache>
            </c:numRef>
          </c:cat>
          <c:val>
            <c:numRef>
              <c:f>Recapitalization!$W$78:$AE$78</c:f>
              <c:numCache>
                <c:formatCode>_ * #,##0_ ;_ * \(#,##0\)_ ;_ * "-"??_ ;_ @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25-4CB3-BC1B-08EC6541B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5585008"/>
        <c:axId val="945585488"/>
      </c:barChart>
      <c:catAx>
        <c:axId val="94558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585488"/>
        <c:crosses val="autoZero"/>
        <c:auto val="1"/>
        <c:lblAlgn val="ctr"/>
        <c:lblOffset val="100"/>
        <c:noMultiLvlLbl val="0"/>
      </c:catAx>
      <c:valAx>
        <c:axId val="945585488"/>
        <c:scaling>
          <c:orientation val="minMax"/>
        </c:scaling>
        <c:delete val="0"/>
        <c:axPos val="l"/>
        <c:numFmt formatCode="_ * #,##0_ ;_ * \(#,##0\)_ ;_ * &quot;-&quot;??_ ;_ 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58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Recapitalization!$V$92</c:f>
              <c:strCache>
                <c:ptCount val="1"/>
                <c:pt idx="0">
                  <c:v>Basic Interest Expense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Recapitalization!$W$91:$AE$91</c:f>
              <c:numCache>
                <c:formatCode>General</c:formatCod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 formatCode="0&quot;E&quot;">
                  <c:v>2025</c:v>
                </c:pt>
                <c:pt idx="7" formatCode="0&quot;E&quot;">
                  <c:v>2026</c:v>
                </c:pt>
                <c:pt idx="8" formatCode="0&quot;E&quot;">
                  <c:v>2027</c:v>
                </c:pt>
              </c:numCache>
            </c:numRef>
          </c:cat>
          <c:val>
            <c:numRef>
              <c:f>Recapitalization!$W$92:$AE$92</c:f>
              <c:numCache>
                <c:formatCode>_ * #,##0_ ;_ * \(#,##0\)_ ;_ * "-"??_ ;_ @</c:formatCode>
                <c:ptCount val="9"/>
                <c:pt idx="0">
                  <c:v>53.8</c:v>
                </c:pt>
                <c:pt idx="1">
                  <c:v>40.799999999999997</c:v>
                </c:pt>
                <c:pt idx="2">
                  <c:v>15.7</c:v>
                </c:pt>
                <c:pt idx="3">
                  <c:v>34.1</c:v>
                </c:pt>
                <c:pt idx="4">
                  <c:v>138.80000000000001</c:v>
                </c:pt>
                <c:pt idx="5">
                  <c:v>173</c:v>
                </c:pt>
                <c:pt idx="6">
                  <c:v>171.3075</c:v>
                </c:pt>
                <c:pt idx="7">
                  <c:v>171.3075</c:v>
                </c:pt>
                <c:pt idx="8">
                  <c:v>171.3075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5-4F86-AED9-BAB0BCB36775}"/>
            </c:ext>
          </c:extLst>
        </c:ser>
        <c:ser>
          <c:idx val="1"/>
          <c:order val="1"/>
          <c:tx>
            <c:strRef>
              <c:f>Recapitalization!$V$93</c:f>
              <c:strCache>
                <c:ptCount val="1"/>
                <c:pt idx="0">
                  <c:v>Recap. Interest Expense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Recapitalization!$W$91:$AE$91</c:f>
              <c:numCache>
                <c:formatCode>General</c:formatCod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 formatCode="0&quot;E&quot;">
                  <c:v>2025</c:v>
                </c:pt>
                <c:pt idx="7" formatCode="0&quot;E&quot;">
                  <c:v>2026</c:v>
                </c:pt>
                <c:pt idx="8" formatCode="0&quot;E&quot;">
                  <c:v>2027</c:v>
                </c:pt>
              </c:numCache>
            </c:numRef>
          </c:cat>
          <c:val>
            <c:numRef>
              <c:f>Recapitalization!$W$93:$AE$93</c:f>
              <c:numCache>
                <c:formatCode>_ * #,##0_ ;_ * \(#,##0\)_ ;_ * "-"??_ ;_ @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70.33</c:v>
                </c:pt>
                <c:pt idx="7">
                  <c:v>70.33</c:v>
                </c:pt>
                <c:pt idx="8">
                  <c:v>70.33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D5-4F86-AED9-BAB0BCB36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399327"/>
        <c:axId val="234400287"/>
      </c:areaChart>
      <c:catAx>
        <c:axId val="2343993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400287"/>
        <c:crosses val="autoZero"/>
        <c:auto val="1"/>
        <c:lblAlgn val="ctr"/>
        <c:lblOffset val="100"/>
        <c:noMultiLvlLbl val="0"/>
      </c:catAx>
      <c:valAx>
        <c:axId val="234400287"/>
        <c:scaling>
          <c:orientation val="minMax"/>
        </c:scaling>
        <c:delete val="0"/>
        <c:axPos val="l"/>
        <c:numFmt formatCode="_ * #,##0_ ;_ * \(#,##0\)_ ;_ * &quot;-&quot;??_ ;_ 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399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Recapitalization!$V$12</c:f>
              <c:strCache>
                <c:ptCount val="1"/>
                <c:pt idx="0">
                  <c:v>Payout ratio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Recapitalization!$AB$11:$AE$11</c:f>
              <c:numCache>
                <c:formatCode>0"E"</c:formatCode>
                <c:ptCount val="4"/>
                <c:pt idx="0" formatCode="General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Recapitalization!$AB$12:$AE$12</c:f>
              <c:numCache>
                <c:formatCode>0%</c:formatCode>
                <c:ptCount val="4"/>
                <c:pt idx="0">
                  <c:v>0.16300227445034118</c:v>
                </c:pt>
                <c:pt idx="1">
                  <c:v>0.95934819329373033</c:v>
                </c:pt>
                <c:pt idx="2">
                  <c:v>0.8</c:v>
                </c:pt>
                <c:pt idx="3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9-4820-849B-910414F10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808703"/>
        <c:axId val="183801983"/>
      </c:areaChart>
      <c:lineChart>
        <c:grouping val="standard"/>
        <c:varyColors val="0"/>
        <c:ser>
          <c:idx val="1"/>
          <c:order val="1"/>
          <c:tx>
            <c:strRef>
              <c:f>Recapitalization!$V$13</c:f>
              <c:strCache>
                <c:ptCount val="1"/>
                <c:pt idx="0">
                  <c:v>Net Leverage Ratio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cat>
            <c:numRef>
              <c:f>Recapitalization!$AB$11:$AE$11</c:f>
              <c:numCache>
                <c:formatCode>0"E"</c:formatCode>
                <c:ptCount val="4"/>
                <c:pt idx="0" formatCode="General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Recapitalization!$AB$13:$AE$13</c:f>
              <c:numCache>
                <c:formatCode>0.0\x</c:formatCode>
                <c:ptCount val="4"/>
                <c:pt idx="0">
                  <c:v>3.3630920245398785</c:v>
                </c:pt>
                <c:pt idx="1">
                  <c:v>3.8866216234252935</c:v>
                </c:pt>
                <c:pt idx="2">
                  <c:v>3.5657079113993517</c:v>
                </c:pt>
                <c:pt idx="3">
                  <c:v>3.3015813994438452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99-4820-849B-910414F102D3}"/>
            </c:ext>
          </c:extLst>
        </c:ser>
        <c:ser>
          <c:idx val="2"/>
          <c:order val="2"/>
          <c:tx>
            <c:strRef>
              <c:f>Recapitalization!$V$14</c:f>
              <c:strCache>
                <c:ptCount val="1"/>
                <c:pt idx="0">
                  <c:v>Interest Coverage Ratio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Recapitalization!$AB$11:$AE$11</c:f>
              <c:numCache>
                <c:formatCode>0"E"</c:formatCode>
                <c:ptCount val="4"/>
                <c:pt idx="0" formatCode="General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Recapitalization!$AB$14:$AE$14</c:f>
              <c:numCache>
                <c:formatCode>0.0\x</c:formatCode>
                <c:ptCount val="4"/>
                <c:pt idx="0">
                  <c:v>5.3566473988439274</c:v>
                </c:pt>
                <c:pt idx="1">
                  <c:v>4.2452837947886195</c:v>
                </c:pt>
                <c:pt idx="2">
                  <c:v>4.6273593363195955</c:v>
                </c:pt>
                <c:pt idx="3">
                  <c:v>4.9975480832251602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99-4820-849B-910414F10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823583"/>
        <c:axId val="183820703"/>
      </c:lineChart>
      <c:catAx>
        <c:axId val="18380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01983"/>
        <c:crosses val="autoZero"/>
        <c:auto val="1"/>
        <c:lblAlgn val="ctr"/>
        <c:lblOffset val="100"/>
        <c:noMultiLvlLbl val="0"/>
      </c:catAx>
      <c:valAx>
        <c:axId val="183801983"/>
        <c:scaling>
          <c:orientation val="minMax"/>
          <c:max val="2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08703"/>
        <c:crosses val="autoZero"/>
        <c:crossBetween val="between"/>
      </c:valAx>
      <c:valAx>
        <c:axId val="183820703"/>
        <c:scaling>
          <c:orientation val="minMax"/>
        </c:scaling>
        <c:delete val="0"/>
        <c:axPos val="r"/>
        <c:numFmt formatCode="0.0\x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23583"/>
        <c:crosses val="max"/>
        <c:crossBetween val="between"/>
      </c:valAx>
      <c:catAx>
        <c:axId val="1838235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82070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'Peer Analysis'!$O$10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'Peer Analysis'!$P$9:$Y$9</c:f>
              <c:strCache>
                <c:ptCount val="10"/>
                <c:pt idx="0">
                  <c:v>Kion</c:v>
                </c:pt>
                <c:pt idx="1">
                  <c:v>Honeywell International</c:v>
                </c:pt>
                <c:pt idx="2">
                  <c:v>Daifuku</c:v>
                </c:pt>
                <c:pt idx="3">
                  <c:v>Hyster Yale</c:v>
                </c:pt>
                <c:pt idx="4">
                  <c:v>Mitsubishi Logisnext</c:v>
                </c:pt>
                <c:pt idx="5">
                  <c:v>Toyota Industries</c:v>
                </c:pt>
                <c:pt idx="6">
                  <c:v>Symbotic</c:v>
                </c:pt>
                <c:pt idx="7">
                  <c:v>KENGIC</c:v>
                </c:pt>
                <c:pt idx="8">
                  <c:v>Jungheinrich</c:v>
                </c:pt>
                <c:pt idx="9">
                  <c:v>ManitouBF</c:v>
                </c:pt>
              </c:strCache>
            </c:strRef>
          </c:cat>
          <c:val>
            <c:numRef>
              <c:f>'Peer Analysis'!$P$10:$Y$10</c:f>
              <c:numCache>
                <c:formatCode>0.0%</c:formatCode>
                <c:ptCount val="10"/>
                <c:pt idx="0">
                  <c:v>0.17712462619097288</c:v>
                </c:pt>
                <c:pt idx="1">
                  <c:v>0.24140050633004037</c:v>
                </c:pt>
                <c:pt idx="2">
                  <c:v>0.15853060102253455</c:v>
                </c:pt>
                <c:pt idx="3">
                  <c:v>5.1895953730026381E-2</c:v>
                </c:pt>
                <c:pt idx="4">
                  <c:v>8.3073068027531491E-2</c:v>
                </c:pt>
                <c:pt idx="5">
                  <c:v>0.12504199796806542</c:v>
                </c:pt>
                <c:pt idx="6">
                  <c:v>-1.7771358018472834E-3</c:v>
                </c:pt>
                <c:pt idx="7">
                  <c:v>0</c:v>
                </c:pt>
                <c:pt idx="8">
                  <c:v>0.16530250697282223</c:v>
                </c:pt>
                <c:pt idx="9">
                  <c:v>8.6141811592795978E-2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0-4226-B297-5F2E07E739CA}"/>
            </c:ext>
          </c:extLst>
        </c:ser>
        <c:ser>
          <c:idx val="1"/>
          <c:order val="1"/>
          <c:tx>
            <c:strRef>
              <c:f>'Peer Analysis'!$O$11</c:f>
              <c:strCache>
                <c:ptCount val="1"/>
                <c:pt idx="0">
                  <c:v>EBIT Margin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'Peer Analysis'!$P$9:$Y$9</c:f>
              <c:strCache>
                <c:ptCount val="10"/>
                <c:pt idx="0">
                  <c:v>Kion</c:v>
                </c:pt>
                <c:pt idx="1">
                  <c:v>Honeywell International</c:v>
                </c:pt>
                <c:pt idx="2">
                  <c:v>Daifuku</c:v>
                </c:pt>
                <c:pt idx="3">
                  <c:v>Hyster Yale</c:v>
                </c:pt>
                <c:pt idx="4">
                  <c:v>Mitsubishi Logisnext</c:v>
                </c:pt>
                <c:pt idx="5">
                  <c:v>Toyota Industries</c:v>
                </c:pt>
                <c:pt idx="6">
                  <c:v>Symbotic</c:v>
                </c:pt>
                <c:pt idx="7">
                  <c:v>KENGIC</c:v>
                </c:pt>
                <c:pt idx="8">
                  <c:v>Jungheinrich</c:v>
                </c:pt>
                <c:pt idx="9">
                  <c:v>ManitouBF</c:v>
                </c:pt>
              </c:strCache>
            </c:strRef>
          </c:cat>
          <c:val>
            <c:numRef>
              <c:f>'Peer Analysis'!$P$11:$Y$11</c:f>
              <c:numCache>
                <c:formatCode>0.0%</c:formatCode>
                <c:ptCount val="10"/>
                <c:pt idx="0">
                  <c:v>8.0560191946588713E-2</c:v>
                </c:pt>
                <c:pt idx="1">
                  <c:v>0.20324063823913477</c:v>
                </c:pt>
                <c:pt idx="2">
                  <c:v>0.14606494371421608</c:v>
                </c:pt>
                <c:pt idx="3">
                  <c:v>4.0167621165229941E-2</c:v>
                </c:pt>
                <c:pt idx="4">
                  <c:v>2.0403642944194281E-2</c:v>
                </c:pt>
                <c:pt idx="5">
                  <c:v>4.371837139820435E-2</c:v>
                </c:pt>
                <c:pt idx="6">
                  <c:v>-2.0168845366387776E-2</c:v>
                </c:pt>
                <c:pt idx="7">
                  <c:v>-7.5104141389778986E-2</c:v>
                </c:pt>
                <c:pt idx="8">
                  <c:v>7.7929764663565021E-2</c:v>
                </c:pt>
                <c:pt idx="9">
                  <c:v>5.3908518133877384E-2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80-4226-B297-5F2E07E73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9849280"/>
        <c:axId val="749856000"/>
      </c:barChart>
      <c:lineChart>
        <c:grouping val="standard"/>
        <c:varyColors val="0"/>
        <c:ser>
          <c:idx val="2"/>
          <c:order val="2"/>
          <c:tx>
            <c:strRef>
              <c:f>'Peer Analysis'!$O$12</c:f>
              <c:strCache>
                <c:ptCount val="1"/>
                <c:pt idx="0">
                  <c:v>EBITDA Mean</c:v>
                </c:pt>
              </c:strCache>
            </c:strRef>
          </c:tx>
          <c:spPr>
            <a:ln w="14605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'Peer Analysis'!$P$12:$Y$12</c:f>
              <c:numCache>
                <c:formatCode>0.0%</c:formatCode>
                <c:ptCount val="10"/>
                <c:pt idx="0">
                  <c:v>9.7115410905497482E-2</c:v>
                </c:pt>
                <c:pt idx="1">
                  <c:v>9.7115410905497482E-2</c:v>
                </c:pt>
                <c:pt idx="2">
                  <c:v>9.7115410905497482E-2</c:v>
                </c:pt>
                <c:pt idx="3">
                  <c:v>9.7115410905497482E-2</c:v>
                </c:pt>
                <c:pt idx="4">
                  <c:v>9.7115410905497482E-2</c:v>
                </c:pt>
                <c:pt idx="5">
                  <c:v>9.7115410905497482E-2</c:v>
                </c:pt>
                <c:pt idx="6">
                  <c:v>9.7115410905497482E-2</c:v>
                </c:pt>
                <c:pt idx="7">
                  <c:v>9.7115410905497482E-2</c:v>
                </c:pt>
                <c:pt idx="8">
                  <c:v>9.7115410905497482E-2</c:v>
                </c:pt>
                <c:pt idx="9">
                  <c:v>9.7115410905497482E-2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80-4226-B297-5F2E07E739CA}"/>
            </c:ext>
          </c:extLst>
        </c:ser>
        <c:ser>
          <c:idx val="3"/>
          <c:order val="3"/>
          <c:tx>
            <c:strRef>
              <c:f>'Peer Analysis'!$O$13</c:f>
              <c:strCache>
                <c:ptCount val="1"/>
                <c:pt idx="0">
                  <c:v>EBIT Mean</c:v>
                </c:pt>
              </c:strCache>
            </c:strRef>
          </c:tx>
          <c:spPr>
            <a:ln w="14605" cap="rnd">
              <a:solidFill>
                <a:schemeClr val="accent5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val>
            <c:numRef>
              <c:f>'Peer Analysis'!$P$13:$Y$13</c:f>
              <c:numCache>
                <c:formatCode>0.0%</c:formatCode>
                <c:ptCount val="10"/>
                <c:pt idx="0">
                  <c:v>5.8723410750149627E-2</c:v>
                </c:pt>
                <c:pt idx="1">
                  <c:v>5.8723410750149627E-2</c:v>
                </c:pt>
                <c:pt idx="2">
                  <c:v>5.8723410750149627E-2</c:v>
                </c:pt>
                <c:pt idx="3">
                  <c:v>5.8723410750149627E-2</c:v>
                </c:pt>
                <c:pt idx="4">
                  <c:v>5.8723410750149627E-2</c:v>
                </c:pt>
                <c:pt idx="5">
                  <c:v>5.8723410750149627E-2</c:v>
                </c:pt>
                <c:pt idx="6">
                  <c:v>5.8723410750149627E-2</c:v>
                </c:pt>
                <c:pt idx="7">
                  <c:v>5.8723410750149627E-2</c:v>
                </c:pt>
                <c:pt idx="8">
                  <c:v>5.8723410750149627E-2</c:v>
                </c:pt>
                <c:pt idx="9">
                  <c:v>5.8723410750149627E-2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80-4226-B297-5F2E07E73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849280"/>
        <c:axId val="749856000"/>
      </c:lineChart>
      <c:catAx>
        <c:axId val="74984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856000"/>
        <c:crosses val="autoZero"/>
        <c:auto val="1"/>
        <c:lblAlgn val="ctr"/>
        <c:lblOffset val="100"/>
        <c:noMultiLvlLbl val="0"/>
      </c:catAx>
      <c:valAx>
        <c:axId val="7498560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84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'Peer Analysis'!$O$27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'Peer Analysis'!$P$9:$Y$9</c:f>
              <c:strCache>
                <c:ptCount val="10"/>
                <c:pt idx="0">
                  <c:v>Kion</c:v>
                </c:pt>
                <c:pt idx="1">
                  <c:v>Honeywell International</c:v>
                </c:pt>
                <c:pt idx="2">
                  <c:v>Daifuku</c:v>
                </c:pt>
                <c:pt idx="3">
                  <c:v>Hyster Yale</c:v>
                </c:pt>
                <c:pt idx="4">
                  <c:v>Mitsubishi Logisnext</c:v>
                </c:pt>
                <c:pt idx="5">
                  <c:v>Toyota Industries</c:v>
                </c:pt>
                <c:pt idx="6">
                  <c:v>Symbotic</c:v>
                </c:pt>
                <c:pt idx="7">
                  <c:v>KENGIC</c:v>
                </c:pt>
                <c:pt idx="8">
                  <c:v>Jungheinrich</c:v>
                </c:pt>
                <c:pt idx="9">
                  <c:v>ManitouBF</c:v>
                </c:pt>
              </c:strCache>
            </c:strRef>
          </c:cat>
          <c:val>
            <c:numRef>
              <c:f>'Peer Analysis'!$P$27:$Y$27</c:f>
              <c:numCache>
                <c:formatCode>0.0%</c:formatCode>
                <c:ptCount val="10"/>
                <c:pt idx="0">
                  <c:v>0.17388695987461925</c:v>
                </c:pt>
                <c:pt idx="1">
                  <c:v>0.23473246357462219</c:v>
                </c:pt>
                <c:pt idx="2">
                  <c:v>0.1168438114806261</c:v>
                </c:pt>
                <c:pt idx="3">
                  <c:v>4.034374491760092E-2</c:v>
                </c:pt>
                <c:pt idx="4">
                  <c:v>8.8346189551204268E-2</c:v>
                </c:pt>
                <c:pt idx="5">
                  <c:v>0.14062014765280972</c:v>
                </c:pt>
                <c:pt idx="6">
                  <c:v>-0.10921564812779824</c:v>
                </c:pt>
                <c:pt idx="7">
                  <c:v>1.1587777863870975E-2</c:v>
                </c:pt>
                <c:pt idx="8">
                  <c:v>0.16509884310685485</c:v>
                </c:pt>
                <c:pt idx="9">
                  <c:v>8.8549725602368512E-2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6-4DCC-87EC-80112EB1CC08}"/>
            </c:ext>
          </c:extLst>
        </c:ser>
        <c:ser>
          <c:idx val="1"/>
          <c:order val="1"/>
          <c:tx>
            <c:strRef>
              <c:f>'Peer Analysis'!$O$28</c:f>
              <c:strCache>
                <c:ptCount val="1"/>
                <c:pt idx="0">
                  <c:v>EBIT Margin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'Peer Analysis'!$P$9:$Y$9</c:f>
              <c:strCache>
                <c:ptCount val="10"/>
                <c:pt idx="0">
                  <c:v>Kion</c:v>
                </c:pt>
                <c:pt idx="1">
                  <c:v>Honeywell International</c:v>
                </c:pt>
                <c:pt idx="2">
                  <c:v>Daifuku</c:v>
                </c:pt>
                <c:pt idx="3">
                  <c:v>Hyster Yale</c:v>
                </c:pt>
                <c:pt idx="4">
                  <c:v>Mitsubishi Logisnext</c:v>
                </c:pt>
                <c:pt idx="5">
                  <c:v>Toyota Industries</c:v>
                </c:pt>
                <c:pt idx="6">
                  <c:v>Symbotic</c:v>
                </c:pt>
                <c:pt idx="7">
                  <c:v>KENGIC</c:v>
                </c:pt>
                <c:pt idx="8">
                  <c:v>Jungheinrich</c:v>
                </c:pt>
                <c:pt idx="9">
                  <c:v>ManitouBF</c:v>
                </c:pt>
              </c:strCache>
            </c:strRef>
          </c:cat>
          <c:val>
            <c:numRef>
              <c:f>'Peer Analysis'!$P$28:$Y$28</c:f>
              <c:numCache>
                <c:formatCode>0.0%</c:formatCode>
                <c:ptCount val="10"/>
                <c:pt idx="0">
                  <c:v>7.7677502471750079E-2</c:v>
                </c:pt>
                <c:pt idx="1">
                  <c:v>0.20196436841287771</c:v>
                </c:pt>
                <c:pt idx="2">
                  <c:v>0.1016453948757258</c:v>
                </c:pt>
                <c:pt idx="3">
                  <c:v>2.7400178951625762E-2</c:v>
                </c:pt>
                <c:pt idx="4">
                  <c:v>2.4399849867168883E-2</c:v>
                </c:pt>
                <c:pt idx="5">
                  <c:v>5.6015256351671587E-2</c:v>
                </c:pt>
                <c:pt idx="6">
                  <c:v>-0.12194451963906391</c:v>
                </c:pt>
                <c:pt idx="7">
                  <c:v>7.0461438095390768E-3</c:v>
                </c:pt>
                <c:pt idx="8">
                  <c:v>7.687460195816416E-2</c:v>
                </c:pt>
                <c:pt idx="9">
                  <c:v>6.2353464627741599E-2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46-4DCC-87EC-80112EB1C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9849280"/>
        <c:axId val="749856000"/>
      </c:barChart>
      <c:lineChart>
        <c:grouping val="standard"/>
        <c:varyColors val="0"/>
        <c:ser>
          <c:idx val="2"/>
          <c:order val="2"/>
          <c:tx>
            <c:strRef>
              <c:f>'Peer Analysis'!$O$29</c:f>
              <c:strCache>
                <c:ptCount val="1"/>
                <c:pt idx="0">
                  <c:v>EBITDA Mean</c:v>
                </c:pt>
              </c:strCache>
            </c:strRef>
          </c:tx>
          <c:spPr>
            <a:ln w="14605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'Peer Analysis'!$P$9:$Y$9</c:f>
              <c:strCache>
                <c:ptCount val="10"/>
                <c:pt idx="0">
                  <c:v>Kion</c:v>
                </c:pt>
                <c:pt idx="1">
                  <c:v>Honeywell International</c:v>
                </c:pt>
                <c:pt idx="2">
                  <c:v>Daifuku</c:v>
                </c:pt>
                <c:pt idx="3">
                  <c:v>Hyster Yale</c:v>
                </c:pt>
                <c:pt idx="4">
                  <c:v>Mitsubishi Logisnext</c:v>
                </c:pt>
                <c:pt idx="5">
                  <c:v>Toyota Industries</c:v>
                </c:pt>
                <c:pt idx="6">
                  <c:v>Symbotic</c:v>
                </c:pt>
                <c:pt idx="7">
                  <c:v>KENGIC</c:v>
                </c:pt>
                <c:pt idx="8">
                  <c:v>Jungheinrich</c:v>
                </c:pt>
                <c:pt idx="9">
                  <c:v>ManitouBF</c:v>
                </c:pt>
              </c:strCache>
            </c:strRef>
          </c:cat>
          <c:val>
            <c:numRef>
              <c:f>'Peer Analysis'!$P$29:$Y$29</c:f>
              <c:numCache>
                <c:formatCode>0.0%</c:formatCode>
                <c:ptCount val="10"/>
                <c:pt idx="0">
                  <c:v>9.4075952752375361E-2</c:v>
                </c:pt>
                <c:pt idx="1">
                  <c:v>9.4075952752375361E-2</c:v>
                </c:pt>
                <c:pt idx="2">
                  <c:v>9.4075952752375361E-2</c:v>
                </c:pt>
                <c:pt idx="3">
                  <c:v>9.4075952752375361E-2</c:v>
                </c:pt>
                <c:pt idx="4">
                  <c:v>9.4075952752375361E-2</c:v>
                </c:pt>
                <c:pt idx="5">
                  <c:v>9.4075952752375361E-2</c:v>
                </c:pt>
                <c:pt idx="6">
                  <c:v>9.4075952752375361E-2</c:v>
                </c:pt>
                <c:pt idx="7">
                  <c:v>9.4075952752375361E-2</c:v>
                </c:pt>
                <c:pt idx="8">
                  <c:v>9.4075952752375361E-2</c:v>
                </c:pt>
                <c:pt idx="9">
                  <c:v>9.4075952752375361E-2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46-4DCC-87EC-80112EB1CC08}"/>
            </c:ext>
          </c:extLst>
        </c:ser>
        <c:ser>
          <c:idx val="3"/>
          <c:order val="3"/>
          <c:tx>
            <c:strRef>
              <c:f>'Peer Analysis'!$O$30</c:f>
              <c:strCache>
                <c:ptCount val="1"/>
                <c:pt idx="0">
                  <c:v>EBIT Mean</c:v>
                </c:pt>
              </c:strCache>
            </c:strRef>
          </c:tx>
          <c:spPr>
            <a:ln w="14605" cap="rnd">
              <a:solidFill>
                <a:schemeClr val="accent5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'Peer Analysis'!$P$9:$Y$9</c:f>
              <c:strCache>
                <c:ptCount val="10"/>
                <c:pt idx="0">
                  <c:v>Kion</c:v>
                </c:pt>
                <c:pt idx="1">
                  <c:v>Honeywell International</c:v>
                </c:pt>
                <c:pt idx="2">
                  <c:v>Daifuku</c:v>
                </c:pt>
                <c:pt idx="3">
                  <c:v>Hyster Yale</c:v>
                </c:pt>
                <c:pt idx="4">
                  <c:v>Mitsubishi Logisnext</c:v>
                </c:pt>
                <c:pt idx="5">
                  <c:v>Toyota Industries</c:v>
                </c:pt>
                <c:pt idx="6">
                  <c:v>Symbotic</c:v>
                </c:pt>
                <c:pt idx="7">
                  <c:v>KENGIC</c:v>
                </c:pt>
                <c:pt idx="8">
                  <c:v>Jungheinrich</c:v>
                </c:pt>
                <c:pt idx="9">
                  <c:v>ManitouBF</c:v>
                </c:pt>
              </c:strCache>
            </c:strRef>
          </c:cat>
          <c:val>
            <c:numRef>
              <c:f>'Peer Analysis'!$P$30:$Y$30</c:f>
              <c:numCache>
                <c:formatCode>0.0%</c:formatCode>
                <c:ptCount val="10"/>
                <c:pt idx="0">
                  <c:v>5.4580908648283535E-2</c:v>
                </c:pt>
                <c:pt idx="1">
                  <c:v>5.4580908648283535E-2</c:v>
                </c:pt>
                <c:pt idx="2">
                  <c:v>5.4580908648283535E-2</c:v>
                </c:pt>
                <c:pt idx="3">
                  <c:v>5.4580908648283535E-2</c:v>
                </c:pt>
                <c:pt idx="4">
                  <c:v>5.4580908648283535E-2</c:v>
                </c:pt>
                <c:pt idx="5">
                  <c:v>5.4580908648283535E-2</c:v>
                </c:pt>
                <c:pt idx="6">
                  <c:v>5.4580908648283535E-2</c:v>
                </c:pt>
                <c:pt idx="7">
                  <c:v>5.4580908648283535E-2</c:v>
                </c:pt>
                <c:pt idx="8">
                  <c:v>5.4580908648283535E-2</c:v>
                </c:pt>
                <c:pt idx="9">
                  <c:v>5.4580908648283535E-2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46-4DCC-87EC-80112EB1C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849280"/>
        <c:axId val="749856000"/>
      </c:lineChart>
      <c:catAx>
        <c:axId val="74984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856000"/>
        <c:crosses val="autoZero"/>
        <c:auto val="1"/>
        <c:lblAlgn val="ctr"/>
        <c:lblOffset val="100"/>
        <c:noMultiLvlLbl val="0"/>
      </c:catAx>
      <c:valAx>
        <c:axId val="7498560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84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'Peer Analysis'!$P$188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'Peer Analysis'!$O$189:$O$194</c:f>
              <c:strCache>
                <c:ptCount val="6"/>
                <c:pt idx="0">
                  <c:v>Peer Current Ratio</c:v>
                </c:pt>
                <c:pt idx="1">
                  <c:v>Kion Current Ratio</c:v>
                </c:pt>
                <c:pt idx="2">
                  <c:v>Peer Quick Ratio</c:v>
                </c:pt>
                <c:pt idx="3">
                  <c:v>Kion Quick Ratio</c:v>
                </c:pt>
                <c:pt idx="4">
                  <c:v>Peer Cash Ratio</c:v>
                </c:pt>
                <c:pt idx="5">
                  <c:v>Kion Cash Ratio</c:v>
                </c:pt>
              </c:strCache>
            </c:strRef>
          </c:cat>
          <c:val>
            <c:numRef>
              <c:f>'Peer Analysis'!$P$189:$P$194</c:f>
              <c:numCache>
                <c:formatCode>0.0"x"</c:formatCode>
                <c:ptCount val="6"/>
                <c:pt idx="1">
                  <c:v>0.91605509838838761</c:v>
                </c:pt>
                <c:pt idx="3">
                  <c:v>0.61112892833221744</c:v>
                </c:pt>
                <c:pt idx="5">
                  <c:v>8.9785834762000305E-2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19-4CD8-B79A-A7995415E54F}"/>
            </c:ext>
          </c:extLst>
        </c:ser>
        <c:ser>
          <c:idx val="1"/>
          <c:order val="1"/>
          <c:tx>
            <c:strRef>
              <c:f>'Peer Analysis'!$Q$188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chemeClr val="accent3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'Peer Analysis'!$O$189:$O$194</c:f>
              <c:strCache>
                <c:ptCount val="6"/>
                <c:pt idx="0">
                  <c:v>Peer Current Ratio</c:v>
                </c:pt>
                <c:pt idx="1">
                  <c:v>Kion Current Ratio</c:v>
                </c:pt>
                <c:pt idx="2">
                  <c:v>Peer Quick Ratio</c:v>
                </c:pt>
                <c:pt idx="3">
                  <c:v>Kion Quick Ratio</c:v>
                </c:pt>
                <c:pt idx="4">
                  <c:v>Peer Cash Ratio</c:v>
                </c:pt>
                <c:pt idx="5">
                  <c:v>Kion Cash Ratio</c:v>
                </c:pt>
              </c:strCache>
            </c:strRef>
          </c:cat>
          <c:val>
            <c:numRef>
              <c:f>'Peer Analysis'!$Q$189:$Q$194</c:f>
              <c:numCache>
                <c:formatCode>General</c:formatCode>
                <c:ptCount val="6"/>
                <c:pt idx="0" formatCode="0.0&quot;x&quot;">
                  <c:v>4.8552268244575709E-2</c:v>
                </c:pt>
                <c:pt idx="2" formatCode="0.0&quot;x&quot;">
                  <c:v>4.8552268244575709E-2</c:v>
                </c:pt>
                <c:pt idx="4" formatCode="0.0&quot;x&quot;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19-4CD8-B79A-A7995415E54F}"/>
            </c:ext>
          </c:extLst>
        </c:ser>
        <c:ser>
          <c:idx val="2"/>
          <c:order val="2"/>
          <c:tx>
            <c:strRef>
              <c:f>'Peer Analysis'!$R$188</c:f>
              <c:strCache>
                <c:ptCount val="1"/>
                <c:pt idx="0">
                  <c:v>25th %</c:v>
                </c:pt>
              </c:strCache>
            </c:strRef>
          </c:tx>
          <c:spPr>
            <a:solidFill>
              <a:schemeClr val="accent3">
                <a:shade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'Peer Analysis'!$O$189:$O$194</c:f>
              <c:strCache>
                <c:ptCount val="6"/>
                <c:pt idx="0">
                  <c:v>Peer Current Ratio</c:v>
                </c:pt>
                <c:pt idx="1">
                  <c:v>Kion Current Ratio</c:v>
                </c:pt>
                <c:pt idx="2">
                  <c:v>Peer Quick Ratio</c:v>
                </c:pt>
                <c:pt idx="3">
                  <c:v>Kion Quick Ratio</c:v>
                </c:pt>
                <c:pt idx="4">
                  <c:v>Peer Cash Ratio</c:v>
                </c:pt>
                <c:pt idx="5">
                  <c:v>Kion Cash Ratio</c:v>
                </c:pt>
              </c:strCache>
            </c:strRef>
          </c:cat>
          <c:val>
            <c:numRef>
              <c:f>'Peer Analysis'!$R$189:$R$194</c:f>
              <c:numCache>
                <c:formatCode>General</c:formatCode>
                <c:ptCount val="6"/>
                <c:pt idx="0" formatCode="0.0&quot;x&quot;">
                  <c:v>1.2676070509656971</c:v>
                </c:pt>
                <c:pt idx="2" formatCode="0.0&quot;x&quot;">
                  <c:v>0.77949021604391544</c:v>
                </c:pt>
                <c:pt idx="4" formatCode="0.0&quot;x&quot;">
                  <c:v>9.4510109010470217E-2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19-4CD8-B79A-A7995415E54F}"/>
            </c:ext>
          </c:extLst>
        </c:ser>
        <c:ser>
          <c:idx val="3"/>
          <c:order val="3"/>
          <c:tx>
            <c:strRef>
              <c:f>'Peer Analysis'!$S$188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'Peer Analysis'!$O$189:$O$194</c:f>
              <c:strCache>
                <c:ptCount val="6"/>
                <c:pt idx="0">
                  <c:v>Peer Current Ratio</c:v>
                </c:pt>
                <c:pt idx="1">
                  <c:v>Kion Current Ratio</c:v>
                </c:pt>
                <c:pt idx="2">
                  <c:v>Peer Quick Ratio</c:v>
                </c:pt>
                <c:pt idx="3">
                  <c:v>Kion Quick Ratio</c:v>
                </c:pt>
                <c:pt idx="4">
                  <c:v>Peer Cash Ratio</c:v>
                </c:pt>
                <c:pt idx="5">
                  <c:v>Kion Cash Ratio</c:v>
                </c:pt>
              </c:strCache>
            </c:strRef>
          </c:cat>
          <c:val>
            <c:numRef>
              <c:f>'Peer Analysis'!$S$189:$S$194</c:f>
              <c:numCache>
                <c:formatCode>General</c:formatCode>
                <c:ptCount val="6"/>
                <c:pt idx="0" formatCode="0.0&quot;x&quot;">
                  <c:v>0.16198760182570959</c:v>
                </c:pt>
                <c:pt idx="2" formatCode="0.0&quot;x&quot;">
                  <c:v>0.18808124696456596</c:v>
                </c:pt>
                <c:pt idx="4" formatCode="0.0&quot;x&quot;">
                  <c:v>0.2683451797499754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19-4CD8-B79A-A7995415E54F}"/>
            </c:ext>
          </c:extLst>
        </c:ser>
        <c:ser>
          <c:idx val="4"/>
          <c:order val="4"/>
          <c:tx>
            <c:strRef>
              <c:f>'Peer Analysis'!$T$188</c:f>
              <c:strCache>
                <c:ptCount val="1"/>
                <c:pt idx="0">
                  <c:v>75th %</c:v>
                </c:pt>
              </c:strCache>
            </c:strRef>
          </c:tx>
          <c:spPr>
            <a:solidFill>
              <a:schemeClr val="accent3">
                <a:tint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'Peer Analysis'!$O$189:$O$194</c:f>
              <c:strCache>
                <c:ptCount val="6"/>
                <c:pt idx="0">
                  <c:v>Peer Current Ratio</c:v>
                </c:pt>
                <c:pt idx="1">
                  <c:v>Kion Current Ratio</c:v>
                </c:pt>
                <c:pt idx="2">
                  <c:v>Peer Quick Ratio</c:v>
                </c:pt>
                <c:pt idx="3">
                  <c:v>Kion Quick Ratio</c:v>
                </c:pt>
                <c:pt idx="4">
                  <c:v>Peer Cash Ratio</c:v>
                </c:pt>
                <c:pt idx="5">
                  <c:v>Kion Cash Ratio</c:v>
                </c:pt>
              </c:strCache>
            </c:strRef>
          </c:cat>
          <c:val>
            <c:numRef>
              <c:f>'Peer Analysis'!$T$189:$T$194</c:f>
              <c:numCache>
                <c:formatCode>General</c:formatCode>
                <c:ptCount val="6"/>
                <c:pt idx="0" formatCode="0.0&quot;x&quot;">
                  <c:v>0.29961964270358754</c:v>
                </c:pt>
                <c:pt idx="2" formatCode="0.0&quot;x&quot;">
                  <c:v>0.25972825600923721</c:v>
                </c:pt>
                <c:pt idx="4" formatCode="0.0&quot;x&quot;">
                  <c:v>0.18456576851677747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19-4CD8-B79A-A7995415E54F}"/>
            </c:ext>
          </c:extLst>
        </c:ser>
        <c:ser>
          <c:idx val="5"/>
          <c:order val="5"/>
          <c:tx>
            <c:strRef>
              <c:f>'Peer Analysis'!$U$188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3">
                <a:tint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'Peer Analysis'!$O$189:$O$194</c:f>
              <c:strCache>
                <c:ptCount val="6"/>
                <c:pt idx="0">
                  <c:v>Peer Current Ratio</c:v>
                </c:pt>
                <c:pt idx="1">
                  <c:v>Kion Current Ratio</c:v>
                </c:pt>
                <c:pt idx="2">
                  <c:v>Peer Quick Ratio</c:v>
                </c:pt>
                <c:pt idx="3">
                  <c:v>Kion Quick Ratio</c:v>
                </c:pt>
                <c:pt idx="4">
                  <c:v>Peer Cash Ratio</c:v>
                </c:pt>
                <c:pt idx="5">
                  <c:v>Kion Cash Ratio</c:v>
                </c:pt>
              </c:strCache>
            </c:strRef>
          </c:cat>
          <c:val>
            <c:numRef>
              <c:f>'Peer Analysis'!$U$189:$U$194</c:f>
              <c:numCache>
                <c:formatCode>General</c:formatCode>
                <c:ptCount val="6"/>
                <c:pt idx="0" formatCode="0.0&quot;x&quot;">
                  <c:v>0.86588373903572502</c:v>
                </c:pt>
                <c:pt idx="2" formatCode="0.0&quot;x&quot;">
                  <c:v>1.0872518261670567</c:v>
                </c:pt>
                <c:pt idx="4" formatCode="0.0&quot;x&quot;">
                  <c:v>0.54087931115867005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CB-4FA8-8308-458AE5D3D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379343"/>
        <c:axId val="45380783"/>
      </c:barChart>
      <c:catAx>
        <c:axId val="453793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80783"/>
        <c:crosses val="autoZero"/>
        <c:auto val="1"/>
        <c:lblAlgn val="ctr"/>
        <c:lblOffset val="100"/>
        <c:noMultiLvlLbl val="0"/>
      </c:catAx>
      <c:valAx>
        <c:axId val="45380783"/>
        <c:scaling>
          <c:orientation val="minMax"/>
        </c:scaling>
        <c:delete val="0"/>
        <c:axPos val="t"/>
        <c:numFmt formatCode="0.0\x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7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3629172600859543E-2"/>
          <c:y val="0.88201638675504146"/>
          <c:w val="0.89999954850804487"/>
          <c:h val="9.36221583098137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'Peer Analysis'!$O$111</c:f>
              <c:strCache>
                <c:ptCount val="1"/>
                <c:pt idx="0">
                  <c:v>Debt to 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'Peer Analysis'!$P$9:$Y$9</c:f>
              <c:strCache>
                <c:ptCount val="10"/>
                <c:pt idx="0">
                  <c:v>Kion</c:v>
                </c:pt>
                <c:pt idx="1">
                  <c:v>Honeywell International</c:v>
                </c:pt>
                <c:pt idx="2">
                  <c:v>Daifuku</c:v>
                </c:pt>
                <c:pt idx="3">
                  <c:v>Hyster Yale</c:v>
                </c:pt>
                <c:pt idx="4">
                  <c:v>Mitsubishi Logisnext</c:v>
                </c:pt>
                <c:pt idx="5">
                  <c:v>Toyota Industries</c:v>
                </c:pt>
                <c:pt idx="6">
                  <c:v>Symbotic</c:v>
                </c:pt>
                <c:pt idx="7">
                  <c:v>KENGIC</c:v>
                </c:pt>
                <c:pt idx="8">
                  <c:v>Jungheinrich</c:v>
                </c:pt>
                <c:pt idx="9">
                  <c:v>ManitouBF</c:v>
                </c:pt>
              </c:strCache>
            </c:strRef>
          </c:cat>
          <c:val>
            <c:numRef>
              <c:f>'Peer Analysis'!$P$111:$Y$111</c:f>
              <c:numCache>
                <c:formatCode>0.0"x"</c:formatCode>
                <c:ptCount val="10"/>
                <c:pt idx="0" formatCode="0.0\x">
                  <c:v>3.2041781788928541</c:v>
                </c:pt>
                <c:pt idx="1">
                  <c:v>0.1292260738568273</c:v>
                </c:pt>
                <c:pt idx="2">
                  <c:v>0.1292260738568273</c:v>
                </c:pt>
                <c:pt idx="3">
                  <c:v>1.421447625125482</c:v>
                </c:pt>
                <c:pt idx="4">
                  <c:v>2.7607370136501914</c:v>
                </c:pt>
                <c:pt idx="5">
                  <c:v>0.43730902502155572</c:v>
                </c:pt>
                <c:pt idx="6">
                  <c:v>33.886875339561094</c:v>
                </c:pt>
                <c:pt idx="7">
                  <c:v>0.60002536730525435</c:v>
                </c:pt>
                <c:pt idx="8">
                  <c:v>0.38557679518426563</c:v>
                </c:pt>
                <c:pt idx="9">
                  <c:v>0.37677101292163123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C5-4C6D-8C22-955C99C10BB9}"/>
            </c:ext>
          </c:extLst>
        </c:ser>
        <c:ser>
          <c:idx val="1"/>
          <c:order val="1"/>
          <c:tx>
            <c:strRef>
              <c:f>'Peer Analysis'!$O$112</c:f>
              <c:strCache>
                <c:ptCount val="1"/>
                <c:pt idx="0">
                  <c:v>Net Leverage Ratio Median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'Peer Analysis'!$P$9:$Y$9</c:f>
              <c:strCache>
                <c:ptCount val="10"/>
                <c:pt idx="0">
                  <c:v>Kion</c:v>
                </c:pt>
                <c:pt idx="1">
                  <c:v>Honeywell International</c:v>
                </c:pt>
                <c:pt idx="2">
                  <c:v>Daifuku</c:v>
                </c:pt>
                <c:pt idx="3">
                  <c:v>Hyster Yale</c:v>
                </c:pt>
                <c:pt idx="4">
                  <c:v>Mitsubishi Logisnext</c:v>
                </c:pt>
                <c:pt idx="5">
                  <c:v>Toyota Industries</c:v>
                </c:pt>
                <c:pt idx="6">
                  <c:v>Symbotic</c:v>
                </c:pt>
                <c:pt idx="7">
                  <c:v>KENGIC</c:v>
                </c:pt>
                <c:pt idx="8">
                  <c:v>Jungheinrich</c:v>
                </c:pt>
                <c:pt idx="9">
                  <c:v>ManitouBF</c:v>
                </c:pt>
              </c:strCache>
            </c:strRef>
          </c:cat>
          <c:val>
            <c:numRef>
              <c:f>'Peer Analysis'!$P$112:$Y$112</c:f>
              <c:numCache>
                <c:formatCode>0.0\x</c:formatCode>
                <c:ptCount val="10"/>
                <c:pt idx="0">
                  <c:v>14.887343271687943</c:v>
                </c:pt>
                <c:pt idx="1">
                  <c:v>1.3399159873913291</c:v>
                </c:pt>
                <c:pt idx="2">
                  <c:v>-1.265609801602668</c:v>
                </c:pt>
                <c:pt idx="3">
                  <c:v>-0.43394968270870171</c:v>
                </c:pt>
                <c:pt idx="4">
                  <c:v>4.1183155440897545</c:v>
                </c:pt>
                <c:pt idx="5">
                  <c:v>2.5657268859223836</c:v>
                </c:pt>
                <c:pt idx="6">
                  <c:v>9.3887155645471871</c:v>
                </c:pt>
                <c:pt idx="7">
                  <c:v>-0.2604467365461271</c:v>
                </c:pt>
                <c:pt idx="8">
                  <c:v>3.3100501510133828E-2</c:v>
                </c:pt>
                <c:pt idx="9">
                  <c:v>1.0246914854715528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C5-4C6D-8C22-955C99C10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9849280"/>
        <c:axId val="749856000"/>
      </c:barChart>
      <c:lineChart>
        <c:grouping val="standard"/>
        <c:varyColors val="0"/>
        <c:ser>
          <c:idx val="2"/>
          <c:order val="2"/>
          <c:tx>
            <c:strRef>
              <c:f>'Peer Analysis'!$O$113</c:f>
              <c:strCache>
                <c:ptCount val="1"/>
                <c:pt idx="0">
                  <c:v>Debt to Equity Median</c:v>
                </c:pt>
              </c:strCache>
            </c:strRef>
          </c:tx>
          <c:spPr>
            <a:ln w="14605" cap="rnd">
              <a:solidFill>
                <a:schemeClr val="accent5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'Peer Analysis'!$P$9:$Y$9</c:f>
              <c:strCache>
                <c:ptCount val="10"/>
                <c:pt idx="0">
                  <c:v>Kion</c:v>
                </c:pt>
                <c:pt idx="1">
                  <c:v>Honeywell International</c:v>
                </c:pt>
                <c:pt idx="2">
                  <c:v>Daifuku</c:v>
                </c:pt>
                <c:pt idx="3">
                  <c:v>Hyster Yale</c:v>
                </c:pt>
                <c:pt idx="4">
                  <c:v>Mitsubishi Logisnext</c:v>
                </c:pt>
                <c:pt idx="5">
                  <c:v>Toyota Industries</c:v>
                </c:pt>
                <c:pt idx="6">
                  <c:v>Symbotic</c:v>
                </c:pt>
                <c:pt idx="7">
                  <c:v>KENGIC</c:v>
                </c:pt>
                <c:pt idx="8">
                  <c:v>Jungheinrich</c:v>
                </c:pt>
                <c:pt idx="9">
                  <c:v>ManitouBF</c:v>
                </c:pt>
              </c:strCache>
            </c:strRef>
          </c:cat>
          <c:val>
            <c:numRef>
              <c:f>'Peer Analysis'!$P$113:$Y$113</c:f>
              <c:numCache>
                <c:formatCode>0.0%</c:formatCode>
                <c:ptCount val="10"/>
                <c:pt idx="0" formatCode="0.0\x">
                  <c:v>0.50388531265859926</c:v>
                </c:pt>
                <c:pt idx="1">
                  <c:v>0.50388531265859926</c:v>
                </c:pt>
                <c:pt idx="2">
                  <c:v>0.50388531265859926</c:v>
                </c:pt>
                <c:pt idx="3">
                  <c:v>0.50388531265859926</c:v>
                </c:pt>
                <c:pt idx="4">
                  <c:v>0.50388531265859926</c:v>
                </c:pt>
                <c:pt idx="5">
                  <c:v>0.50388531265859926</c:v>
                </c:pt>
                <c:pt idx="6">
                  <c:v>0.50388531265859926</c:v>
                </c:pt>
                <c:pt idx="7">
                  <c:v>0.50388531265859926</c:v>
                </c:pt>
                <c:pt idx="8">
                  <c:v>0.50388531265859926</c:v>
                </c:pt>
                <c:pt idx="9">
                  <c:v>0.50388531265859926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C5-4C6D-8C22-955C99C10BB9}"/>
            </c:ext>
          </c:extLst>
        </c:ser>
        <c:ser>
          <c:idx val="3"/>
          <c:order val="3"/>
          <c:tx>
            <c:strRef>
              <c:f>'Peer Analysis'!$O$114</c:f>
              <c:strCache>
                <c:ptCount val="1"/>
                <c:pt idx="0">
                  <c:v>Net Leverage Ratio Median</c:v>
                </c:pt>
              </c:strCache>
            </c:strRef>
          </c:tx>
          <c:spPr>
            <a:ln w="1460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'Peer Analysis'!$P$9:$Y$9</c:f>
              <c:strCache>
                <c:ptCount val="10"/>
                <c:pt idx="0">
                  <c:v>Kion</c:v>
                </c:pt>
                <c:pt idx="1">
                  <c:v>Honeywell International</c:v>
                </c:pt>
                <c:pt idx="2">
                  <c:v>Daifuku</c:v>
                </c:pt>
                <c:pt idx="3">
                  <c:v>Hyster Yale</c:v>
                </c:pt>
                <c:pt idx="4">
                  <c:v>Mitsubishi Logisnext</c:v>
                </c:pt>
                <c:pt idx="5">
                  <c:v>Toyota Industries</c:v>
                </c:pt>
                <c:pt idx="6">
                  <c:v>Symbotic</c:v>
                </c:pt>
                <c:pt idx="7">
                  <c:v>KENGIC</c:v>
                </c:pt>
                <c:pt idx="8">
                  <c:v>Jungheinrich</c:v>
                </c:pt>
                <c:pt idx="9">
                  <c:v>ManitouBF</c:v>
                </c:pt>
              </c:strCache>
            </c:strRef>
          </c:cat>
          <c:val>
            <c:numRef>
              <c:f>'Peer Analysis'!$P$114:$Y$114</c:f>
              <c:numCache>
                <c:formatCode>0.0%</c:formatCode>
                <c:ptCount val="10"/>
                <c:pt idx="0" formatCode="0.0\x">
                  <c:v>1.2371117721133267</c:v>
                </c:pt>
                <c:pt idx="1">
                  <c:v>1.2371117721133267</c:v>
                </c:pt>
                <c:pt idx="2">
                  <c:v>1.2371117721133267</c:v>
                </c:pt>
                <c:pt idx="3">
                  <c:v>1.2371117721133267</c:v>
                </c:pt>
                <c:pt idx="4">
                  <c:v>1.2371117721133267</c:v>
                </c:pt>
                <c:pt idx="5">
                  <c:v>1.2371117721133267</c:v>
                </c:pt>
                <c:pt idx="6">
                  <c:v>1.2371117721133267</c:v>
                </c:pt>
                <c:pt idx="7">
                  <c:v>1.2371117721133267</c:v>
                </c:pt>
                <c:pt idx="8">
                  <c:v>1.2371117721133267</c:v>
                </c:pt>
                <c:pt idx="9">
                  <c:v>1.2371117721133267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C5-4C6D-8C22-955C99C10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849280"/>
        <c:axId val="749856000"/>
      </c:lineChart>
      <c:catAx>
        <c:axId val="74984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856000"/>
        <c:crosses val="autoZero"/>
        <c:auto val="1"/>
        <c:lblAlgn val="ctr"/>
        <c:lblOffset val="100"/>
        <c:noMultiLvlLbl val="0"/>
      </c:catAx>
      <c:valAx>
        <c:axId val="749856000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\x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84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'Peer Analysis'!$Q$251</c:f>
              <c:strCache>
                <c:ptCount val="1"/>
                <c:pt idx="0">
                  <c:v>Debt to Equity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'Peer Analysis'!$P$252:$P$255</c:f>
              <c:strCache>
                <c:ptCount val="4"/>
                <c:pt idx="0">
                  <c:v>Peer Group Median</c:v>
                </c:pt>
                <c:pt idx="1">
                  <c:v>Post Covid Peer Group Median</c:v>
                </c:pt>
                <c:pt idx="2">
                  <c:v>KION - FY24</c:v>
                </c:pt>
                <c:pt idx="3">
                  <c:v>KION - 5Y avg</c:v>
                </c:pt>
              </c:strCache>
            </c:strRef>
          </c:cat>
          <c:val>
            <c:numRef>
              <c:f>'Peer Analysis'!$Q$252:$Q$255</c:f>
              <c:numCache>
                <c:formatCode>0.0"x"</c:formatCode>
                <c:ptCount val="4"/>
                <c:pt idx="0">
                  <c:v>0.50916177295099296</c:v>
                </c:pt>
                <c:pt idx="1">
                  <c:v>0.45799522159323275</c:v>
                </c:pt>
                <c:pt idx="2">
                  <c:v>1.2392421581737045</c:v>
                </c:pt>
                <c:pt idx="3">
                  <c:v>1.286281353175097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F5-4DDE-B4BD-886A2096D63D}"/>
            </c:ext>
          </c:extLst>
        </c:ser>
        <c:ser>
          <c:idx val="1"/>
          <c:order val="1"/>
          <c:tx>
            <c:strRef>
              <c:f>'Peer Analysis'!$R$251</c:f>
              <c:strCache>
                <c:ptCount val="1"/>
                <c:pt idx="0">
                  <c:v>Net Leverage Ratio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'Peer Analysis'!$P$252:$P$255</c:f>
              <c:strCache>
                <c:ptCount val="4"/>
                <c:pt idx="0">
                  <c:v>Peer Group Median</c:v>
                </c:pt>
                <c:pt idx="1">
                  <c:v>Post Covid Peer Group Median</c:v>
                </c:pt>
                <c:pt idx="2">
                  <c:v>KION - FY24</c:v>
                </c:pt>
                <c:pt idx="3">
                  <c:v>KION - 5Y avg</c:v>
                </c:pt>
              </c:strCache>
            </c:strRef>
          </c:cat>
          <c:val>
            <c:numRef>
              <c:f>'Peer Analysis'!$R$252:$R$255</c:f>
              <c:numCache>
                <c:formatCode>0.0"x"</c:formatCode>
                <c:ptCount val="4"/>
                <c:pt idx="0">
                  <c:v>1.5276055222034715</c:v>
                </c:pt>
                <c:pt idx="1">
                  <c:v>1.9595238839061513</c:v>
                </c:pt>
                <c:pt idx="2">
                  <c:v>3.3630920245398785</c:v>
                </c:pt>
                <c:pt idx="3">
                  <c:v>3.2041781788928541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F5-4DDE-B4BD-886A2096D63D}"/>
            </c:ext>
          </c:extLst>
        </c:ser>
        <c:ser>
          <c:idx val="2"/>
          <c:order val="2"/>
          <c:tx>
            <c:strRef>
              <c:f>'Peer Analysis'!$S$251</c:f>
              <c:strCache>
                <c:ptCount val="1"/>
                <c:pt idx="0">
                  <c:v>Interest Coverage Ratio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'Peer Analysis'!$P$252:$P$255</c:f>
              <c:strCache>
                <c:ptCount val="4"/>
                <c:pt idx="0">
                  <c:v>Peer Group Median</c:v>
                </c:pt>
                <c:pt idx="1">
                  <c:v>Post Covid Peer Group Median</c:v>
                </c:pt>
                <c:pt idx="2">
                  <c:v>KION - FY24</c:v>
                </c:pt>
                <c:pt idx="3">
                  <c:v>KION - 5Y avg</c:v>
                </c:pt>
              </c:strCache>
            </c:strRef>
          </c:cat>
          <c:val>
            <c:numRef>
              <c:f>'Peer Analysis'!$S$252:$S$255</c:f>
              <c:numCache>
                <c:formatCode>0.0"x"</c:formatCode>
                <c:ptCount val="4"/>
                <c:pt idx="0">
                  <c:v>12.087298788971932</c:v>
                </c:pt>
                <c:pt idx="1">
                  <c:v>8.5603422244589833</c:v>
                </c:pt>
                <c:pt idx="2">
                  <c:v>5.3566473988439274</c:v>
                </c:pt>
                <c:pt idx="3">
                  <c:v>14.887343271687943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F5-4DDE-B4BD-886A2096D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053071"/>
        <c:axId val="163053551"/>
      </c:barChart>
      <c:catAx>
        <c:axId val="16305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53551"/>
        <c:crosses val="autoZero"/>
        <c:auto val="1"/>
        <c:lblAlgn val="ctr"/>
        <c:lblOffset val="100"/>
        <c:noMultiLvlLbl val="0"/>
      </c:catAx>
      <c:valAx>
        <c:axId val="163053551"/>
        <c:scaling>
          <c:orientation val="minMax"/>
        </c:scaling>
        <c:delete val="0"/>
        <c:axPos val="l"/>
        <c:numFmt formatCode="0.0&quot;x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5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Financials!$P$3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Financials!$Q$2:$V$2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Financials!$Q$3:$V$3</c:f>
              <c:numCache>
                <c:formatCode>_ * #,##0_ ;_ * \(#,##0\)_ ;_ * "-"??_ ;_ @</c:formatCode>
                <c:ptCount val="6"/>
                <c:pt idx="0">
                  <c:v>8806.5</c:v>
                </c:pt>
                <c:pt idx="1">
                  <c:v>8341.6</c:v>
                </c:pt>
                <c:pt idx="2">
                  <c:v>10294.299999999999</c:v>
                </c:pt>
                <c:pt idx="3">
                  <c:v>11135.6</c:v>
                </c:pt>
                <c:pt idx="4">
                  <c:v>11433.7</c:v>
                </c:pt>
                <c:pt idx="5">
                  <c:v>11503.2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C-4848-9C3C-2AA63903D2C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6312432"/>
        <c:axId val="796317232"/>
      </c:barChart>
      <c:lineChart>
        <c:grouping val="standard"/>
        <c:varyColors val="0"/>
        <c:ser>
          <c:idx val="1"/>
          <c:order val="1"/>
          <c:tx>
            <c:strRef>
              <c:f>Financials!$P$4</c:f>
              <c:strCache>
                <c:ptCount val="1"/>
                <c:pt idx="0">
                  <c:v>Growth</c:v>
                </c:pt>
              </c:strCache>
            </c:strRef>
          </c:tx>
          <c:spPr>
            <a:ln w="1460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4"/>
              </a:solidFill>
              <a:ln w="317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numRef>
              <c:f>Financials!$Q$2:$V$2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Financials!$Q$4:$V$4</c:f>
              <c:numCache>
                <c:formatCode>0.0%</c:formatCode>
                <c:ptCount val="6"/>
                <c:pt idx="0">
                  <c:v>0.10140450492139519</c:v>
                </c:pt>
                <c:pt idx="1">
                  <c:v>-5.2790552432862015E-2</c:v>
                </c:pt>
                <c:pt idx="2">
                  <c:v>0.23409178095329408</c:v>
                </c:pt>
                <c:pt idx="3">
                  <c:v>8.1724838017155133E-2</c:v>
                </c:pt>
                <c:pt idx="4">
                  <c:v>2.6769998922375082E-2</c:v>
                </c:pt>
                <c:pt idx="5">
                  <c:v>6.0785222631343228E-3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8C-4848-9C3C-2AA63903D2C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96311472"/>
        <c:axId val="796310992"/>
      </c:lineChart>
      <c:catAx>
        <c:axId val="79631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317232"/>
        <c:crosses val="autoZero"/>
        <c:auto val="1"/>
        <c:lblAlgn val="ctr"/>
        <c:lblOffset val="100"/>
        <c:noMultiLvlLbl val="0"/>
      </c:catAx>
      <c:valAx>
        <c:axId val="796317232"/>
        <c:scaling>
          <c:orientation val="minMax"/>
        </c:scaling>
        <c:delete val="0"/>
        <c:axPos val="l"/>
        <c:numFmt formatCode="_ * #,##0_ ;_ * \(#,##0\)_ ;_ * &quot;-&quot;??_ ;_ 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312432"/>
        <c:crosses val="autoZero"/>
        <c:crossBetween val="between"/>
      </c:valAx>
      <c:valAx>
        <c:axId val="79631099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311472"/>
        <c:crosses val="max"/>
        <c:crossBetween val="between"/>
      </c:valAx>
      <c:catAx>
        <c:axId val="7963114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963109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Financials!$P$26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Financials!$Q$2:$V$2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Financials!$Q$26:$V$26</c:f>
              <c:numCache>
                <c:formatCode>_ * #,##0_ ;_ * \(#,##0\)_ ;_ * "-"??_ ;_ @</c:formatCode>
                <c:ptCount val="6"/>
                <c:pt idx="0">
                  <c:v>1646.6999999999996</c:v>
                </c:pt>
                <c:pt idx="1">
                  <c:v>1413.8000000000002</c:v>
                </c:pt>
                <c:pt idx="2">
                  <c:v>1845.6999999999996</c:v>
                </c:pt>
                <c:pt idx="3">
                  <c:v>1306.0999999999999</c:v>
                </c:pt>
                <c:pt idx="4">
                  <c:v>1833</c:v>
                </c:pt>
                <c:pt idx="5">
                  <c:v>2037.4999999999993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B3-42ED-9952-3D0E4C8A21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6312432"/>
        <c:axId val="796317232"/>
      </c:barChart>
      <c:lineChart>
        <c:grouping val="standard"/>
        <c:varyColors val="0"/>
        <c:ser>
          <c:idx val="1"/>
          <c:order val="1"/>
          <c:tx>
            <c:strRef>
              <c:f>Financials!$P$27</c:f>
              <c:strCache>
                <c:ptCount val="1"/>
                <c:pt idx="0">
                  <c:v>EBITDA Margin</c:v>
                </c:pt>
              </c:strCache>
            </c:strRef>
          </c:tx>
          <c:spPr>
            <a:ln w="14605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cat>
            <c:numRef>
              <c:f>Financials!$Q$2:$V$2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Financials!$Q$27:$V$27</c:f>
              <c:numCache>
                <c:formatCode>0.0%</c:formatCode>
                <c:ptCount val="6"/>
                <c:pt idx="0">
                  <c:v>0.18698688468744673</c:v>
                </c:pt>
                <c:pt idx="1">
                  <c:v>0.16948786803490939</c:v>
                </c:pt>
                <c:pt idx="2">
                  <c:v>0.17929339537413905</c:v>
                </c:pt>
                <c:pt idx="3">
                  <c:v>0.11729049175616939</c:v>
                </c:pt>
                <c:pt idx="4">
                  <c:v>0.16031555839317105</c:v>
                </c:pt>
                <c:pt idx="5">
                  <c:v>0.17712462619097288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B3-42ED-9952-3D0E4C8A21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96311472"/>
        <c:axId val="796310992"/>
      </c:lineChart>
      <c:catAx>
        <c:axId val="79631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317232"/>
        <c:crosses val="autoZero"/>
        <c:auto val="1"/>
        <c:lblAlgn val="ctr"/>
        <c:lblOffset val="100"/>
        <c:noMultiLvlLbl val="0"/>
      </c:catAx>
      <c:valAx>
        <c:axId val="796317232"/>
        <c:scaling>
          <c:orientation val="minMax"/>
        </c:scaling>
        <c:delete val="0"/>
        <c:axPos val="l"/>
        <c:numFmt formatCode="_ * #,##0_ ;_ * \(#,##0\)_ ;_ * &quot;-&quot;??_ ;_ 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312432"/>
        <c:crosses val="autoZero"/>
        <c:crossBetween val="between"/>
      </c:valAx>
      <c:valAx>
        <c:axId val="796310992"/>
        <c:scaling>
          <c:orientation val="minMax"/>
          <c:max val="1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311472"/>
        <c:crosses val="max"/>
        <c:crossBetween val="between"/>
      </c:valAx>
      <c:catAx>
        <c:axId val="7963114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963109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Financials!$P$39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Financials!$Q$2:$V$2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Financials!$Q$39:$V$39</c:f>
              <c:numCache>
                <c:formatCode>_ * #,##0_ ;_ * \(#,##0\)_ ;_ * "-"??_ ;_ @</c:formatCode>
                <c:ptCount val="6"/>
                <c:pt idx="0">
                  <c:v>454.79999999999967</c:v>
                </c:pt>
                <c:pt idx="1">
                  <c:v>215.30000000000015</c:v>
                </c:pt>
                <c:pt idx="2">
                  <c:v>568.29999999999961</c:v>
                </c:pt>
                <c:pt idx="3">
                  <c:v>97.999999999999915</c:v>
                </c:pt>
                <c:pt idx="4">
                  <c:v>305.80000000000007</c:v>
                </c:pt>
                <c:pt idx="5">
                  <c:v>360.39999999999941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B3-42ED-9952-3D0E4C8A21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6312432"/>
        <c:axId val="796317232"/>
      </c:barChart>
      <c:lineChart>
        <c:grouping val="standard"/>
        <c:varyColors val="0"/>
        <c:ser>
          <c:idx val="1"/>
          <c:order val="1"/>
          <c:tx>
            <c:strRef>
              <c:f>Financials!$P$40</c:f>
              <c:strCache>
                <c:ptCount val="1"/>
                <c:pt idx="0">
                  <c:v>Net Income Margin</c:v>
                </c:pt>
              </c:strCache>
            </c:strRef>
          </c:tx>
          <c:spPr>
            <a:ln w="14605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cat>
            <c:numRef>
              <c:f>Financials!$Q$2:$V$2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Financials!$Q$40:$V$40</c:f>
              <c:numCache>
                <c:formatCode>0.0%</c:formatCode>
                <c:ptCount val="6"/>
                <c:pt idx="0">
                  <c:v>5.1643672287514868E-2</c:v>
                </c:pt>
                <c:pt idx="1">
                  <c:v>2.5810396087081633E-2</c:v>
                </c:pt>
                <c:pt idx="2">
                  <c:v>5.5205307791690514E-2</c:v>
                </c:pt>
                <c:pt idx="3">
                  <c:v>8.8006034699522166E-3</c:v>
                </c:pt>
                <c:pt idx="4">
                  <c:v>2.6745497957791447E-2</c:v>
                </c:pt>
                <c:pt idx="5">
                  <c:v>3.1330412406982353E-2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B3-42ED-9952-3D0E4C8A21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96311472"/>
        <c:axId val="796310992"/>
      </c:lineChart>
      <c:catAx>
        <c:axId val="79631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317232"/>
        <c:crosses val="autoZero"/>
        <c:auto val="1"/>
        <c:lblAlgn val="ctr"/>
        <c:lblOffset val="100"/>
        <c:noMultiLvlLbl val="0"/>
      </c:catAx>
      <c:valAx>
        <c:axId val="796317232"/>
        <c:scaling>
          <c:orientation val="minMax"/>
        </c:scaling>
        <c:delete val="0"/>
        <c:axPos val="l"/>
        <c:numFmt formatCode="_ * #,##0_ ;_ * \(#,##0\)_ ;_ * &quot;-&quot;??_ ;_ 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312432"/>
        <c:crosses val="autoZero"/>
        <c:crossBetween val="between"/>
      </c:valAx>
      <c:valAx>
        <c:axId val="796310992"/>
        <c:scaling>
          <c:orientation val="minMax"/>
          <c:max val="0.2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311472"/>
        <c:crosses val="max"/>
        <c:crossBetween val="between"/>
      </c:valAx>
      <c:catAx>
        <c:axId val="7963114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963109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Financials!$P$93</c:f>
              <c:strCache>
                <c:ptCount val="1"/>
                <c:pt idx="0">
                  <c:v>Net Debt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Financials!$Q$92:$V$92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Financials!$Q$93:$V$93</c:f>
              <c:numCache>
                <c:formatCode>_(* #,##0_);_(* \(#,##0\);_(* "-"??_);_(@_)</c:formatCode>
                <c:ptCount val="6"/>
                <c:pt idx="0">
                  <c:v>5168.3999999999996</c:v>
                </c:pt>
                <c:pt idx="1">
                  <c:v>4606.5999999999995</c:v>
                </c:pt>
                <c:pt idx="2">
                  <c:v>4636.3999999999996</c:v>
                </c:pt>
                <c:pt idx="3">
                  <c:v>5976.3000000000011</c:v>
                </c:pt>
                <c:pt idx="4">
                  <c:v>6279.7999999999993</c:v>
                </c:pt>
                <c:pt idx="5">
                  <c:v>6852.3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73-401A-B119-CCBE23712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6612544"/>
        <c:axId val="776609664"/>
      </c:barChart>
      <c:lineChart>
        <c:grouping val="standard"/>
        <c:varyColors val="0"/>
        <c:ser>
          <c:idx val="1"/>
          <c:order val="1"/>
          <c:tx>
            <c:strRef>
              <c:f>Financials!$P$94</c:f>
              <c:strCache>
                <c:ptCount val="1"/>
                <c:pt idx="0">
                  <c:v>Debt to Equity</c:v>
                </c:pt>
              </c:strCache>
            </c:strRef>
          </c:tx>
          <c:spPr>
            <a:ln w="1460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cat>
            <c:numRef>
              <c:f>Financials!$Q$92:$V$92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Financials!$Q$94:$V$94</c:f>
              <c:numCache>
                <c:formatCode>0.0"x"</c:formatCode>
                <c:ptCount val="6"/>
                <c:pt idx="0">
                  <c:v>1.5224258093525178</c:v>
                </c:pt>
                <c:pt idx="1">
                  <c:v>1.1628734663294935</c:v>
                </c:pt>
                <c:pt idx="2">
                  <c:v>0.9971173750701311</c:v>
                </c:pt>
                <c:pt idx="3">
                  <c:v>1.1291772174471273</c:v>
                </c:pt>
                <c:pt idx="4">
                  <c:v>1.1492542484452681</c:v>
                </c:pt>
                <c:pt idx="5">
                  <c:v>1.2392421581737045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73-401A-B119-CCBE237120EF}"/>
            </c:ext>
          </c:extLst>
        </c:ser>
        <c:ser>
          <c:idx val="2"/>
          <c:order val="2"/>
          <c:tx>
            <c:strRef>
              <c:f>Financials!$P$95</c:f>
              <c:strCache>
                <c:ptCount val="1"/>
                <c:pt idx="0">
                  <c:v>Net Lev. Ratio</c:v>
                </c:pt>
              </c:strCache>
            </c:strRef>
          </c:tx>
          <c:spPr>
            <a:ln w="1460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cat>
            <c:numRef>
              <c:f>Financials!$Q$92:$V$92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Financials!$Q$95:$V$95</c:f>
              <c:numCache>
                <c:formatCode>0.0"x"</c:formatCode>
                <c:ptCount val="6"/>
                <c:pt idx="0">
                  <c:v>3.138640918200037</c:v>
                </c:pt>
                <c:pt idx="1">
                  <c:v>3.2583109350686086</c:v>
                </c:pt>
                <c:pt idx="2">
                  <c:v>2.5120008668797751</c:v>
                </c:pt>
                <c:pt idx="3">
                  <c:v>4.5756833320572712</c:v>
                </c:pt>
                <c:pt idx="4">
                  <c:v>3.4259683578832512</c:v>
                </c:pt>
                <c:pt idx="5">
                  <c:v>3.3630920245398785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73-401A-B119-CCBE237120EF}"/>
            </c:ext>
          </c:extLst>
        </c:ser>
        <c:ser>
          <c:idx val="3"/>
          <c:order val="3"/>
          <c:tx>
            <c:strRef>
              <c:f>Financials!$P$96</c:f>
              <c:strCache>
                <c:ptCount val="1"/>
                <c:pt idx="0">
                  <c:v>Int. Cov. Ratio</c:v>
                </c:pt>
              </c:strCache>
            </c:strRef>
          </c:tx>
          <c:spPr>
            <a:ln w="14605" cap="rnd">
              <a:solidFill>
                <a:schemeClr val="accent6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cat>
            <c:numRef>
              <c:f>Financials!$Q$92:$V$92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Financials!$Q$96:$V$96</c:f>
              <c:numCache>
                <c:formatCode>0.0"x"</c:formatCode>
                <c:ptCount val="6"/>
                <c:pt idx="0">
                  <c:v>14.046468401486981</c:v>
                </c:pt>
                <c:pt idx="1">
                  <c:v>12.19852941176471</c:v>
                </c:pt>
                <c:pt idx="2">
                  <c:v>57.757961783439477</c:v>
                </c:pt>
                <c:pt idx="3">
                  <c:v>8.5865102639296165</c:v>
                </c:pt>
                <c:pt idx="4">
                  <c:v>5.6664265129682994</c:v>
                </c:pt>
                <c:pt idx="5">
                  <c:v>5.3566473988439274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173-401A-B119-CCBE23712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6615424"/>
        <c:axId val="776611104"/>
      </c:lineChart>
      <c:catAx>
        <c:axId val="77661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09664"/>
        <c:crosses val="autoZero"/>
        <c:auto val="1"/>
        <c:lblAlgn val="ctr"/>
        <c:lblOffset val="100"/>
        <c:noMultiLvlLbl val="0"/>
      </c:catAx>
      <c:valAx>
        <c:axId val="7766096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12544"/>
        <c:crosses val="autoZero"/>
        <c:crossBetween val="between"/>
      </c:valAx>
      <c:valAx>
        <c:axId val="776611104"/>
        <c:scaling>
          <c:orientation val="minMax"/>
          <c:max val="20"/>
        </c:scaling>
        <c:delete val="0"/>
        <c:axPos val="r"/>
        <c:numFmt formatCode="0.0&quot;x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15424"/>
        <c:crosses val="max"/>
        <c:crossBetween val="between"/>
      </c:valAx>
      <c:catAx>
        <c:axId val="7766154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766111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tint val="4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CE-40D2-BB76-F3C8EF49B677}"/>
              </c:ext>
            </c:extLst>
          </c:dPt>
          <c:dPt>
            <c:idx val="1"/>
            <c:bubble3D val="0"/>
            <c:spPr>
              <a:solidFill>
                <a:schemeClr val="accent1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ACE-40D2-BB76-F3C8EF49B677}"/>
              </c:ext>
            </c:extLst>
          </c:dPt>
          <c:dPt>
            <c:idx val="2"/>
            <c:bubble3D val="0"/>
            <c:spPr>
              <a:solidFill>
                <a:schemeClr val="accent1">
                  <a:tint val="7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ACE-40D2-BB76-F3C8EF49B677}"/>
              </c:ext>
            </c:extLst>
          </c:dPt>
          <c:dPt>
            <c:idx val="3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ACE-40D2-BB76-F3C8EF49B677}"/>
              </c:ext>
            </c:extLst>
          </c:dPt>
          <c:dPt>
            <c:idx val="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ACE-40D2-BB76-F3C8EF49B677}"/>
              </c:ext>
            </c:extLst>
          </c:dPt>
          <c:dPt>
            <c:idx val="5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6ACE-40D2-BB76-F3C8EF49B677}"/>
              </c:ext>
            </c:extLst>
          </c:dPt>
          <c:dPt>
            <c:idx val="6"/>
            <c:bubble3D val="0"/>
            <c:spPr>
              <a:solidFill>
                <a:schemeClr val="accent1">
                  <a:shade val="7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ACE-40D2-BB76-F3C8EF49B677}"/>
              </c:ext>
            </c:extLst>
          </c:dPt>
          <c:dPt>
            <c:idx val="7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6ACE-40D2-BB76-F3C8EF49B677}"/>
              </c:ext>
            </c:extLst>
          </c:dPt>
          <c:dPt>
            <c:idx val="8"/>
            <c:bubble3D val="0"/>
            <c:spPr>
              <a:solidFill>
                <a:schemeClr val="accent1">
                  <a:shade val="4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ACE-40D2-BB76-F3C8EF49B677}"/>
              </c:ext>
            </c:extLst>
          </c:dPt>
          <c:dLbls>
            <c:dLbl>
              <c:idx val="0"/>
              <c:layout>
                <c:manualLayout>
                  <c:x val="5.1127960301353026E-2"/>
                  <c:y val="-0.2324561087257844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CE-40D2-BB76-F3C8EF49B677}"/>
                </c:ext>
              </c:extLst>
            </c:dLbl>
            <c:dLbl>
              <c:idx val="1"/>
              <c:layout>
                <c:manualLayout>
                  <c:x val="0.19172985113007374"/>
                  <c:y val="4.22647470410517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ACE-40D2-BB76-F3C8EF49B677}"/>
                </c:ext>
              </c:extLst>
            </c:dLbl>
            <c:dLbl>
              <c:idx val="2"/>
              <c:layout>
                <c:manualLayout>
                  <c:x val="0.26203079654443429"/>
                  <c:y val="7.748536957526147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ACE-40D2-BB76-F3C8EF49B677}"/>
                </c:ext>
              </c:extLst>
            </c:dLbl>
            <c:dLbl>
              <c:idx val="3"/>
              <c:layout>
                <c:manualLayout>
                  <c:x val="0.26203079654443429"/>
                  <c:y val="0.1479266146436810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ACE-40D2-BB76-F3C8EF49B677}"/>
                </c:ext>
              </c:extLst>
            </c:dLbl>
            <c:dLbl>
              <c:idx val="4"/>
              <c:layout>
                <c:manualLayout>
                  <c:x val="-7.030094541436048E-2"/>
                  <c:y val="0.1408824901368389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ACE-40D2-BB76-F3C8EF49B677}"/>
                </c:ext>
              </c:extLst>
            </c:dLbl>
            <c:dLbl>
              <c:idx val="5"/>
              <c:layout>
                <c:manualLayout>
                  <c:x val="-0.41541467744849342"/>
                  <c:y val="0.1408824901368389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ACE-40D2-BB76-F3C8EF49B677}"/>
                </c:ext>
              </c:extLst>
            </c:dLbl>
            <c:dLbl>
              <c:idx val="6"/>
              <c:layout>
                <c:manualLayout>
                  <c:x val="-0.38985069729781685"/>
                  <c:y val="4.93088715478935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ACE-40D2-BB76-F3C8EF49B677}"/>
                </c:ext>
              </c:extLst>
            </c:dLbl>
            <c:dLbl>
              <c:idx val="7"/>
              <c:layout>
                <c:manualLayout>
                  <c:x val="-0.40902368241082421"/>
                  <c:y val="-6.339712056157757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ACE-40D2-BB76-F3C8EF49B677}"/>
                </c:ext>
              </c:extLst>
            </c:dLbl>
            <c:dLbl>
              <c:idx val="8"/>
              <c:layout>
                <c:manualLayout>
                  <c:x val="-6.3909950376691282E-2"/>
                  <c:y val="-0.3240297273147298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ACE-40D2-BB76-F3C8EF49B6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sz="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Financials!$P$15:$P$23</c:f>
              <c:strCache>
                <c:ptCount val="9"/>
                <c:pt idx="0">
                  <c:v>GOGS %</c:v>
                </c:pt>
                <c:pt idx="1">
                  <c:v>OpEx %</c:v>
                </c:pt>
                <c:pt idx="2">
                  <c:v>Dep. %</c:v>
                </c:pt>
                <c:pt idx="3">
                  <c:v>Amort. %</c:v>
                </c:pt>
                <c:pt idx="4">
                  <c:v>Int. Exp. %</c:v>
                </c:pt>
                <c:pt idx="5">
                  <c:v>Tax %</c:v>
                </c:pt>
                <c:pt idx="6">
                  <c:v>Ex. Item %</c:v>
                </c:pt>
                <c:pt idx="7">
                  <c:v>NI %</c:v>
                </c:pt>
                <c:pt idx="8">
                  <c:v>Revenue</c:v>
                </c:pt>
              </c:strCache>
            </c:strRef>
          </c:cat>
          <c:val>
            <c:numRef>
              <c:f>Financials!$Q$15:$Q$23</c:f>
              <c:numCache>
                <c:formatCode>0.0%</c:formatCode>
                <c:ptCount val="9"/>
                <c:pt idx="0">
                  <c:v>0.74117636831490374</c:v>
                </c:pt>
                <c:pt idx="1">
                  <c:v>8.1699005494123358E-2</c:v>
                </c:pt>
                <c:pt idx="2">
                  <c:v>7.976041449335837E-2</c:v>
                </c:pt>
                <c:pt idx="3">
                  <c:v>1.68040197510258E-2</c:v>
                </c:pt>
                <c:pt idx="4">
                  <c:v>1.5039293414006536E-2</c:v>
                </c:pt>
                <c:pt idx="5">
                  <c:v>1.9168579177967868E-2</c:v>
                </c:pt>
                <c:pt idx="6">
                  <c:v>1.5021906947631961E-2</c:v>
                </c:pt>
                <c:pt idx="7">
                  <c:v>3.1330412406982353E-2</c:v>
                </c:pt>
                <c:pt idx="8">
                  <c:v>0.99999999999999989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CE-40D2-BB76-F3C8EF49B6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5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Financials!$P$88</c:f>
              <c:strCache>
                <c:ptCount val="1"/>
                <c:pt idx="0">
                  <c:v>Current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Financials!$Q$87:$V$87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Financials!$Q$88:$V$88</c:f>
              <c:numCache>
                <c:formatCode>0.0"x"</c:formatCode>
                <c:ptCount val="6"/>
                <c:pt idx="0">
                  <c:v>0.78106388393993387</c:v>
                </c:pt>
                <c:pt idx="1">
                  <c:v>0.88767252442186306</c:v>
                </c:pt>
                <c:pt idx="2">
                  <c:v>0.92020057587213289</c:v>
                </c:pt>
                <c:pt idx="3">
                  <c:v>1.0483411545318553</c:v>
                </c:pt>
                <c:pt idx="4">
                  <c:v>1.0503740347490349</c:v>
                </c:pt>
                <c:pt idx="5">
                  <c:v>1.0106711190156437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DF-418A-B8CA-CD4A6D9C66C0}"/>
            </c:ext>
          </c:extLst>
        </c:ser>
        <c:ser>
          <c:idx val="1"/>
          <c:order val="1"/>
          <c:tx>
            <c:strRef>
              <c:f>Financials!$P$89</c:f>
              <c:strCache>
                <c:ptCount val="1"/>
                <c:pt idx="0">
                  <c:v>Quick Ratio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Financials!$Q$87:$V$87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Financials!$Q$89:$V$89</c:f>
              <c:numCache>
                <c:formatCode>0.0"x"</c:formatCode>
                <c:ptCount val="6"/>
                <c:pt idx="0">
                  <c:v>0.50483583609060834</c:v>
                </c:pt>
                <c:pt idx="1">
                  <c:v>0.59932430662860436</c:v>
                </c:pt>
                <c:pt idx="2">
                  <c:v>0.60051319217284005</c:v>
                </c:pt>
                <c:pt idx="3">
                  <c:v>0.67853849464128368</c:v>
                </c:pt>
                <c:pt idx="4">
                  <c:v>0.68496621621621634</c:v>
                </c:pt>
                <c:pt idx="5">
                  <c:v>0.69333236543138177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DF-418A-B8CA-CD4A6D9C66C0}"/>
            </c:ext>
          </c:extLst>
        </c:ser>
        <c:ser>
          <c:idx val="2"/>
          <c:order val="2"/>
          <c:tx>
            <c:strRef>
              <c:f>Financials!$P$90</c:f>
              <c:strCache>
                <c:ptCount val="1"/>
                <c:pt idx="0">
                  <c:v>Cash Ratio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Financials!$Q$87:$V$87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Financials!$Q$90:$V$90</c:f>
              <c:numCache>
                <c:formatCode>0.0"x"</c:formatCode>
                <c:ptCount val="6"/>
                <c:pt idx="0">
                  <c:v>6.3374904555866626E-2</c:v>
                </c:pt>
                <c:pt idx="1">
                  <c:v>9.4230416677579032E-2</c:v>
                </c:pt>
                <c:pt idx="2">
                  <c:v>0.10138483536716747</c:v>
                </c:pt>
                <c:pt idx="3">
                  <c:v>7.2931822373409297E-2</c:v>
                </c:pt>
                <c:pt idx="4">
                  <c:v>7.1287805662805667E-2</c:v>
                </c:pt>
                <c:pt idx="5">
                  <c:v>0.1524082610431563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DF-418A-B8CA-CD4A6D9C6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15453024"/>
        <c:axId val="915446304"/>
      </c:barChart>
      <c:catAx>
        <c:axId val="91545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446304"/>
        <c:crosses val="autoZero"/>
        <c:auto val="1"/>
        <c:lblAlgn val="ctr"/>
        <c:lblOffset val="100"/>
        <c:noMultiLvlLbl val="0"/>
      </c:catAx>
      <c:valAx>
        <c:axId val="915446304"/>
        <c:scaling>
          <c:orientation val="minMax"/>
        </c:scaling>
        <c:delete val="0"/>
        <c:axPos val="l"/>
        <c:numFmt formatCode="0.0&quot;x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45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23</xdr:row>
      <xdr:rowOff>25400</xdr:rowOff>
    </xdr:from>
    <xdr:to>
      <xdr:col>8</xdr:col>
      <xdr:colOff>177800</xdr:colOff>
      <xdr:row>23</xdr:row>
      <xdr:rowOff>25400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2A4515D-CEBC-4D96-B5CC-5FCC78963DB5}"/>
            </a:ext>
          </a:extLst>
        </xdr:cNvPr>
        <xdr:cNvCxnSpPr/>
      </xdr:nvCxnSpPr>
      <xdr:spPr>
        <a:xfrm>
          <a:off x="190500" y="4902200"/>
          <a:ext cx="5683250" cy="0"/>
        </a:xfrm>
        <a:prstGeom prst="line">
          <a:avLst/>
        </a:prstGeom>
        <a:ln>
          <a:solidFill>
            <a:schemeClr val="accent5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54429</xdr:colOff>
      <xdr:row>77</xdr:row>
      <xdr:rowOff>20606</xdr:rowOff>
    </xdr:from>
    <xdr:to>
      <xdr:col>13</xdr:col>
      <xdr:colOff>83988</xdr:colOff>
      <xdr:row>78</xdr:row>
      <xdr:rowOff>50433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AD00EC-55A7-F703-CCB6-02C51B478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44043" y="11461492"/>
          <a:ext cx="5254702" cy="187668"/>
        </a:xfrm>
        <a:prstGeom prst="rect">
          <a:avLst/>
        </a:prstGeom>
      </xdr:spPr>
    </xdr:pic>
    <xdr:clientData/>
  </xdr:twoCellAnchor>
  <xdr:twoCellAnchor>
    <xdr:from>
      <xdr:col>23</xdr:col>
      <xdr:colOff>108856</xdr:colOff>
      <xdr:row>26</xdr:row>
      <xdr:rowOff>46264</xdr:rowOff>
    </xdr:from>
    <xdr:to>
      <xdr:col>26</xdr:col>
      <xdr:colOff>142819</xdr:colOff>
      <xdr:row>34</xdr:row>
      <xdr:rowOff>138793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3762F1-34A9-0384-2499-35119F190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115260</xdr:colOff>
      <xdr:row>78</xdr:row>
      <xdr:rowOff>139592</xdr:rowOff>
    </xdr:from>
    <xdr:to>
      <xdr:col>25</xdr:col>
      <xdr:colOff>149223</xdr:colOff>
      <xdr:row>90</xdr:row>
      <xdr:rowOff>34577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9B203B-1316-2AD6-59CC-B0366D4BA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473849</xdr:colOff>
      <xdr:row>94</xdr:row>
      <xdr:rowOff>69156</xdr:rowOff>
    </xdr:from>
    <xdr:to>
      <xdr:col>23</xdr:col>
      <xdr:colOff>507812</xdr:colOff>
      <xdr:row>105</xdr:row>
      <xdr:rowOff>137031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B9EF338-DED3-2DA4-C62E-F5F7BBDCC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166485</xdr:colOff>
      <xdr:row>9</xdr:row>
      <xdr:rowOff>120384</xdr:rowOff>
    </xdr:from>
    <xdr:to>
      <xdr:col>41</xdr:col>
      <xdr:colOff>339377</xdr:colOff>
      <xdr:row>20</xdr:row>
      <xdr:rowOff>83243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3F64676-E2A6-9329-FFFB-4E720724FD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26056</xdr:colOff>
      <xdr:row>7</xdr:row>
      <xdr:rowOff>107352</xdr:rowOff>
    </xdr:from>
    <xdr:to>
      <xdr:col>28</xdr:col>
      <xdr:colOff>60020</xdr:colOff>
      <xdr:row>26</xdr:row>
      <xdr:rowOff>38373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58B597-A2C5-381B-0B62-1FBE6AE8E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51227</xdr:colOff>
      <xdr:row>28</xdr:row>
      <xdr:rowOff>76839</xdr:rowOff>
    </xdr:from>
    <xdr:to>
      <xdr:col>28</xdr:col>
      <xdr:colOff>85191</xdr:colOff>
      <xdr:row>47</xdr:row>
      <xdr:rowOff>103909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E8BD5-79D4-4EBD-91E6-0AD6BA13B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258653</xdr:colOff>
      <xdr:row>183</xdr:row>
      <xdr:rowOff>133232</xdr:rowOff>
    </xdr:from>
    <xdr:to>
      <xdr:col>24</xdr:col>
      <xdr:colOff>292616</xdr:colOff>
      <xdr:row>194</xdr:row>
      <xdr:rowOff>145964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AAF82A76-999F-A381-923F-51098BE7E3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390605</xdr:colOff>
      <xdr:row>105</xdr:row>
      <xdr:rowOff>19209</xdr:rowOff>
    </xdr:from>
    <xdr:to>
      <xdr:col>28</xdr:col>
      <xdr:colOff>424569</xdr:colOff>
      <xdr:row>123</xdr:row>
      <xdr:rowOff>113591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8C72E64-7877-456E-9513-1DFCC42100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236764</xdr:colOff>
      <xdr:row>247</xdr:row>
      <xdr:rowOff>95250</xdr:rowOff>
    </xdr:from>
    <xdr:to>
      <xdr:col>22</xdr:col>
      <xdr:colOff>270727</xdr:colOff>
      <xdr:row>260</xdr:row>
      <xdr:rowOff>146413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5922E82-E2C0-EEAB-3EA8-C629CD47C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78920</xdr:colOff>
      <xdr:row>5</xdr:row>
      <xdr:rowOff>35379</xdr:rowOff>
    </xdr:from>
    <xdr:to>
      <xdr:col>18</xdr:col>
      <xdr:colOff>85452</xdr:colOff>
      <xdr:row>13</xdr:row>
      <xdr:rowOff>144236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F51F6D-C9B1-3AED-2241-44518EC6A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529167</xdr:colOff>
      <xdr:row>28</xdr:row>
      <xdr:rowOff>28863</xdr:rowOff>
    </xdr:from>
    <xdr:to>
      <xdr:col>17</xdr:col>
      <xdr:colOff>563131</xdr:colOff>
      <xdr:row>36</xdr:row>
      <xdr:rowOff>70372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2B97A9-7560-4A36-8571-063634024B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21771</xdr:colOff>
      <xdr:row>40</xdr:row>
      <xdr:rowOff>97971</xdr:rowOff>
    </xdr:from>
    <xdr:to>
      <xdr:col>18</xdr:col>
      <xdr:colOff>55735</xdr:colOff>
      <xdr:row>49</xdr:row>
      <xdr:rowOff>48985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E4E853-5249-4A7A-AFDE-CC566FB6D4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156608</xdr:colOff>
      <xdr:row>75</xdr:row>
      <xdr:rowOff>153746</xdr:rowOff>
    </xdr:from>
    <xdr:to>
      <xdr:col>22</xdr:col>
      <xdr:colOff>190571</xdr:colOff>
      <xdr:row>84</xdr:row>
      <xdr:rowOff>31696</xdr:rowOff>
    </xdr:to>
    <xdr:graphicFrame macro="">
      <xdr:nvGraphicFramePr>
        <xdr:cNvPr id="18" name="Chart 4">
          <a:extLst>
            <a:ext uri="{FF2B5EF4-FFF2-40B4-BE49-F238E27FC236}">
              <a16:creationId xmlns:a16="http://schemas.microsoft.com/office/drawing/2014/main" id="{DF4B0002-DD17-B5F3-FE59-1DD80A4DD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607869</xdr:colOff>
      <xdr:row>12</xdr:row>
      <xdr:rowOff>62417</xdr:rowOff>
    </xdr:from>
    <xdr:to>
      <xdr:col>20</xdr:col>
      <xdr:colOff>632227</xdr:colOff>
      <xdr:row>23</xdr:row>
      <xdr:rowOff>63273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0932F24-848F-F321-1F6D-CA168D99F2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410687</xdr:colOff>
      <xdr:row>75</xdr:row>
      <xdr:rowOff>121064</xdr:rowOff>
    </xdr:from>
    <xdr:to>
      <xdr:col>17</xdr:col>
      <xdr:colOff>441352</xdr:colOff>
      <xdr:row>83</xdr:row>
      <xdr:rowOff>151192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B0FF190-5C01-0FA0-7EF2-6B1456598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eodor Hogan" id="{15D5F152-9F54-47E6-9C66-DA2E1723DBBD}" userId="S::theodor.hogan@student.uva.nl::28bf09e7-457b-471f-b83d-2c9dd3b49fc2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Valuation Theme">
  <a:themeElements>
    <a:clrScheme name="AMSA">
      <a:dk1>
        <a:srgbClr val="000000"/>
      </a:dk1>
      <a:lt1>
        <a:srgbClr val="FFFFFF"/>
      </a:lt1>
      <a:dk2>
        <a:srgbClr val="001C5B"/>
      </a:dk2>
      <a:lt2>
        <a:srgbClr val="D9D9D9"/>
      </a:lt2>
      <a:accent1>
        <a:srgbClr val="003C7F"/>
      </a:accent1>
      <a:accent2>
        <a:srgbClr val="FFFF1D"/>
      </a:accent2>
      <a:accent3>
        <a:srgbClr val="0070C0"/>
      </a:accent3>
      <a:accent4>
        <a:srgbClr val="00B050"/>
      </a:accent4>
      <a:accent5>
        <a:srgbClr val="FF0000"/>
      </a:accent5>
      <a:accent6>
        <a:srgbClr val="7030A0"/>
      </a:accent6>
      <a:hlink>
        <a:srgbClr val="1991FF"/>
      </a:hlink>
      <a:folHlink>
        <a:srgbClr val="96607D"/>
      </a:folHlink>
    </a:clrScheme>
    <a:fontScheme name="Model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5" dT="2025-11-20T22:44:41.98" personId="{15D5F152-9F54-47E6-9C66-DA2E1723DBBD}" id="{1B891378-6C3D-4832-865E-861E249648AD}">
    <text>FCF is LTM based, makes most sense if we want to incorporate FCF yield (income statement mixed with balancesheet ratio)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15" dT="2025-11-20T22:44:41.98" personId="{15D5F152-9F54-47E6-9C66-DA2E1723DBBD}" id="{0233FB2A-8730-4387-92E2-45840F11183C}">
    <text>FCF is LTM based, makes most sense if we want to incorporate FCF yield (income statement mixed with balancesheet ratio)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15" dT="2025-11-20T22:44:41.98" personId="{15D5F152-9F54-47E6-9C66-DA2E1723DBBD}" id="{F12B9214-6E51-47E4-B122-8556EAF53A52}">
    <text>FCF is LTM based, makes most sense if we want to incorporate FCF yield (income statement mixed with balancesheet ratio)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L15" dT="2025-11-20T22:44:41.98" personId="{15D5F152-9F54-47E6-9C66-DA2E1723DBBD}" id="{5D0BEC3B-479D-41D1-9EE5-9AE107FCC06D}">
    <text>FCF is LTM based, makes most sense if we want to incorporate FCF yield (income statement mixed with balancesheet ratio)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L15" dT="2025-11-20T22:44:41.98" personId="{15D5F152-9F54-47E6-9C66-DA2E1723DBBD}" id="{C212F664-ADBF-478B-8248-06A78A94A82B}">
    <text>FCF is LTM based, makes most sense if we want to incorporate FCF yield (income statement mixed with balancesheet ratio)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L15" dT="2025-11-20T22:44:41.98" personId="{15D5F152-9F54-47E6-9C66-DA2E1723DBBD}" id="{0923470D-0D29-4970-B203-C98861F19BD9}">
    <text>FCF is LTM based, makes most sense if we want to incorporate FCF yield (income statement mixed with balancesheet ratio)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L15" dT="2025-11-20T22:44:41.98" personId="{15D5F152-9F54-47E6-9C66-DA2E1723DBBD}" id="{D4585356-B3AA-43D6-9C9A-B6B5FC73208A}">
    <text>FCF is LTM based, makes most sense if we want to incorporate FCF yield (income statement mixed with balancesheet ratio)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L15" dT="2025-11-20T22:44:41.98" personId="{15D5F152-9F54-47E6-9C66-DA2E1723DBBD}" id="{34093531-F299-473E-80E7-DD71A674E336}">
    <text>FCF is LTM based, makes most sense if we want to incorporate FCF yield (income statement mixed with balancesheet ratio)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L15" dT="2025-11-20T22:44:41.98" personId="{15D5F152-9F54-47E6-9C66-DA2E1723DBBD}" id="{386E9180-8FE2-45C5-A604-416FB91A4449}">
    <text>FCF is LTM based, makes most sense if we want to incorporate FCF yield (income statement mixed with balancesheet ratio)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45504C-9015-496A-9E3F-530A7DCF25D9}">
  <we:reference id="f1abd87f-a3ba-42fb-91d5-100000000000" version="1.0.0.7" store="EXCatalog" storeType="EXCatalog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A60FB-A419-4C58-A90E-0D55E41DDCC5}">
  <dimension ref="A1:B1"/>
  <sheetViews>
    <sheetView workbookViewId="0"/>
  </sheetViews>
  <sheetFormatPr defaultColWidth="8.53515625" defaultRowHeight="12.45" x14ac:dyDescent="0.3"/>
  <sheetData>
    <row r="1" spans="1:2" x14ac:dyDescent="0.3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6095D-F1C7-4649-85EE-8652CD9F8C5F}">
  <dimension ref="A1:O28"/>
  <sheetViews>
    <sheetView showGridLines="0" workbookViewId="0">
      <selection activeCell="F15" sqref="F15"/>
    </sheetView>
  </sheetViews>
  <sheetFormatPr defaultColWidth="9.3828125" defaultRowHeight="12.45" x14ac:dyDescent="0.3"/>
  <cols>
    <col min="1" max="1" width="2.3828125" style="5" customWidth="1"/>
    <col min="2" max="2" width="17.53515625" style="5" bestFit="1" customWidth="1"/>
    <col min="3" max="3" width="10.3828125" style="5" bestFit="1" customWidth="1"/>
    <col min="4" max="4" width="9.3828125" style="5"/>
    <col min="5" max="5" width="11" style="5" bestFit="1" customWidth="1"/>
    <col min="6" max="16384" width="9.3828125" style="5"/>
  </cols>
  <sheetData>
    <row r="1" spans="1:15" x14ac:dyDescent="0.3">
      <c r="B1" s="5" t="s">
        <v>1</v>
      </c>
    </row>
    <row r="2" spans="1:15" x14ac:dyDescent="0.3">
      <c r="A2" s="5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6" customHeight="1" x14ac:dyDescent="0.3"/>
    <row r="4" spans="1:15" x14ac:dyDescent="0.3">
      <c r="B4" s="5" t="s">
        <v>3</v>
      </c>
      <c r="E4" s="6" t="s">
        <v>4</v>
      </c>
    </row>
    <row r="5" spans="1:15" x14ac:dyDescent="0.3">
      <c r="B5" s="5" t="s">
        <v>5</v>
      </c>
      <c r="E5" s="7">
        <v>45962</v>
      </c>
    </row>
    <row r="6" spans="1:15" x14ac:dyDescent="0.3">
      <c r="B6" s="5" t="s">
        <v>6</v>
      </c>
      <c r="E6" s="7">
        <v>45989</v>
      </c>
    </row>
    <row r="7" spans="1:15" x14ac:dyDescent="0.3">
      <c r="B7" s="5" t="s">
        <v>7</v>
      </c>
      <c r="E7" s="7">
        <v>45983</v>
      </c>
    </row>
    <row r="9" spans="1:15" x14ac:dyDescent="0.3">
      <c r="A9" s="5" t="s">
        <v>1</v>
      </c>
      <c r="B9" s="3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6" customHeight="1" x14ac:dyDescent="0.3"/>
    <row r="11" spans="1:15" x14ac:dyDescent="0.3">
      <c r="B11" s="8" t="s">
        <v>9</v>
      </c>
      <c r="C11" s="9"/>
      <c r="D11" s="9"/>
      <c r="E11" s="10" t="s">
        <v>10</v>
      </c>
      <c r="F11" s="9"/>
      <c r="G11" s="8" t="s">
        <v>11</v>
      </c>
      <c r="H11" s="9"/>
      <c r="I11" s="9"/>
      <c r="J11" s="9"/>
    </row>
    <row r="12" spans="1:15" x14ac:dyDescent="0.3">
      <c r="B12" s="5" t="s">
        <v>12</v>
      </c>
      <c r="E12" s="4">
        <v>673670</v>
      </c>
      <c r="G12" s="4" t="s">
        <v>13</v>
      </c>
    </row>
    <row r="13" spans="1:15" x14ac:dyDescent="0.3">
      <c r="B13" s="5" t="s">
        <v>14</v>
      </c>
      <c r="E13" s="4">
        <v>694007</v>
      </c>
      <c r="G13" s="4" t="s">
        <v>15</v>
      </c>
    </row>
    <row r="14" spans="1:15" x14ac:dyDescent="0.3">
      <c r="B14" s="5" t="s">
        <v>16</v>
      </c>
      <c r="E14" s="4">
        <v>666665</v>
      </c>
      <c r="G14" s="4" t="s">
        <v>17</v>
      </c>
    </row>
    <row r="15" spans="1:15" x14ac:dyDescent="0.3">
      <c r="B15" s="5" t="s">
        <v>18</v>
      </c>
      <c r="E15" s="4">
        <v>754441</v>
      </c>
      <c r="G15" s="4" t="s">
        <v>19</v>
      </c>
    </row>
    <row r="17" spans="1:15" x14ac:dyDescent="0.3">
      <c r="A17" s="5" t="s">
        <v>1</v>
      </c>
      <c r="B17" s="3" t="s">
        <v>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6" customHeight="1" x14ac:dyDescent="0.3"/>
    <row r="19" spans="1:15" x14ac:dyDescent="0.3">
      <c r="B19" s="8" t="s">
        <v>20</v>
      </c>
      <c r="C19" s="9"/>
      <c r="D19" s="9"/>
      <c r="E19" s="9"/>
      <c r="F19" s="9"/>
      <c r="G19" s="9"/>
      <c r="H19" s="10" t="s">
        <v>21</v>
      </c>
      <c r="I19" s="9"/>
      <c r="J19" s="9"/>
    </row>
    <row r="20" spans="1:15" ht="12.9" x14ac:dyDescent="0.35">
      <c r="B20" s="11" t="s">
        <v>22</v>
      </c>
      <c r="H20" s="12">
        <v>0.1</v>
      </c>
      <c r="I20" s="5" t="s">
        <v>19</v>
      </c>
    </row>
    <row r="21" spans="1:15" ht="12.9" x14ac:dyDescent="0.35">
      <c r="B21" s="11" t="s">
        <v>23</v>
      </c>
      <c r="H21" s="12">
        <v>0.1</v>
      </c>
      <c r="I21" s="5" t="s">
        <v>24</v>
      </c>
    </row>
    <row r="22" spans="1:15" ht="12.9" x14ac:dyDescent="0.35">
      <c r="B22" s="11" t="s">
        <v>25</v>
      </c>
      <c r="H22" s="12">
        <v>0.2</v>
      </c>
      <c r="I22" s="5" t="s">
        <v>26</v>
      </c>
    </row>
    <row r="23" spans="1:15" ht="12.9" x14ac:dyDescent="0.35">
      <c r="B23" s="11" t="s">
        <v>27</v>
      </c>
      <c r="H23" s="12">
        <v>0.2</v>
      </c>
      <c r="I23" s="5" t="s">
        <v>28</v>
      </c>
    </row>
    <row r="24" spans="1:15" ht="12.9" x14ac:dyDescent="0.35">
      <c r="B24" s="11" t="s">
        <v>29</v>
      </c>
      <c r="H24" s="12">
        <v>0.15</v>
      </c>
      <c r="I24" s="5" t="s">
        <v>26</v>
      </c>
    </row>
    <row r="25" spans="1:15" ht="12.9" x14ac:dyDescent="0.35">
      <c r="B25" s="11" t="s">
        <v>30</v>
      </c>
      <c r="H25" s="12">
        <v>0.05</v>
      </c>
      <c r="I25" s="5" t="s">
        <v>17</v>
      </c>
    </row>
    <row r="26" spans="1:15" ht="12.9" x14ac:dyDescent="0.35">
      <c r="B26" s="11" t="s">
        <v>31</v>
      </c>
      <c r="H26" s="12">
        <v>0.15</v>
      </c>
      <c r="I26" s="5" t="s">
        <v>28</v>
      </c>
    </row>
    <row r="27" spans="1:15" ht="12.9" x14ac:dyDescent="0.35">
      <c r="B27" s="11" t="s">
        <v>32</v>
      </c>
      <c r="H27" s="12">
        <v>0.05</v>
      </c>
      <c r="I27" s="5" t="s">
        <v>33</v>
      </c>
    </row>
    <row r="28" spans="1:15" x14ac:dyDescent="0.3">
      <c r="B28" s="13" t="s">
        <v>34</v>
      </c>
      <c r="C28" s="13"/>
      <c r="D28" s="13"/>
      <c r="E28" s="13"/>
      <c r="F28" s="13"/>
      <c r="G28" s="13"/>
      <c r="H28" s="14">
        <f>SUM(H20:H27)</f>
        <v>1.0000000000000002</v>
      </c>
      <c r="I28" s="13"/>
      <c r="J28" s="1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FF471-A6CA-4F92-B8A3-EE1BB7325912}">
  <dimension ref="A1:K31"/>
  <sheetViews>
    <sheetView showGridLines="0" tabSelected="1" zoomScaleNormal="100" workbookViewId="0">
      <selection activeCell="H27" sqref="H27"/>
    </sheetView>
  </sheetViews>
  <sheetFormatPr defaultColWidth="0" defaultRowHeight="12.45" x14ac:dyDescent="0.3"/>
  <cols>
    <col min="1" max="2" width="2.3828125" style="5" customWidth="1"/>
    <col min="3" max="3" width="12.3828125" style="5" bestFit="1" customWidth="1"/>
    <col min="4" max="4" width="9.53515625" style="5" bestFit="1" customWidth="1"/>
    <col min="5" max="9" width="9.3828125" style="5" customWidth="1"/>
    <col min="10" max="11" width="2.3828125" style="5" customWidth="1"/>
    <col min="12" max="16384" width="9.3828125" style="5" hidden="1"/>
  </cols>
  <sheetData>
    <row r="1" spans="2:10" ht="6" customHeight="1" x14ac:dyDescent="0.3"/>
    <row r="2" spans="2:10" ht="6" customHeight="1" x14ac:dyDescent="0.3">
      <c r="B2" s="15"/>
      <c r="C2" s="16"/>
      <c r="D2" s="16"/>
      <c r="E2" s="16"/>
      <c r="F2" s="16"/>
      <c r="G2" s="16"/>
      <c r="H2" s="16"/>
      <c r="I2" s="16"/>
      <c r="J2" s="17"/>
    </row>
    <row r="3" spans="2:10" x14ac:dyDescent="0.3">
      <c r="B3" s="18"/>
      <c r="C3" s="19" t="s">
        <v>35</v>
      </c>
      <c r="D3" s="20"/>
      <c r="E3" s="20"/>
      <c r="F3" s="20"/>
      <c r="G3" s="20"/>
      <c r="H3" s="20"/>
      <c r="I3" s="20"/>
      <c r="J3" s="21"/>
    </row>
    <row r="4" spans="2:10" ht="6" customHeight="1" x14ac:dyDescent="0.3">
      <c r="B4" s="18"/>
      <c r="C4" s="20"/>
      <c r="D4" s="20"/>
      <c r="E4" s="20"/>
      <c r="F4" s="20"/>
      <c r="G4" s="20"/>
      <c r="H4" s="20"/>
      <c r="I4" s="20"/>
      <c r="J4" s="21"/>
    </row>
    <row r="5" spans="2:10" x14ac:dyDescent="0.3">
      <c r="B5" s="18"/>
      <c r="C5" s="19" t="s">
        <v>36</v>
      </c>
      <c r="D5" s="20"/>
      <c r="E5" s="20"/>
      <c r="F5" s="20"/>
      <c r="G5" s="20"/>
      <c r="H5" s="20"/>
      <c r="I5" s="20"/>
      <c r="J5" s="21"/>
    </row>
    <row r="6" spans="2:10" ht="12.9" x14ac:dyDescent="0.35">
      <c r="B6" s="18"/>
      <c r="C6" s="22" t="s">
        <v>37</v>
      </c>
      <c r="D6" s="20"/>
      <c r="E6" s="20"/>
      <c r="F6" s="20"/>
      <c r="G6" s="20"/>
      <c r="H6" s="20"/>
      <c r="I6" s="20"/>
      <c r="J6" s="21"/>
    </row>
    <row r="7" spans="2:10" ht="6" customHeight="1" x14ac:dyDescent="0.3">
      <c r="B7" s="18"/>
      <c r="C7" s="20"/>
      <c r="D7" s="20"/>
      <c r="E7" s="20"/>
      <c r="F7" s="20"/>
      <c r="G7" s="20"/>
      <c r="H7" s="20"/>
      <c r="I7" s="20"/>
      <c r="J7" s="21"/>
    </row>
    <row r="8" spans="2:10" x14ac:dyDescent="0.3">
      <c r="B8" s="18"/>
      <c r="C8" s="19" t="s">
        <v>38</v>
      </c>
      <c r="D8" s="39">
        <v>46011</v>
      </c>
      <c r="E8" s="20"/>
      <c r="F8" s="20"/>
      <c r="G8" s="20"/>
      <c r="H8" s="20"/>
      <c r="I8" s="20"/>
      <c r="J8" s="21"/>
    </row>
    <row r="9" spans="2:10" ht="6" customHeight="1" x14ac:dyDescent="0.3">
      <c r="B9" s="18"/>
      <c r="C9" s="20"/>
      <c r="D9" s="20"/>
      <c r="E9" s="20"/>
      <c r="F9" s="20"/>
      <c r="G9" s="20"/>
      <c r="H9" s="20"/>
      <c r="I9" s="20"/>
      <c r="J9" s="21"/>
    </row>
    <row r="10" spans="2:10" ht="12.9" x14ac:dyDescent="0.35">
      <c r="B10" s="18"/>
      <c r="C10" s="22" t="s">
        <v>39</v>
      </c>
      <c r="D10" s="20"/>
      <c r="E10" s="20"/>
      <c r="F10" s="20"/>
      <c r="G10" s="20"/>
      <c r="H10" s="20"/>
      <c r="I10" s="20"/>
      <c r="J10" s="21"/>
    </row>
    <row r="11" spans="2:10" ht="12.9" x14ac:dyDescent="0.35">
      <c r="B11" s="18"/>
      <c r="C11" s="41" t="s">
        <v>40</v>
      </c>
      <c r="D11" s="20"/>
      <c r="E11" s="20"/>
      <c r="F11" s="20"/>
      <c r="G11" s="20"/>
      <c r="H11" s="20"/>
      <c r="I11" s="20"/>
      <c r="J11" s="21"/>
    </row>
    <row r="12" spans="2:10" ht="6" customHeight="1" x14ac:dyDescent="0.3">
      <c r="B12" s="18"/>
      <c r="C12" s="20"/>
      <c r="D12" s="20"/>
      <c r="E12" s="20"/>
      <c r="F12" s="20"/>
      <c r="G12" s="20"/>
      <c r="H12" s="20"/>
      <c r="I12" s="20"/>
      <c r="J12" s="21"/>
    </row>
    <row r="13" spans="2:10" ht="12.9" x14ac:dyDescent="0.35">
      <c r="B13" s="18"/>
      <c r="C13" s="22"/>
      <c r="D13" s="20"/>
      <c r="E13" s="20"/>
      <c r="F13" s="20"/>
      <c r="G13" s="20"/>
      <c r="H13" s="20"/>
      <c r="I13" s="20"/>
      <c r="J13" s="21"/>
    </row>
    <row r="14" spans="2:10" x14ac:dyDescent="0.3">
      <c r="B14" s="18"/>
      <c r="C14" s="20"/>
      <c r="D14" s="20"/>
      <c r="E14" s="20"/>
      <c r="F14" s="20"/>
      <c r="G14" s="20"/>
      <c r="H14" s="20"/>
      <c r="I14" s="20"/>
      <c r="J14" s="21"/>
    </row>
    <row r="15" spans="2:10" x14ac:dyDescent="0.3">
      <c r="B15" s="18"/>
      <c r="C15" s="218" t="e" vm="1">
        <v>#VALUE!</v>
      </c>
      <c r="D15" s="218"/>
      <c r="E15" s="218"/>
      <c r="F15" s="218"/>
      <c r="G15" s="218"/>
      <c r="H15" s="218"/>
      <c r="I15" s="218"/>
      <c r="J15" s="21"/>
    </row>
    <row r="16" spans="2:10" ht="16.5" customHeight="1" x14ac:dyDescent="0.3">
      <c r="B16" s="18"/>
      <c r="C16" s="218"/>
      <c r="D16" s="218"/>
      <c r="E16" s="218"/>
      <c r="F16" s="218"/>
      <c r="G16" s="218"/>
      <c r="H16" s="218"/>
      <c r="I16" s="218"/>
      <c r="J16" s="21"/>
    </row>
    <row r="17" spans="2:10" x14ac:dyDescent="0.3">
      <c r="B17" s="18"/>
      <c r="C17" s="218"/>
      <c r="D17" s="218"/>
      <c r="E17" s="218"/>
      <c r="F17" s="218"/>
      <c r="G17" s="218"/>
      <c r="H17" s="218"/>
      <c r="I17" s="218"/>
      <c r="J17" s="21"/>
    </row>
    <row r="18" spans="2:10" x14ac:dyDescent="0.3">
      <c r="B18" s="18"/>
      <c r="C18" s="218"/>
      <c r="D18" s="218"/>
      <c r="E18" s="218"/>
      <c r="F18" s="218"/>
      <c r="G18" s="218"/>
      <c r="H18" s="218"/>
      <c r="I18" s="218"/>
      <c r="J18" s="21"/>
    </row>
    <row r="19" spans="2:10" ht="6" customHeight="1" x14ac:dyDescent="0.3">
      <c r="B19" s="23"/>
      <c r="C19" s="24"/>
      <c r="D19" s="24"/>
      <c r="E19" s="24"/>
      <c r="F19" s="24"/>
      <c r="G19" s="24"/>
      <c r="H19" s="24"/>
      <c r="I19" s="24"/>
      <c r="J19" s="25"/>
    </row>
    <row r="21" spans="2:10" x14ac:dyDescent="0.3">
      <c r="C21" s="26" t="s">
        <v>41</v>
      </c>
      <c r="E21" s="33">
        <f>D2*1.1+25*A2</f>
        <v>0</v>
      </c>
    </row>
    <row r="22" spans="2:10" x14ac:dyDescent="0.3">
      <c r="C22" s="5" t="s">
        <v>42</v>
      </c>
      <c r="D22" s="27" t="s">
        <v>43</v>
      </c>
    </row>
    <row r="23" spans="2:10" x14ac:dyDescent="0.3">
      <c r="C23" s="5" t="s">
        <v>44</v>
      </c>
      <c r="D23" s="28" t="s">
        <v>43</v>
      </c>
    </row>
    <row r="24" spans="2:10" ht="12.9" x14ac:dyDescent="0.35">
      <c r="C24" s="5" t="s">
        <v>45</v>
      </c>
      <c r="D24" s="38" t="s">
        <v>43</v>
      </c>
      <c r="E24" s="1" t="s">
        <v>46</v>
      </c>
    </row>
    <row r="25" spans="2:10" ht="12.9" x14ac:dyDescent="0.35">
      <c r="C25" s="5" t="s">
        <v>47</v>
      </c>
      <c r="D25" s="30" t="s">
        <v>43</v>
      </c>
      <c r="E25" s="1" t="str">
        <f ca="1">_xlfn.FORMULATEXT(E21)</f>
        <v>=D2*1.1+25*A2</v>
      </c>
    </row>
    <row r="26" spans="2:10" x14ac:dyDescent="0.3">
      <c r="C26" s="5" t="s">
        <v>48</v>
      </c>
      <c r="D26" s="40" t="s">
        <v>43</v>
      </c>
    </row>
    <row r="28" spans="2:10" x14ac:dyDescent="0.3">
      <c r="C28" s="5" t="s">
        <v>49</v>
      </c>
      <c r="D28" s="6" t="s">
        <v>50</v>
      </c>
    </row>
    <row r="29" spans="2:10" x14ac:dyDescent="0.3">
      <c r="C29" s="5" t="s">
        <v>51</v>
      </c>
      <c r="D29" s="6" t="s">
        <v>52</v>
      </c>
    </row>
    <row r="30" spans="2:10" x14ac:dyDescent="0.3">
      <c r="D30" s="29"/>
    </row>
    <row r="31" spans="2:10" x14ac:dyDescent="0.3">
      <c r="C31" s="5" t="s">
        <v>53</v>
      </c>
      <c r="D31" s="6" t="s">
        <v>54</v>
      </c>
    </row>
  </sheetData>
  <mergeCells count="1">
    <mergeCell ref="C15:I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B3BC2-73B6-49DF-8F61-80127873360E}">
  <sheetPr>
    <tabColor theme="6"/>
  </sheetPr>
  <dimension ref="B2:AE93"/>
  <sheetViews>
    <sheetView showGridLines="0" zoomScale="85" zoomScaleNormal="85" workbookViewId="0">
      <selection activeCell="C28" sqref="C28"/>
    </sheetView>
  </sheetViews>
  <sheetFormatPr defaultRowHeight="12.45" x14ac:dyDescent="0.3"/>
  <cols>
    <col min="1" max="1" width="2.84375" customWidth="1"/>
    <col min="2" max="2" width="25.84375" customWidth="1"/>
    <col min="5" max="5" width="9.84375" bestFit="1" customWidth="1"/>
    <col min="15" max="15" width="2.69140625" customWidth="1"/>
    <col min="16" max="16" width="10.69140625" customWidth="1"/>
    <col min="17" max="17" width="2.69140625" customWidth="1"/>
    <col min="18" max="20" width="12.69140625" customWidth="1"/>
  </cols>
  <sheetData>
    <row r="2" spans="2:31" ht="17.600000000000001" x14ac:dyDescent="0.4">
      <c r="B2" s="2" t="s">
        <v>792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2:31" x14ac:dyDescent="0.3">
      <c r="B4" s="34" t="s">
        <v>793</v>
      </c>
      <c r="C4" s="247" t="str">
        <f>IF(C27 = 1, "Base", "Adverse")</f>
        <v>Base</v>
      </c>
    </row>
    <row r="6" spans="2:31" x14ac:dyDescent="0.3">
      <c r="B6" s="31" t="s">
        <v>754</v>
      </c>
      <c r="C6" s="31"/>
      <c r="D6" s="31"/>
      <c r="E6" s="35">
        <f>2019</f>
        <v>2019</v>
      </c>
      <c r="F6" s="35">
        <f>E6+1</f>
        <v>2020</v>
      </c>
      <c r="G6" s="35">
        <f t="shared" ref="G6:M6" si="0">F6+1</f>
        <v>2021</v>
      </c>
      <c r="H6" s="35">
        <f t="shared" si="0"/>
        <v>2022</v>
      </c>
      <c r="I6" s="35">
        <f t="shared" si="0"/>
        <v>2023</v>
      </c>
      <c r="J6" s="35">
        <f t="shared" si="0"/>
        <v>2024</v>
      </c>
      <c r="K6" s="184">
        <f t="shared" si="0"/>
        <v>2025</v>
      </c>
      <c r="L6" s="184">
        <f t="shared" si="0"/>
        <v>2026</v>
      </c>
      <c r="M6" s="184">
        <f t="shared" si="0"/>
        <v>2027</v>
      </c>
    </row>
    <row r="7" spans="2:31" x14ac:dyDescent="0.3">
      <c r="B7" s="228" t="s">
        <v>755</v>
      </c>
    </row>
    <row r="8" spans="2:31" x14ac:dyDescent="0.3">
      <c r="B8" t="s">
        <v>57</v>
      </c>
      <c r="E8" s="36">
        <f>I30</f>
        <v>8806.5</v>
      </c>
      <c r="F8" s="36">
        <f t="shared" ref="F8:J8" si="1">J30</f>
        <v>8341.6</v>
      </c>
      <c r="G8" s="36">
        <f t="shared" si="1"/>
        <v>10294.299999999999</v>
      </c>
      <c r="H8" s="36">
        <f t="shared" si="1"/>
        <v>11135.6</v>
      </c>
      <c r="I8" s="36">
        <f t="shared" si="1"/>
        <v>11433.7</v>
      </c>
      <c r="J8" s="36">
        <f t="shared" si="1"/>
        <v>11503.2</v>
      </c>
      <c r="K8" s="36">
        <f>R30</f>
        <v>12653.520000000002</v>
      </c>
      <c r="L8" s="36">
        <f t="shared" ref="L8:M8" si="2">S30</f>
        <v>13792.336800000003</v>
      </c>
      <c r="M8" s="36">
        <f t="shared" si="2"/>
        <v>14895.723744000004</v>
      </c>
    </row>
    <row r="9" spans="2:31" x14ac:dyDescent="0.3">
      <c r="B9" t="s">
        <v>64</v>
      </c>
      <c r="E9" s="36">
        <f>I40</f>
        <v>1646.6999999999996</v>
      </c>
      <c r="F9" s="36">
        <f t="shared" ref="F9:J9" si="3">J40</f>
        <v>1413.8000000000002</v>
      </c>
      <c r="G9" s="36">
        <f t="shared" si="3"/>
        <v>1845.6999999999998</v>
      </c>
      <c r="H9" s="36">
        <f t="shared" si="3"/>
        <v>1306.0999999999999</v>
      </c>
      <c r="I9" s="36">
        <f t="shared" si="3"/>
        <v>1833.0000000000002</v>
      </c>
      <c r="J9" s="36">
        <f t="shared" si="3"/>
        <v>2037.4999999999993</v>
      </c>
      <c r="K9" s="36">
        <f>R40</f>
        <v>2277.633600000001</v>
      </c>
      <c r="L9" s="36">
        <f t="shared" ref="L9:M9" si="4">S40</f>
        <v>2482.620624000001</v>
      </c>
      <c r="M9" s="36">
        <f t="shared" si="4"/>
        <v>2681.2302739200004</v>
      </c>
    </row>
    <row r="10" spans="2:31" x14ac:dyDescent="0.3">
      <c r="B10" t="s">
        <v>67</v>
      </c>
      <c r="E10" s="36">
        <f>I43</f>
        <v>755.69999999999959</v>
      </c>
      <c r="F10" s="36">
        <f t="shared" ref="F10:J10" si="5">J43</f>
        <v>497.70000000000016</v>
      </c>
      <c r="G10" s="36">
        <f t="shared" si="5"/>
        <v>906.79999999999984</v>
      </c>
      <c r="H10" s="36">
        <f t="shared" si="5"/>
        <v>292.79999999999995</v>
      </c>
      <c r="I10" s="36">
        <f t="shared" si="5"/>
        <v>786.50000000000023</v>
      </c>
      <c r="J10" s="36">
        <f t="shared" si="5"/>
        <v>926.69999999999936</v>
      </c>
      <c r="K10" s="36">
        <f>R43</f>
        <v>1025.819762963235</v>
      </c>
      <c r="L10" s="36">
        <f t="shared" ref="L10:M10" si="6">S43</f>
        <v>1118.1435416299262</v>
      </c>
      <c r="M10" s="36">
        <f t="shared" si="6"/>
        <v>1207.5950249603195</v>
      </c>
    </row>
    <row r="11" spans="2:31" x14ac:dyDescent="0.3">
      <c r="B11" t="s">
        <v>74</v>
      </c>
      <c r="E11" s="36">
        <f>I50</f>
        <v>454.79999999999956</v>
      </c>
      <c r="F11" s="36">
        <f t="shared" ref="F11:J11" si="7">J50</f>
        <v>215.30000000000015</v>
      </c>
      <c r="G11" s="36">
        <f t="shared" si="7"/>
        <v>568.29999999999984</v>
      </c>
      <c r="H11" s="36">
        <f t="shared" si="7"/>
        <v>97.999999999999915</v>
      </c>
      <c r="I11" s="36">
        <f t="shared" si="7"/>
        <v>305.80000000000018</v>
      </c>
      <c r="J11" s="36">
        <f t="shared" si="7"/>
        <v>360.39999999999941</v>
      </c>
      <c r="K11" s="36">
        <f>R50</f>
        <v>405.21254133722778</v>
      </c>
      <c r="L11" s="36">
        <f t="shared" ref="L11:M11" si="8">S50</f>
        <v>469.93151018257822</v>
      </c>
      <c r="M11" s="36">
        <f t="shared" si="8"/>
        <v>532.63699999718392</v>
      </c>
      <c r="W11" s="245">
        <f>2019</f>
        <v>2019</v>
      </c>
      <c r="X11" s="245">
        <f>W11+1</f>
        <v>2020</v>
      </c>
      <c r="Y11" s="245">
        <f t="shared" ref="Y11:AE11" si="9">X11+1</f>
        <v>2021</v>
      </c>
      <c r="Z11" s="245">
        <f t="shared" si="9"/>
        <v>2022</v>
      </c>
      <c r="AA11" s="245">
        <f t="shared" si="9"/>
        <v>2023</v>
      </c>
      <c r="AB11" s="245">
        <f t="shared" si="9"/>
        <v>2024</v>
      </c>
      <c r="AC11" s="246">
        <f t="shared" si="9"/>
        <v>2025</v>
      </c>
      <c r="AD11" s="246">
        <f t="shared" si="9"/>
        <v>2026</v>
      </c>
      <c r="AE11" s="246">
        <f t="shared" si="9"/>
        <v>2027</v>
      </c>
    </row>
    <row r="12" spans="2:31" x14ac:dyDescent="0.3">
      <c r="B12" t="s">
        <v>84</v>
      </c>
      <c r="E12" s="36">
        <f>I62</f>
        <v>184.70000000000002</v>
      </c>
      <c r="F12" s="36">
        <f t="shared" ref="F12:J12" si="10">J62</f>
        <v>-538.40000000000009</v>
      </c>
      <c r="G12" s="36">
        <f t="shared" si="10"/>
        <v>244.40000000000003</v>
      </c>
      <c r="H12" s="36">
        <f t="shared" si="10"/>
        <v>48.800000000000068</v>
      </c>
      <c r="I12" s="36">
        <f t="shared" si="10"/>
        <v>26.800000000000011</v>
      </c>
      <c r="J12" s="36">
        <f t="shared" si="10"/>
        <v>659.49999999999989</v>
      </c>
      <c r="K12" s="36">
        <f>R62</f>
        <v>2084.7488054711393</v>
      </c>
      <c r="L12" s="36">
        <f t="shared" ref="L12:M12" si="11">S62</f>
        <v>129.10099012604195</v>
      </c>
      <c r="M12" s="36">
        <f t="shared" si="11"/>
        <v>172.07332903612462</v>
      </c>
      <c r="V12" t="s">
        <v>760</v>
      </c>
      <c r="W12" s="96">
        <v>0.82620465619924188</v>
      </c>
      <c r="X12" s="96">
        <v>1.4114041604754826</v>
      </c>
      <c r="Y12" s="96">
        <v>0.8048281505728313</v>
      </c>
      <c r="Z12" s="96">
        <v>0.51024590163934347</v>
      </c>
      <c r="AA12" s="96">
        <v>3.4253731343283564</v>
      </c>
      <c r="AB12" s="96">
        <v>0.16300227445034118</v>
      </c>
      <c r="AC12" s="96">
        <v>0.95934819329373033</v>
      </c>
      <c r="AD12" s="96">
        <v>0.8</v>
      </c>
      <c r="AE12" s="96">
        <v>0.8</v>
      </c>
    </row>
    <row r="13" spans="2:31" x14ac:dyDescent="0.3">
      <c r="B13" t="s">
        <v>756</v>
      </c>
      <c r="E13" s="36">
        <f>I66</f>
        <v>152.6</v>
      </c>
      <c r="F13" s="36">
        <f t="shared" ref="F13:J13" si="12">J66</f>
        <v>-759.9</v>
      </c>
      <c r="G13" s="36">
        <f t="shared" si="12"/>
        <v>196.7</v>
      </c>
      <c r="H13" s="36">
        <f t="shared" si="12"/>
        <v>24.9</v>
      </c>
      <c r="I13" s="36">
        <f t="shared" si="12"/>
        <v>91.8</v>
      </c>
      <c r="J13" s="36">
        <f t="shared" si="12"/>
        <v>107.5</v>
      </c>
      <c r="K13" s="36">
        <f>R66</f>
        <v>2000</v>
      </c>
      <c r="L13" s="36">
        <f t="shared" ref="L13:M13" si="13">S66</f>
        <v>103.28079210083357</v>
      </c>
      <c r="M13" s="36">
        <f t="shared" si="13"/>
        <v>137.65866322889971</v>
      </c>
      <c r="V13" t="s">
        <v>175</v>
      </c>
      <c r="W13" s="230">
        <v>3.138640918200037</v>
      </c>
      <c r="X13" s="230">
        <v>3.2583109350686086</v>
      </c>
      <c r="Y13" s="230">
        <v>2.5120008668797746</v>
      </c>
      <c r="Z13" s="230">
        <v>4.5756833320572712</v>
      </c>
      <c r="AA13" s="230">
        <v>3.4259683578832507</v>
      </c>
      <c r="AB13" s="230">
        <v>3.3630920245398785</v>
      </c>
      <c r="AC13" s="230">
        <v>3.8866216234252935</v>
      </c>
      <c r="AD13" s="230">
        <v>3.5657079113993517</v>
      </c>
      <c r="AE13" s="230">
        <v>3.3015813994438452</v>
      </c>
    </row>
    <row r="14" spans="2:31" x14ac:dyDescent="0.3">
      <c r="B14" t="s">
        <v>767</v>
      </c>
      <c r="E14" s="36">
        <f>I56-I66</f>
        <v>542</v>
      </c>
      <c r="F14" s="36">
        <f t="shared" ref="F14:M14" si="14">J56-J66</f>
        <v>1109.0999999999999</v>
      </c>
      <c r="G14" s="36">
        <f t="shared" si="14"/>
        <v>513.5</v>
      </c>
      <c r="H14" s="36">
        <f t="shared" si="14"/>
        <v>-543.29999999999995</v>
      </c>
      <c r="I14" s="36">
        <f t="shared" si="14"/>
        <v>836.80000000000007</v>
      </c>
      <c r="J14" s="36">
        <f t="shared" si="14"/>
        <v>982.09999999999991</v>
      </c>
      <c r="K14" s="36">
        <f>R56-R66</f>
        <v>-1473.2236962616039</v>
      </c>
      <c r="L14" s="36">
        <f t="shared" ref="L14:M14" si="15">S56-S66</f>
        <v>507.63017113651813</v>
      </c>
      <c r="M14" s="36">
        <f t="shared" si="15"/>
        <v>554.7694367674394</v>
      </c>
      <c r="V14" t="s">
        <v>179</v>
      </c>
      <c r="W14" s="230">
        <v>14.046468401486981</v>
      </c>
      <c r="X14" s="230">
        <v>12.19852941176471</v>
      </c>
      <c r="Y14" s="230">
        <v>57.757961783439484</v>
      </c>
      <c r="Z14" s="230">
        <v>8.5865102639296165</v>
      </c>
      <c r="AA14" s="230">
        <v>5.6664265129683011</v>
      </c>
      <c r="AB14" s="230">
        <v>5.3566473988439274</v>
      </c>
      <c r="AC14" s="230">
        <v>4.2452837947886195</v>
      </c>
      <c r="AD14" s="230">
        <v>4.6273593363195955</v>
      </c>
      <c r="AE14" s="230">
        <v>4.9975480832251602</v>
      </c>
    </row>
    <row r="16" spans="2:31" x14ac:dyDescent="0.3">
      <c r="B16" s="228" t="s">
        <v>757</v>
      </c>
    </row>
    <row r="17" spans="2:31" x14ac:dyDescent="0.3">
      <c r="B17" t="s">
        <v>76</v>
      </c>
      <c r="E17" s="229">
        <f>I53</f>
        <v>3.824098209030518</v>
      </c>
      <c r="F17" s="229">
        <f t="shared" ref="F17:J17" si="16">J53</f>
        <v>1.6410060975609768</v>
      </c>
      <c r="G17" s="229">
        <f t="shared" si="16"/>
        <v>4.33155487804878</v>
      </c>
      <c r="H17" s="229">
        <f t="shared" si="16"/>
        <v>0.74695121951219456</v>
      </c>
      <c r="I17" s="229">
        <f t="shared" si="16"/>
        <v>2.3307926829268308</v>
      </c>
      <c r="J17" s="229">
        <f t="shared" si="16"/>
        <v>2.7469512195121908</v>
      </c>
      <c r="K17" s="229">
        <f>R53</f>
        <v>3.0885102236069195</v>
      </c>
      <c r="L17" s="229">
        <f t="shared" ref="L17:M17" si="17">S53</f>
        <v>3.5817950471233098</v>
      </c>
      <c r="M17" s="229">
        <f t="shared" si="17"/>
        <v>4.0597332316858532</v>
      </c>
    </row>
    <row r="18" spans="2:31" x14ac:dyDescent="0.3">
      <c r="B18" t="s">
        <v>758</v>
      </c>
      <c r="E18" s="230">
        <f>I43/ABS(I44)</f>
        <v>14.046468401486981</v>
      </c>
      <c r="F18" s="230">
        <f t="shared" ref="F18:J18" si="18">J43/ABS(J44)</f>
        <v>12.19852941176471</v>
      </c>
      <c r="G18" s="230">
        <f t="shared" si="18"/>
        <v>57.757961783439484</v>
      </c>
      <c r="H18" s="230">
        <f t="shared" si="18"/>
        <v>8.5865102639296165</v>
      </c>
      <c r="I18" s="230">
        <f t="shared" si="18"/>
        <v>5.6664265129683011</v>
      </c>
      <c r="J18" s="230">
        <f t="shared" si="18"/>
        <v>5.3566473988439274</v>
      </c>
      <c r="K18" s="230">
        <f>R43/ABS(R44)</f>
        <v>4.2452837947886195</v>
      </c>
      <c r="L18" s="230">
        <f t="shared" ref="L18:M18" si="19">S43/ABS(S44)</f>
        <v>4.6273593363195955</v>
      </c>
      <c r="M18" s="230">
        <f t="shared" si="19"/>
        <v>4.9975480832251602</v>
      </c>
    </row>
    <row r="19" spans="2:31" x14ac:dyDescent="0.3">
      <c r="B19" t="s">
        <v>759</v>
      </c>
      <c r="E19" s="230">
        <f>I83/I40</f>
        <v>3.138640918200037</v>
      </c>
      <c r="F19" s="230">
        <f>J83/J40</f>
        <v>3.2583109350686086</v>
      </c>
      <c r="G19" s="230">
        <f>K83/K40</f>
        <v>2.5120008668797746</v>
      </c>
      <c r="H19" s="230">
        <f>L83/L40</f>
        <v>4.5756833320572712</v>
      </c>
      <c r="I19" s="230">
        <f>M83/M40</f>
        <v>3.4259683578832507</v>
      </c>
      <c r="J19" s="230">
        <f>N83/N40</f>
        <v>3.3630920245398785</v>
      </c>
      <c r="K19" s="230">
        <f>R83/R40</f>
        <v>3.8866216234252935</v>
      </c>
      <c r="L19" s="230">
        <f t="shared" ref="L19:M19" si="20">S83/S40</f>
        <v>3.5657079113993517</v>
      </c>
      <c r="M19" s="230">
        <f t="shared" si="20"/>
        <v>3.3015813994438452</v>
      </c>
    </row>
    <row r="20" spans="2:31" x14ac:dyDescent="0.3">
      <c r="B20" t="s">
        <v>760</v>
      </c>
      <c r="E20" s="201">
        <f>I67</f>
        <v>0.82620465619924188</v>
      </c>
      <c r="F20" s="201">
        <f t="shared" ref="F20:J20" si="21">J67</f>
        <v>1.4114041604754826</v>
      </c>
      <c r="G20" s="201">
        <f t="shared" si="21"/>
        <v>0.8048281505728313</v>
      </c>
      <c r="H20" s="201">
        <f t="shared" si="21"/>
        <v>0.51024590163934347</v>
      </c>
      <c r="I20" s="201">
        <f t="shared" si="21"/>
        <v>3.4253731343283564</v>
      </c>
      <c r="J20" s="201">
        <f t="shared" si="21"/>
        <v>0.16300227445034118</v>
      </c>
      <c r="K20" s="201">
        <f>R67</f>
        <v>0.95934819329373033</v>
      </c>
      <c r="L20" s="201">
        <f t="shared" ref="L20:M20" si="22">S67</f>
        <v>0.8</v>
      </c>
      <c r="M20" s="201">
        <f t="shared" si="22"/>
        <v>0.8</v>
      </c>
    </row>
    <row r="21" spans="2:31" x14ac:dyDescent="0.3">
      <c r="B21" t="s">
        <v>768</v>
      </c>
      <c r="E21" s="236">
        <f>E14/I83</f>
        <v>0.10486804426901944</v>
      </c>
      <c r="F21" s="236">
        <f t="shared" ref="F21:M21" si="23">F14/J83</f>
        <v>0.24076325272435203</v>
      </c>
      <c r="G21" s="236">
        <f t="shared" si="23"/>
        <v>0.1107540333016996</v>
      </c>
      <c r="H21" s="236">
        <f t="shared" si="23"/>
        <v>-9.0909090909090884E-2</v>
      </c>
      <c r="I21" s="236">
        <f t="shared" si="23"/>
        <v>0.13325265135832354</v>
      </c>
      <c r="J21" s="236">
        <f t="shared" si="23"/>
        <v>0.14332413934007557</v>
      </c>
      <c r="K21" s="236">
        <f>K14/R83</f>
        <v>-0.16642270328181422</v>
      </c>
      <c r="L21" s="236">
        <f t="shared" ref="L21:M21" si="24">L14/S83</f>
        <v>5.7344438296998312E-2</v>
      </c>
      <c r="M21" s="236">
        <f t="shared" si="24"/>
        <v>6.2669525068901805E-2</v>
      </c>
      <c r="W21">
        <v>2019</v>
      </c>
      <c r="X21">
        <v>2020</v>
      </c>
      <c r="Y21">
        <v>2021</v>
      </c>
      <c r="Z21">
        <v>2022</v>
      </c>
      <c r="AA21">
        <v>2023</v>
      </c>
      <c r="AB21">
        <v>2024</v>
      </c>
      <c r="AC21" s="242">
        <v>2025</v>
      </c>
      <c r="AD21" s="242">
        <v>2026</v>
      </c>
      <c r="AE21" s="242">
        <v>2027</v>
      </c>
    </row>
    <row r="22" spans="2:31" x14ac:dyDescent="0.3">
      <c r="B22" t="s">
        <v>121</v>
      </c>
      <c r="E22" s="236">
        <f>E9/E$8</f>
        <v>0.18698688468744673</v>
      </c>
      <c r="F22" s="236">
        <f t="shared" ref="F22:M22" si="25">F9/F$8</f>
        <v>0.16948786803490939</v>
      </c>
      <c r="G22" s="236">
        <f t="shared" si="25"/>
        <v>0.17929339537413908</v>
      </c>
      <c r="H22" s="236">
        <f t="shared" si="25"/>
        <v>0.11729049175616939</v>
      </c>
      <c r="I22" s="236">
        <f t="shared" si="25"/>
        <v>0.16031555839317108</v>
      </c>
      <c r="J22" s="236">
        <f t="shared" si="25"/>
        <v>0.17712462619097288</v>
      </c>
      <c r="K22" s="236">
        <f t="shared" si="25"/>
        <v>0.18000000000000005</v>
      </c>
      <c r="L22" s="236">
        <f t="shared" si="25"/>
        <v>0.18000000000000005</v>
      </c>
      <c r="M22" s="236">
        <f t="shared" si="25"/>
        <v>0.17999999999999997</v>
      </c>
      <c r="V22" t="s">
        <v>64</v>
      </c>
      <c r="W22" s="243">
        <f>E9</f>
        <v>1646.6999999999996</v>
      </c>
      <c r="X22" s="243">
        <f>F9</f>
        <v>1413.8000000000002</v>
      </c>
      <c r="Y22" s="243">
        <f>G9</f>
        <v>1845.6999999999998</v>
      </c>
      <c r="Z22" s="243">
        <f>H9</f>
        <v>1306.0999999999999</v>
      </c>
      <c r="AA22" s="243">
        <f>I9</f>
        <v>1833.0000000000002</v>
      </c>
      <c r="AB22" s="243">
        <f>J9</f>
        <v>2037.4999999999993</v>
      </c>
      <c r="AC22" s="243">
        <f>K9</f>
        <v>2277.633600000001</v>
      </c>
      <c r="AD22" s="243">
        <f>L9</f>
        <v>2482.620624000001</v>
      </c>
      <c r="AE22" s="243">
        <f>M9</f>
        <v>2681.2302739200004</v>
      </c>
    </row>
    <row r="23" spans="2:31" x14ac:dyDescent="0.3">
      <c r="B23" t="s">
        <v>771</v>
      </c>
      <c r="E23" s="236">
        <f>E10/E$8</f>
        <v>8.5811616419689957E-2</v>
      </c>
      <c r="F23" s="236">
        <f t="shared" ref="F23:M23" si="26">F10/F$8</f>
        <v>5.9664812505994071E-2</v>
      </c>
      <c r="G23" s="236">
        <f t="shared" si="26"/>
        <v>8.8087582448539467E-2</v>
      </c>
      <c r="H23" s="236">
        <f t="shared" si="26"/>
        <v>2.6294047918387867E-2</v>
      </c>
      <c r="I23" s="236">
        <f t="shared" si="26"/>
        <v>6.8787881438204621E-2</v>
      </c>
      <c r="J23" s="236">
        <f t="shared" si="26"/>
        <v>8.0560191946588713E-2</v>
      </c>
      <c r="K23" s="236">
        <f t="shared" si="26"/>
        <v>8.1069912796062668E-2</v>
      </c>
      <c r="L23" s="236">
        <f t="shared" si="26"/>
        <v>8.1069912796062668E-2</v>
      </c>
      <c r="M23" s="236">
        <f t="shared" si="26"/>
        <v>8.1069912796062599E-2</v>
      </c>
      <c r="V23" t="s">
        <v>67</v>
      </c>
      <c r="W23" s="243">
        <f>E10</f>
        <v>755.69999999999959</v>
      </c>
      <c r="X23" s="243">
        <f>F10</f>
        <v>497.70000000000016</v>
      </c>
      <c r="Y23" s="243">
        <f>G10</f>
        <v>906.79999999999984</v>
      </c>
      <c r="Z23" s="243">
        <f>H10</f>
        <v>292.79999999999995</v>
      </c>
      <c r="AA23" s="243">
        <f>I10</f>
        <v>786.50000000000023</v>
      </c>
      <c r="AB23" s="243">
        <f>J10</f>
        <v>926.69999999999936</v>
      </c>
      <c r="AC23" s="243">
        <f>K10</f>
        <v>1025.819762963235</v>
      </c>
      <c r="AD23" s="243">
        <f>L10</f>
        <v>1118.1435416299262</v>
      </c>
      <c r="AE23" s="243">
        <f>M10</f>
        <v>1207.5950249603195</v>
      </c>
    </row>
    <row r="24" spans="2:31" x14ac:dyDescent="0.3">
      <c r="V24" t="s">
        <v>121</v>
      </c>
      <c r="W24" s="236">
        <v>0.18698688468744673</v>
      </c>
      <c r="X24" s="236">
        <v>0.16948786803490939</v>
      </c>
      <c r="Y24" s="236">
        <v>0.17929339537413908</v>
      </c>
      <c r="Z24" s="236">
        <v>0.11729049175616939</v>
      </c>
      <c r="AA24" s="236">
        <v>0.16031555839317108</v>
      </c>
      <c r="AB24" s="236">
        <v>0.17712462619097288</v>
      </c>
      <c r="AC24" s="241">
        <v>0.18000000000000005</v>
      </c>
      <c r="AD24" s="241">
        <v>0.18000000000000005</v>
      </c>
      <c r="AE24" s="241">
        <v>0.17999999999999997</v>
      </c>
    </row>
    <row r="25" spans="2:31" ht="17.600000000000001" x14ac:dyDescent="0.4">
      <c r="B25" s="2" t="s">
        <v>796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V25" t="s">
        <v>771</v>
      </c>
      <c r="W25" s="236">
        <v>8.5811616419689957E-2</v>
      </c>
      <c r="X25" s="236">
        <v>5.9664812505994071E-2</v>
      </c>
      <c r="Y25" s="236">
        <v>8.8087582448539467E-2</v>
      </c>
      <c r="Z25" s="236">
        <v>2.6294047918387867E-2</v>
      </c>
      <c r="AA25" s="236">
        <v>6.8787881438204621E-2</v>
      </c>
      <c r="AB25" s="236">
        <v>8.0560191946588713E-2</v>
      </c>
      <c r="AC25" s="241">
        <v>8.1069912796062668E-2</v>
      </c>
      <c r="AD25" s="241">
        <v>8.1069912796062668E-2</v>
      </c>
      <c r="AE25" s="241">
        <v>8.1069912796062599E-2</v>
      </c>
    </row>
    <row r="27" spans="2:31" x14ac:dyDescent="0.3">
      <c r="B27" t="s">
        <v>794</v>
      </c>
      <c r="C27" s="100">
        <v>1</v>
      </c>
      <c r="D27" t="s">
        <v>795</v>
      </c>
    </row>
    <row r="29" spans="2:31" x14ac:dyDescent="0.3">
      <c r="B29" s="31" t="s">
        <v>55</v>
      </c>
      <c r="C29" s="31"/>
      <c r="D29" s="31"/>
      <c r="E29" s="35">
        <v>2015</v>
      </c>
      <c r="F29" s="35">
        <f t="shared" ref="F29:N29" si="27">+E29+1</f>
        <v>2016</v>
      </c>
      <c r="G29" s="35">
        <f t="shared" si="27"/>
        <v>2017</v>
      </c>
      <c r="H29" s="35">
        <f t="shared" si="27"/>
        <v>2018</v>
      </c>
      <c r="I29" s="35">
        <f t="shared" si="27"/>
        <v>2019</v>
      </c>
      <c r="J29" s="35">
        <f t="shared" si="27"/>
        <v>2020</v>
      </c>
      <c r="K29" s="35">
        <f t="shared" si="27"/>
        <v>2021</v>
      </c>
      <c r="L29" s="35">
        <f t="shared" si="27"/>
        <v>2022</v>
      </c>
      <c r="M29" s="35">
        <f t="shared" si="27"/>
        <v>2023</v>
      </c>
      <c r="N29" s="35">
        <f t="shared" si="27"/>
        <v>2024</v>
      </c>
      <c r="P29" s="35" t="s">
        <v>56</v>
      </c>
      <c r="R29" s="184">
        <f>N29+1</f>
        <v>2025</v>
      </c>
      <c r="S29" s="184">
        <f>R29+1</f>
        <v>2026</v>
      </c>
      <c r="T29" s="184">
        <f>S29+1</f>
        <v>2027</v>
      </c>
    </row>
    <row r="30" spans="2:31" x14ac:dyDescent="0.3">
      <c r="B30" t="s">
        <v>57</v>
      </c>
      <c r="E30" s="86">
        <f>Financials!E5</f>
        <v>5097.8999999999996</v>
      </c>
      <c r="F30" s="86">
        <f>Financials!F5</f>
        <v>5587.2</v>
      </c>
      <c r="G30" s="86">
        <f>Financials!G5</f>
        <v>7653.6</v>
      </c>
      <c r="H30" s="86">
        <f>Financials!H5</f>
        <v>7995.7</v>
      </c>
      <c r="I30" s="86">
        <f>Financials!I5</f>
        <v>8806.5</v>
      </c>
      <c r="J30" s="86">
        <f>Financials!J5</f>
        <v>8341.6</v>
      </c>
      <c r="K30" s="86">
        <f>Financials!K5</f>
        <v>10294.299999999999</v>
      </c>
      <c r="L30" s="86">
        <f>Financials!L5</f>
        <v>11135.6</v>
      </c>
      <c r="M30" s="86">
        <f>Financials!M5</f>
        <v>11433.7</v>
      </c>
      <c r="N30" s="86">
        <f>Financials!N5</f>
        <v>11503.2</v>
      </c>
      <c r="P30" s="187">
        <f>(N30/E30)^(1/(N29-E29))-1</f>
        <v>9.4635948440864759E-2</v>
      </c>
      <c r="R30" s="199">
        <f>N30*(1+R31)</f>
        <v>12653.520000000002</v>
      </c>
      <c r="S30" s="199">
        <f>R30*(1+S31)</f>
        <v>13792.336800000003</v>
      </c>
      <c r="T30" s="199">
        <f>S30*(1+T31)</f>
        <v>14895.723744000004</v>
      </c>
    </row>
    <row r="31" spans="2:31" ht="12.9" x14ac:dyDescent="0.35">
      <c r="B31" s="182" t="s">
        <v>58</v>
      </c>
      <c r="F31" s="183">
        <f t="shared" ref="F31:N31" si="28">F30/E30-1</f>
        <v>9.5980697934443526E-2</v>
      </c>
      <c r="G31" s="183">
        <f t="shared" si="28"/>
        <v>0.36984536082474229</v>
      </c>
      <c r="H31" s="183">
        <f t="shared" si="28"/>
        <v>4.4697919933103236E-2</v>
      </c>
      <c r="I31" s="183">
        <f t="shared" si="28"/>
        <v>0.10140450492139519</v>
      </c>
      <c r="J31" s="183">
        <f t="shared" si="28"/>
        <v>-5.2790552432862015E-2</v>
      </c>
      <c r="K31" s="183">
        <f t="shared" si="28"/>
        <v>0.23409178095329408</v>
      </c>
      <c r="L31" s="183">
        <f t="shared" si="28"/>
        <v>8.1724838017155133E-2</v>
      </c>
      <c r="M31" s="183">
        <f t="shared" si="28"/>
        <v>2.6769998922375082E-2</v>
      </c>
      <c r="N31" s="183">
        <f t="shared" si="28"/>
        <v>6.0785222631343228E-3</v>
      </c>
      <c r="P31" s="188">
        <f>AVERAGE(E31:N31)</f>
        <v>0.10086700792630898</v>
      </c>
      <c r="R31" s="183">
        <f>CHOOSE($C$27,R32,R33)</f>
        <v>0.1</v>
      </c>
      <c r="S31" s="183">
        <f>CHOOSE($C$27,S32,S33)</f>
        <v>0.09</v>
      </c>
      <c r="T31" s="183">
        <f>CHOOSE($C$27,T32,T33)</f>
        <v>0.08</v>
      </c>
    </row>
    <row r="32" spans="2:31" ht="12.9" x14ac:dyDescent="0.35">
      <c r="B32" s="185" t="s">
        <v>59</v>
      </c>
      <c r="R32" s="198">
        <v>0.1</v>
      </c>
      <c r="S32" s="198">
        <v>0.09</v>
      </c>
      <c r="T32" s="198">
        <v>0.08</v>
      </c>
    </row>
    <row r="33" spans="2:20" ht="12.9" x14ac:dyDescent="0.35">
      <c r="B33" s="185" t="s">
        <v>60</v>
      </c>
      <c r="R33" s="200">
        <v>-0.15</v>
      </c>
      <c r="S33" s="200">
        <v>0</v>
      </c>
      <c r="T33" s="198">
        <v>0.15</v>
      </c>
    </row>
    <row r="34" spans="2:20" x14ac:dyDescent="0.3">
      <c r="B34" s="181" t="s">
        <v>61</v>
      </c>
      <c r="E34" s="86">
        <f>Financials!E6</f>
        <v>-3601.7</v>
      </c>
      <c r="F34" s="86">
        <f>Financials!F6</f>
        <v>-4091.6</v>
      </c>
      <c r="G34" s="86">
        <f>Financials!G6</f>
        <v>-5768.1</v>
      </c>
      <c r="H34" s="86">
        <f>Financials!H6</f>
        <v>-5974.7000000000007</v>
      </c>
      <c r="I34" s="86">
        <f>Financials!I6</f>
        <v>-6474.6</v>
      </c>
      <c r="J34" s="86">
        <f>Financials!J6</f>
        <v>-6296.8</v>
      </c>
      <c r="K34" s="86">
        <f>Financials!K6</f>
        <v>-7870.5999999999995</v>
      </c>
      <c r="L34" s="86">
        <f>Financials!L6</f>
        <v>-9124.1</v>
      </c>
      <c r="M34" s="86">
        <f>Financials!M6</f>
        <v>-8770.1</v>
      </c>
      <c r="N34" s="86">
        <f>Financials!N6</f>
        <v>-8525.9000000000015</v>
      </c>
      <c r="R34" s="199">
        <f>-R30*R35</f>
        <v>-9490.1400000000012</v>
      </c>
      <c r="S34" s="199">
        <f>-S30*S35</f>
        <v>-10344.252600000002</v>
      </c>
      <c r="T34" s="199">
        <f>-T30*T35</f>
        <v>-11171.792808000004</v>
      </c>
    </row>
    <row r="35" spans="2:20" ht="12.9" x14ac:dyDescent="0.35">
      <c r="B35" s="37" t="s">
        <v>62</v>
      </c>
      <c r="E35" s="186">
        <f t="shared" ref="E35:N35" si="29">ABS(E34)/E30</f>
        <v>0.70650660075717453</v>
      </c>
      <c r="F35" s="186">
        <f t="shared" si="29"/>
        <v>0.73231672394043534</v>
      </c>
      <c r="G35" s="186">
        <f t="shared" si="29"/>
        <v>0.75364534336782696</v>
      </c>
      <c r="H35" s="186">
        <f t="shared" si="29"/>
        <v>0.74723914103830824</v>
      </c>
      <c r="I35" s="186">
        <f t="shared" si="29"/>
        <v>0.73520694941236586</v>
      </c>
      <c r="J35" s="186">
        <f t="shared" si="29"/>
        <v>0.75486717176560847</v>
      </c>
      <c r="K35" s="186">
        <f t="shared" si="29"/>
        <v>0.76455902781150731</v>
      </c>
      <c r="L35" s="186">
        <f t="shared" si="29"/>
        <v>0.81936312367541941</v>
      </c>
      <c r="M35" s="186">
        <f t="shared" si="29"/>
        <v>0.7670395410059736</v>
      </c>
      <c r="N35" s="186">
        <f t="shared" si="29"/>
        <v>0.74117636831490374</v>
      </c>
      <c r="P35" s="188">
        <f>AVERAGE(E35:N35)</f>
        <v>0.7521919991089524</v>
      </c>
      <c r="R35" s="183">
        <f>CHOOSE($C$27,R36,R37)</f>
        <v>0.75</v>
      </c>
      <c r="S35" s="183">
        <f>CHOOSE($C$27,S36,S37)</f>
        <v>0.75</v>
      </c>
      <c r="T35" s="183">
        <f>CHOOSE($C$27,T36,T37)</f>
        <v>0.75</v>
      </c>
    </row>
    <row r="36" spans="2:20" ht="12.9" x14ac:dyDescent="0.35">
      <c r="B36" s="185" t="s">
        <v>59</v>
      </c>
      <c r="R36" s="198">
        <v>0.75</v>
      </c>
      <c r="S36" s="198">
        <v>0.75</v>
      </c>
      <c r="T36" s="198">
        <v>0.75</v>
      </c>
    </row>
    <row r="37" spans="2:20" ht="12.9" x14ac:dyDescent="0.35">
      <c r="B37" s="185" t="s">
        <v>60</v>
      </c>
      <c r="R37" s="200">
        <f>R36*1.2</f>
        <v>0.89999999999999991</v>
      </c>
      <c r="S37" s="200">
        <f>S36*1.2</f>
        <v>0.89999999999999991</v>
      </c>
      <c r="T37" s="198">
        <v>0.75</v>
      </c>
    </row>
    <row r="38" spans="2:20" x14ac:dyDescent="0.3">
      <c r="B38" s="181" t="s">
        <v>63</v>
      </c>
      <c r="E38" s="86">
        <f>Financials!E8+Financials!E9</f>
        <v>-647.20000000000016</v>
      </c>
      <c r="F38" s="86">
        <f>Financials!F8+Financials!F9</f>
        <v>-450.5</v>
      </c>
      <c r="G38" s="86">
        <f>Financials!G8+Financials!G9</f>
        <v>-423.80000000000013</v>
      </c>
      <c r="H38" s="86">
        <f>Financials!H8+Financials!H9</f>
        <v>-391.49999999999989</v>
      </c>
      <c r="I38" s="86">
        <f>Financials!I8+Financials!I9</f>
        <v>-685.2</v>
      </c>
      <c r="J38" s="86">
        <f>Financials!J8+Financials!J9</f>
        <v>-631</v>
      </c>
      <c r="K38" s="86">
        <f>Financials!K8+Financials!K9</f>
        <v>-578.00000000000011</v>
      </c>
      <c r="L38" s="86">
        <f>Financials!L8+Financials!L9</f>
        <v>-705.40000000000009</v>
      </c>
      <c r="M38" s="86">
        <f>Financials!M8+Financials!M9</f>
        <v>-830.60000000000014</v>
      </c>
      <c r="N38" s="86">
        <f>Financials!N8+Financials!N9</f>
        <v>-939.8</v>
      </c>
      <c r="R38" s="36">
        <f>-R39*R30</f>
        <v>-885.74640000000022</v>
      </c>
      <c r="S38" s="142">
        <f>-S39*S30</f>
        <v>-965.46357600000033</v>
      </c>
      <c r="T38" s="142">
        <f>-T39*T30</f>
        <v>-1042.7006620800005</v>
      </c>
    </row>
    <row r="39" spans="2:20" ht="12.9" x14ac:dyDescent="0.35">
      <c r="B39" s="37" t="s">
        <v>62</v>
      </c>
      <c r="E39" s="186">
        <f t="shared" ref="E39:N39" si="30">ABS(E38)/E30</f>
        <v>0.1269542360579847</v>
      </c>
      <c r="F39" s="186">
        <f t="shared" si="30"/>
        <v>8.0630727376861402E-2</v>
      </c>
      <c r="G39" s="186">
        <f t="shared" si="30"/>
        <v>5.537263509982232E-2</v>
      </c>
      <c r="H39" s="186">
        <f t="shared" si="30"/>
        <v>4.8963818052203047E-2</v>
      </c>
      <c r="I39" s="186">
        <f t="shared" si="30"/>
        <v>7.7806165900187366E-2</v>
      </c>
      <c r="J39" s="186">
        <f t="shared" si="30"/>
        <v>7.5644960199482109E-2</v>
      </c>
      <c r="K39" s="186">
        <f t="shared" si="30"/>
        <v>5.6147576814353589E-2</v>
      </c>
      <c r="L39" s="186">
        <f t="shared" si="30"/>
        <v>6.3346384568411226E-2</v>
      </c>
      <c r="M39" s="186">
        <f t="shared" si="30"/>
        <v>7.2644900600855378E-2</v>
      </c>
      <c r="N39" s="186">
        <f t="shared" si="30"/>
        <v>8.1699005494123358E-2</v>
      </c>
      <c r="P39" s="188">
        <f>AVERAGE(E39:N39)</f>
        <v>7.3921041016428449E-2</v>
      </c>
      <c r="R39" s="198">
        <v>7.0000000000000007E-2</v>
      </c>
      <c r="S39" s="198">
        <v>7.0000000000000007E-2</v>
      </c>
      <c r="T39" s="198">
        <v>7.0000000000000007E-2</v>
      </c>
    </row>
    <row r="40" spans="2:20" x14ac:dyDescent="0.3">
      <c r="B40" s="83" t="s">
        <v>64</v>
      </c>
      <c r="C40" s="83"/>
      <c r="D40" s="83"/>
      <c r="E40" s="84">
        <f t="shared" ref="E40:N40" si="31">E30+E34+E38</f>
        <v>848.99999999999966</v>
      </c>
      <c r="F40" s="84">
        <f t="shared" si="31"/>
        <v>1045.0999999999999</v>
      </c>
      <c r="G40" s="84">
        <f t="shared" si="31"/>
        <v>1461.6999999999998</v>
      </c>
      <c r="H40" s="84">
        <f t="shared" si="31"/>
        <v>1629.4999999999991</v>
      </c>
      <c r="I40" s="84">
        <f t="shared" si="31"/>
        <v>1646.6999999999996</v>
      </c>
      <c r="J40" s="84">
        <f t="shared" si="31"/>
        <v>1413.8000000000002</v>
      </c>
      <c r="K40" s="84">
        <f t="shared" si="31"/>
        <v>1845.6999999999998</v>
      </c>
      <c r="L40" s="84">
        <f t="shared" si="31"/>
        <v>1306.0999999999999</v>
      </c>
      <c r="M40" s="84">
        <f t="shared" si="31"/>
        <v>1833.0000000000002</v>
      </c>
      <c r="N40" s="84">
        <f t="shared" si="31"/>
        <v>2037.4999999999993</v>
      </c>
      <c r="O40" s="34"/>
      <c r="P40" s="83"/>
      <c r="Q40" s="34"/>
      <c r="R40" s="84">
        <f>R30+R34+R38</f>
        <v>2277.633600000001</v>
      </c>
      <c r="S40" s="84">
        <f>S30+S34+S38</f>
        <v>2482.620624000001</v>
      </c>
      <c r="T40" s="84">
        <f>T30+T34+T38</f>
        <v>2681.2302739200004</v>
      </c>
    </row>
    <row r="41" spans="2:20" x14ac:dyDescent="0.3">
      <c r="B41" t="s">
        <v>65</v>
      </c>
      <c r="E41" s="86">
        <f>Financials!E13+Financials!E11</f>
        <v>-397.29999999999995</v>
      </c>
      <c r="F41" s="86">
        <f>Financials!F13+Financials!F11</f>
        <v>-511.7</v>
      </c>
      <c r="G41" s="86">
        <f>Financials!G13+Financials!G11</f>
        <v>-690.4</v>
      </c>
      <c r="H41" s="86">
        <f>Financials!H13+Financials!H11</f>
        <v>-968.1</v>
      </c>
      <c r="I41" s="86">
        <f>Financials!I13+Financials!I11</f>
        <v>-891</v>
      </c>
      <c r="J41" s="86">
        <f>Financials!J13+Financials!J11</f>
        <v>-916.1</v>
      </c>
      <c r="K41" s="86">
        <f>Financials!K13+Financials!K11</f>
        <v>-938.9</v>
      </c>
      <c r="L41" s="86">
        <f>Financials!L13+Financials!L11</f>
        <v>-1013.3</v>
      </c>
      <c r="M41" s="86">
        <f>Financials!M13+Financials!M11</f>
        <v>-1046.5</v>
      </c>
      <c r="N41" s="86">
        <f>Financials!N13+Financials!N11</f>
        <v>-1110.8</v>
      </c>
      <c r="R41" s="199">
        <f>R42*R58</f>
        <v>-1251.813837036766</v>
      </c>
      <c r="S41" s="199">
        <f>S42*S58</f>
        <v>-1364.4770823700749</v>
      </c>
      <c r="T41" s="199">
        <f>T42*T58</f>
        <v>-1473.6352489596809</v>
      </c>
    </row>
    <row r="42" spans="2:20" ht="12.9" x14ac:dyDescent="0.35">
      <c r="B42" s="37" t="s">
        <v>66</v>
      </c>
      <c r="E42" s="186">
        <f t="shared" ref="E42:N42" si="32">ABS(E41)/ABS(E58)</f>
        <v>3.0918287937743187</v>
      </c>
      <c r="F42" s="186">
        <f t="shared" si="32"/>
        <v>3.1921397379912659</v>
      </c>
      <c r="G42" s="186">
        <f t="shared" si="32"/>
        <v>3.2216518898740083</v>
      </c>
      <c r="H42" s="186">
        <f t="shared" si="32"/>
        <v>3.8204419889502761</v>
      </c>
      <c r="I42" s="186">
        <f t="shared" si="32"/>
        <v>3.13953488372093</v>
      </c>
      <c r="J42" s="186">
        <f t="shared" si="32"/>
        <v>3.2941387989931679</v>
      </c>
      <c r="K42" s="186">
        <f t="shared" si="32"/>
        <v>2.9618296529968453</v>
      </c>
      <c r="L42" s="186">
        <f t="shared" si="32"/>
        <v>2.7006929637526653</v>
      </c>
      <c r="M42" s="186">
        <f t="shared" si="32"/>
        <v>2.4473807296538821</v>
      </c>
      <c r="N42" s="186">
        <f t="shared" si="32"/>
        <v>2.4483138637866433</v>
      </c>
      <c r="P42" s="201">
        <f>AVERAGE(E42:N42)</f>
        <v>3.0317953303494005</v>
      </c>
      <c r="R42" s="198">
        <f>AVERAGE(I42:N42)</f>
        <v>2.8319818154840224</v>
      </c>
      <c r="S42" s="198">
        <f>R42</f>
        <v>2.8319818154840224</v>
      </c>
      <c r="T42" s="198">
        <f>S42</f>
        <v>2.8319818154840224</v>
      </c>
    </row>
    <row r="43" spans="2:20" x14ac:dyDescent="0.3">
      <c r="B43" s="83" t="s">
        <v>67</v>
      </c>
      <c r="C43" s="83"/>
      <c r="D43" s="83"/>
      <c r="E43" s="84">
        <f t="shared" ref="E43:N43" si="33">E40+E41</f>
        <v>451.6999999999997</v>
      </c>
      <c r="F43" s="84">
        <f t="shared" si="33"/>
        <v>533.39999999999986</v>
      </c>
      <c r="G43" s="84">
        <f t="shared" si="33"/>
        <v>771.29999999999984</v>
      </c>
      <c r="H43" s="84">
        <f t="shared" si="33"/>
        <v>661.39999999999907</v>
      </c>
      <c r="I43" s="84">
        <f t="shared" si="33"/>
        <v>755.69999999999959</v>
      </c>
      <c r="J43" s="84">
        <f t="shared" si="33"/>
        <v>497.70000000000016</v>
      </c>
      <c r="K43" s="84">
        <f t="shared" si="33"/>
        <v>906.79999999999984</v>
      </c>
      <c r="L43" s="84">
        <f t="shared" si="33"/>
        <v>292.79999999999995</v>
      </c>
      <c r="M43" s="84">
        <f t="shared" si="33"/>
        <v>786.50000000000023</v>
      </c>
      <c r="N43" s="84">
        <f t="shared" si="33"/>
        <v>926.69999999999936</v>
      </c>
      <c r="O43" s="34"/>
      <c r="P43" s="83"/>
      <c r="Q43" s="34"/>
      <c r="R43" s="84">
        <f>R40+R41</f>
        <v>1025.819762963235</v>
      </c>
      <c r="S43" s="84">
        <f>S40+S41</f>
        <v>1118.1435416299262</v>
      </c>
      <c r="T43" s="84">
        <f>T40+T41</f>
        <v>1207.5950249603195</v>
      </c>
    </row>
    <row r="44" spans="2:20" x14ac:dyDescent="0.3">
      <c r="B44" t="s">
        <v>68</v>
      </c>
      <c r="E44" s="86">
        <f>Financials!E15</f>
        <v>-45.7</v>
      </c>
      <c r="F44" s="86">
        <f>Financials!F15</f>
        <v>-50.9</v>
      </c>
      <c r="G44" s="86">
        <f>Financials!G15</f>
        <v>-53.2</v>
      </c>
      <c r="H44" s="86">
        <f>Financials!H15</f>
        <v>-63.6</v>
      </c>
      <c r="I44" s="86">
        <f>Financials!I15</f>
        <v>-53.8</v>
      </c>
      <c r="J44" s="86">
        <f>Financials!J15</f>
        <v>-40.799999999999997</v>
      </c>
      <c r="K44" s="86">
        <f>Financials!K15</f>
        <v>-15.7</v>
      </c>
      <c r="L44" s="86">
        <f>Financials!L15</f>
        <v>-34.1</v>
      </c>
      <c r="M44" s="86">
        <f>Financials!M15</f>
        <v>-138.80000000000001</v>
      </c>
      <c r="N44" s="86">
        <f>Financials!N15</f>
        <v>-173</v>
      </c>
      <c r="R44" s="199">
        <f>R89</f>
        <v>-241.63749999999999</v>
      </c>
      <c r="S44" s="199">
        <f t="shared" ref="S44:T44" si="34">S89</f>
        <v>-241.63749999999999</v>
      </c>
      <c r="T44" s="199">
        <f t="shared" si="34"/>
        <v>-241.63749999999999</v>
      </c>
    </row>
    <row r="45" spans="2:20" ht="12.9" x14ac:dyDescent="0.35">
      <c r="B45" s="37" t="s">
        <v>69</v>
      </c>
      <c r="E45" s="186">
        <f>ABS(E44)/E82</f>
        <v>2.4964492516114937E-2</v>
      </c>
      <c r="F45" s="186">
        <f>ABS(F44)/F82</f>
        <v>1.1724328557608143E-2</v>
      </c>
      <c r="G45" s="186">
        <f>ABS(G44)/G82</f>
        <v>1.4340782273499204E-2</v>
      </c>
      <c r="H45" s="186">
        <f>ABS(H44)/H82</f>
        <v>1.3366960907944515E-2</v>
      </c>
      <c r="I45" s="186">
        <f>ABS(I44)/I82</f>
        <v>1.04094110362975E-2</v>
      </c>
      <c r="J45" s="186">
        <f>ABS(J44)/J82</f>
        <v>8.8568575522077024E-3</v>
      </c>
      <c r="K45" s="186">
        <f>ABS(K44)/K82</f>
        <v>3.3862479509964628E-3</v>
      </c>
      <c r="L45" s="186">
        <f>ABS(L44)/L82</f>
        <v>5.7058715258604814E-3</v>
      </c>
      <c r="M45" s="186">
        <f>ABS(M44)/M82</f>
        <v>2.2102614732953284E-2</v>
      </c>
      <c r="N45" s="186">
        <f>ABS(N44)/N82</f>
        <v>2.5246997358551144E-2</v>
      </c>
      <c r="P45" s="201">
        <f>AVERAGE(E45:N45)</f>
        <v>1.4010456441203337E-2</v>
      </c>
      <c r="R45" s="235">
        <f>ABS(R44)/R83</f>
        <v>2.7296578290387809E-2</v>
      </c>
      <c r="S45" s="235">
        <f t="shared" ref="S45:T45" si="35">ABS(S44)/S83</f>
        <v>2.7296578290387809E-2</v>
      </c>
      <c r="T45" s="235">
        <f t="shared" si="35"/>
        <v>2.7296578290387809E-2</v>
      </c>
    </row>
    <row r="46" spans="2:20" x14ac:dyDescent="0.3">
      <c r="B46" t="s">
        <v>70</v>
      </c>
      <c r="E46" s="86">
        <f>Financials!E17</f>
        <v>-109.2</v>
      </c>
      <c r="F46" s="86">
        <f>Financials!F17</f>
        <v>-93.1</v>
      </c>
      <c r="G46" s="86">
        <f>Financials!G17</f>
        <v>-41.9</v>
      </c>
      <c r="H46" s="86">
        <f>Financials!H17</f>
        <v>-143.69999999999999</v>
      </c>
      <c r="I46" s="86">
        <f>Financials!I17</f>
        <v>-176.8</v>
      </c>
      <c r="J46" s="86">
        <f>Financials!J17</f>
        <v>-90.7</v>
      </c>
      <c r="K46" s="86">
        <f>Financials!K17</f>
        <v>-191.7</v>
      </c>
      <c r="L46" s="86">
        <f>Financials!L17</f>
        <v>-32.200000000000003</v>
      </c>
      <c r="M46" s="86">
        <f>Financials!M17</f>
        <v>-145.4</v>
      </c>
      <c r="N46" s="86">
        <f>Financials!N17</f>
        <v>-220.5</v>
      </c>
      <c r="R46" s="142">
        <f>-R47*(R43-R44)</f>
        <v>-378.96972162600724</v>
      </c>
      <c r="S46" s="142">
        <f>-S47*(S43-S44)</f>
        <v>-406.57453144734791</v>
      </c>
      <c r="T46" s="142">
        <f>-T47*(T43-T44)</f>
        <v>-433.32052496313554</v>
      </c>
    </row>
    <row r="47" spans="2:20" ht="12.9" x14ac:dyDescent="0.35">
      <c r="B47" s="37" t="s">
        <v>71</v>
      </c>
      <c r="E47" s="186">
        <f t="shared" ref="E47:N47" si="36">ABS(E46)/(E43+E44)</f>
        <v>0.26896551724137951</v>
      </c>
      <c r="F47" s="186">
        <f t="shared" si="36"/>
        <v>0.19295336787564771</v>
      </c>
      <c r="G47" s="186">
        <f t="shared" si="36"/>
        <v>5.8348419440189404E-2</v>
      </c>
      <c r="H47" s="186">
        <f t="shared" si="36"/>
        <v>0.24038139846102413</v>
      </c>
      <c r="I47" s="186">
        <f t="shared" si="36"/>
        <v>0.25188773329534137</v>
      </c>
      <c r="J47" s="186">
        <f t="shared" si="36"/>
        <v>0.19851170934558979</v>
      </c>
      <c r="K47" s="186">
        <f t="shared" si="36"/>
        <v>0.21512737066546969</v>
      </c>
      <c r="L47" s="186">
        <f t="shared" si="36"/>
        <v>0.12446849632779286</v>
      </c>
      <c r="M47" s="186">
        <f t="shared" si="36"/>
        <v>0.22448664505172139</v>
      </c>
      <c r="N47" s="186">
        <f t="shared" si="36"/>
        <v>0.29255672018044337</v>
      </c>
      <c r="P47" s="201">
        <f>AVERAGE(E47:N47)</f>
        <v>0.20676873778845989</v>
      </c>
      <c r="R47" s="212">
        <v>0.29899999999999999</v>
      </c>
      <c r="S47" s="212">
        <v>0.29899999999999999</v>
      </c>
      <c r="T47" s="212">
        <v>0.29899999999999999</v>
      </c>
    </row>
    <row r="48" spans="2:20" x14ac:dyDescent="0.3">
      <c r="B48" s="83" t="s">
        <v>72</v>
      </c>
      <c r="C48" s="83"/>
      <c r="D48" s="83"/>
      <c r="E48" s="84">
        <f t="shared" ref="E48:N48" si="37">E46+E44+E43</f>
        <v>296.79999999999973</v>
      </c>
      <c r="F48" s="84">
        <f t="shared" si="37"/>
        <v>389.39999999999986</v>
      </c>
      <c r="G48" s="84">
        <f t="shared" si="37"/>
        <v>676.19999999999982</v>
      </c>
      <c r="H48" s="84">
        <f t="shared" si="37"/>
        <v>454.09999999999911</v>
      </c>
      <c r="I48" s="84">
        <f t="shared" si="37"/>
        <v>525.09999999999957</v>
      </c>
      <c r="J48" s="84">
        <f t="shared" si="37"/>
        <v>366.20000000000016</v>
      </c>
      <c r="K48" s="84">
        <f t="shared" si="37"/>
        <v>699.39999999999986</v>
      </c>
      <c r="L48" s="84">
        <f t="shared" si="37"/>
        <v>226.49999999999994</v>
      </c>
      <c r="M48" s="84">
        <f t="shared" si="37"/>
        <v>502.30000000000018</v>
      </c>
      <c r="N48" s="84">
        <f t="shared" si="37"/>
        <v>533.19999999999936</v>
      </c>
      <c r="O48" s="34"/>
      <c r="P48" s="83"/>
      <c r="Q48" s="34"/>
      <c r="R48" s="84">
        <f>R46+R44+R43</f>
        <v>405.21254133722778</v>
      </c>
      <c r="S48" s="84">
        <f>S46+S44+S43</f>
        <v>469.93151018257822</v>
      </c>
      <c r="T48" s="84">
        <f>T46+T44+T43</f>
        <v>532.63699999718392</v>
      </c>
    </row>
    <row r="49" spans="2:20" x14ac:dyDescent="0.3">
      <c r="B49" t="s">
        <v>73</v>
      </c>
      <c r="E49" s="86">
        <f>Financials!E19</f>
        <v>-79.8</v>
      </c>
      <c r="F49" s="86">
        <f>Financials!F19</f>
        <v>-143.79999999999998</v>
      </c>
      <c r="G49" s="86">
        <f>Financials!G19</f>
        <v>-251.4</v>
      </c>
      <c r="H49" s="86">
        <f>Financials!H19</f>
        <v>-54.29999999999999</v>
      </c>
      <c r="I49" s="86">
        <f>Financials!I19</f>
        <v>-70.300000000000026</v>
      </c>
      <c r="J49" s="86">
        <f>Financials!J19</f>
        <v>-150.9</v>
      </c>
      <c r="K49" s="86">
        <f>Financials!K19</f>
        <v>-131.1</v>
      </c>
      <c r="L49" s="86">
        <f>Financials!L19</f>
        <v>-128.50000000000003</v>
      </c>
      <c r="M49" s="86">
        <f>Financials!M19</f>
        <v>-196.49999999999997</v>
      </c>
      <c r="N49" s="86">
        <f>Financials!N19</f>
        <v>-172.79999999999998</v>
      </c>
      <c r="R49" s="199">
        <v>0</v>
      </c>
      <c r="S49" s="199">
        <v>0</v>
      </c>
      <c r="T49" s="199">
        <v>0</v>
      </c>
    </row>
    <row r="50" spans="2:20" x14ac:dyDescent="0.3">
      <c r="B50" s="83" t="s">
        <v>74</v>
      </c>
      <c r="C50" s="83"/>
      <c r="D50" s="83"/>
      <c r="E50" s="84">
        <f t="shared" ref="E50:N50" si="38">E48+E49</f>
        <v>216.99999999999972</v>
      </c>
      <c r="F50" s="84">
        <f t="shared" si="38"/>
        <v>245.59999999999988</v>
      </c>
      <c r="G50" s="84">
        <f t="shared" si="38"/>
        <v>424.79999999999984</v>
      </c>
      <c r="H50" s="84">
        <f t="shared" si="38"/>
        <v>399.7999999999991</v>
      </c>
      <c r="I50" s="84">
        <f t="shared" si="38"/>
        <v>454.79999999999956</v>
      </c>
      <c r="J50" s="84">
        <f t="shared" si="38"/>
        <v>215.30000000000015</v>
      </c>
      <c r="K50" s="84">
        <f t="shared" si="38"/>
        <v>568.29999999999984</v>
      </c>
      <c r="L50" s="84">
        <f t="shared" si="38"/>
        <v>97.999999999999915</v>
      </c>
      <c r="M50" s="84">
        <f t="shared" si="38"/>
        <v>305.80000000000018</v>
      </c>
      <c r="N50" s="84">
        <f t="shared" si="38"/>
        <v>360.39999999999941</v>
      </c>
      <c r="O50" s="34"/>
      <c r="P50" s="83"/>
      <c r="Q50" s="34"/>
      <c r="R50" s="84">
        <f>R48+R49</f>
        <v>405.21254133722778</v>
      </c>
      <c r="S50" s="84">
        <f>S48+S49</f>
        <v>469.93151018257822</v>
      </c>
      <c r="T50" s="84">
        <f>T48+T49</f>
        <v>532.63699999718392</v>
      </c>
    </row>
    <row r="51" spans="2:20" x14ac:dyDescent="0.3">
      <c r="E51" s="36"/>
      <c r="F51" s="36"/>
      <c r="G51" s="36"/>
      <c r="H51" s="36"/>
      <c r="I51" s="36"/>
      <c r="J51" s="36"/>
      <c r="K51" s="36"/>
      <c r="L51" s="36"/>
      <c r="M51" s="36"/>
      <c r="N51" s="36"/>
    </row>
    <row r="52" spans="2:20" x14ac:dyDescent="0.3">
      <c r="B52" s="189" t="s">
        <v>75</v>
      </c>
      <c r="C52" s="190"/>
      <c r="D52" s="190"/>
      <c r="E52" s="191">
        <f>BS!D159</f>
        <v>99.6</v>
      </c>
      <c r="F52" s="191">
        <f>BS!E159</f>
        <v>109.56</v>
      </c>
      <c r="G52" s="191">
        <f>BS!F159</f>
        <v>118.93</v>
      </c>
      <c r="H52" s="191">
        <f>BS!G159</f>
        <v>118.93</v>
      </c>
      <c r="I52" s="191">
        <f>BS!H159</f>
        <v>118.93</v>
      </c>
      <c r="J52" s="191">
        <f>BS!I159</f>
        <v>131.19999999999999</v>
      </c>
      <c r="K52" s="191">
        <f>BS!J159</f>
        <v>131.19999999999999</v>
      </c>
      <c r="L52" s="191">
        <f>BS!K159</f>
        <v>131.19999999999999</v>
      </c>
      <c r="M52" s="191">
        <f>BS!L159</f>
        <v>131.19999999999999</v>
      </c>
      <c r="N52" s="192">
        <f>BS!M159</f>
        <v>131.19999999999999</v>
      </c>
      <c r="R52" s="204">
        <f>$N$52</f>
        <v>131.19999999999999</v>
      </c>
      <c r="S52" s="202">
        <f>$N$52</f>
        <v>131.19999999999999</v>
      </c>
      <c r="T52" s="205">
        <f>$N$52</f>
        <v>131.19999999999999</v>
      </c>
    </row>
    <row r="53" spans="2:20" x14ac:dyDescent="0.3">
      <c r="B53" s="193" t="s">
        <v>76</v>
      </c>
      <c r="C53" s="194"/>
      <c r="D53" s="194"/>
      <c r="E53" s="195">
        <f t="shared" ref="E53:N53" si="39">E50/E52</f>
        <v>2.1787148594377483</v>
      </c>
      <c r="F53" s="195">
        <f t="shared" si="39"/>
        <v>2.2416940489229633</v>
      </c>
      <c r="G53" s="195">
        <f t="shared" si="39"/>
        <v>3.571848986798956</v>
      </c>
      <c r="H53" s="195">
        <f t="shared" si="39"/>
        <v>3.361641301605979</v>
      </c>
      <c r="I53" s="195">
        <f t="shared" si="39"/>
        <v>3.824098209030518</v>
      </c>
      <c r="J53" s="195">
        <f t="shared" si="39"/>
        <v>1.6410060975609768</v>
      </c>
      <c r="K53" s="195">
        <f t="shared" si="39"/>
        <v>4.33155487804878</v>
      </c>
      <c r="L53" s="195">
        <f t="shared" si="39"/>
        <v>0.74695121951219456</v>
      </c>
      <c r="M53" s="195">
        <f t="shared" si="39"/>
        <v>2.3307926829268308</v>
      </c>
      <c r="N53" s="196">
        <f t="shared" si="39"/>
        <v>2.7469512195121908</v>
      </c>
      <c r="R53" s="206">
        <f>R50/R52</f>
        <v>3.0885102236069195</v>
      </c>
      <c r="S53" s="203">
        <f>S50/S52</f>
        <v>3.5817950471233098</v>
      </c>
      <c r="T53" s="207">
        <f>T50/T52</f>
        <v>4.0597332316858532</v>
      </c>
    </row>
    <row r="55" spans="2:20" x14ac:dyDescent="0.3">
      <c r="B55" s="31" t="s">
        <v>77</v>
      </c>
      <c r="C55" s="31"/>
      <c r="D55" s="31"/>
      <c r="E55" s="35">
        <v>2015</v>
      </c>
      <c r="F55" s="35">
        <f t="shared" ref="F55:N55" si="40">+E55+1</f>
        <v>2016</v>
      </c>
      <c r="G55" s="35">
        <f t="shared" si="40"/>
        <v>2017</v>
      </c>
      <c r="H55" s="35">
        <f t="shared" si="40"/>
        <v>2018</v>
      </c>
      <c r="I55" s="35">
        <f t="shared" si="40"/>
        <v>2019</v>
      </c>
      <c r="J55" s="35">
        <f t="shared" si="40"/>
        <v>2020</v>
      </c>
      <c r="K55" s="35">
        <f t="shared" si="40"/>
        <v>2021</v>
      </c>
      <c r="L55" s="35">
        <f t="shared" si="40"/>
        <v>2022</v>
      </c>
      <c r="M55" s="35">
        <f t="shared" si="40"/>
        <v>2023</v>
      </c>
      <c r="N55" s="35">
        <f t="shared" si="40"/>
        <v>2024</v>
      </c>
      <c r="P55" s="35" t="s">
        <v>56</v>
      </c>
      <c r="R55" s="184">
        <f>N55+1</f>
        <v>2025</v>
      </c>
      <c r="S55" s="184">
        <f>R55+1</f>
        <v>2026</v>
      </c>
      <c r="T55" s="184">
        <f>S55+1</f>
        <v>2027</v>
      </c>
    </row>
    <row r="56" spans="2:20" x14ac:dyDescent="0.3">
      <c r="B56" t="s">
        <v>78</v>
      </c>
      <c r="E56" s="86">
        <f>Financials!E25</f>
        <v>424.3</v>
      </c>
      <c r="F56" s="86">
        <f>Financials!F25</f>
        <v>332.4</v>
      </c>
      <c r="G56" s="86">
        <f>Financials!G25</f>
        <v>554.20000000000005</v>
      </c>
      <c r="H56" s="86">
        <f>Financials!H25</f>
        <v>620.29999999999995</v>
      </c>
      <c r="I56" s="86">
        <f>Financials!I25</f>
        <v>694.6</v>
      </c>
      <c r="J56" s="86">
        <f>Financials!J25</f>
        <v>349.2</v>
      </c>
      <c r="K56" s="86">
        <f>Financials!K25</f>
        <v>710.2</v>
      </c>
      <c r="L56" s="86">
        <f>Financials!L25</f>
        <v>-518.4</v>
      </c>
      <c r="M56" s="86">
        <f>Financials!M25</f>
        <v>928.6</v>
      </c>
      <c r="N56" s="86">
        <f>Financials!N25</f>
        <v>1089.5999999999999</v>
      </c>
      <c r="R56" s="142">
        <f>R57*R48</f>
        <v>526.77630373839611</v>
      </c>
      <c r="S56" s="142">
        <f>S57*S48</f>
        <v>610.91096323735167</v>
      </c>
      <c r="T56" s="142">
        <f>T57*T48</f>
        <v>692.42809999633914</v>
      </c>
    </row>
    <row r="57" spans="2:20" ht="12.9" x14ac:dyDescent="0.35">
      <c r="B57" s="37" t="s">
        <v>79</v>
      </c>
      <c r="E57" s="186">
        <f t="shared" ref="E57:N57" si="41">E56/E48</f>
        <v>1.429582210242589</v>
      </c>
      <c r="F57" s="186">
        <f t="shared" si="41"/>
        <v>0.85362095531587079</v>
      </c>
      <c r="G57" s="186">
        <f t="shared" si="41"/>
        <v>0.81958000591540991</v>
      </c>
      <c r="H57" s="186">
        <f t="shared" si="41"/>
        <v>1.3659986787051337</v>
      </c>
      <c r="I57" s="186">
        <f t="shared" si="41"/>
        <v>1.3227956579699116</v>
      </c>
      <c r="J57" s="186">
        <f t="shared" si="41"/>
        <v>0.95357728017476739</v>
      </c>
      <c r="K57" s="186">
        <f t="shared" si="41"/>
        <v>1.0154418072633689</v>
      </c>
      <c r="L57" s="186">
        <f t="shared" si="41"/>
        <v>-2.2887417218543051</v>
      </c>
      <c r="M57" s="186">
        <f t="shared" si="41"/>
        <v>1.8486959984073257</v>
      </c>
      <c r="N57" s="186">
        <f t="shared" si="41"/>
        <v>2.0435108777194322</v>
      </c>
      <c r="P57" s="165">
        <f>(N57+M57+K57+J57+I57+H57+G57+F57+E57)/9</f>
        <v>1.2947559413015344</v>
      </c>
      <c r="R57" s="198">
        <v>1.3</v>
      </c>
      <c r="S57" s="198">
        <v>1.3</v>
      </c>
      <c r="T57" s="198">
        <v>1.3</v>
      </c>
    </row>
    <row r="58" spans="2:20" x14ac:dyDescent="0.3">
      <c r="B58" t="s">
        <v>80</v>
      </c>
      <c r="E58" s="86">
        <f>Financials!E26</f>
        <v>-128.5</v>
      </c>
      <c r="F58" s="86">
        <f>Financials!F26</f>
        <v>-160.30000000000001</v>
      </c>
      <c r="G58" s="86">
        <f>Financials!G26</f>
        <v>-214.3</v>
      </c>
      <c r="H58" s="86">
        <f>Financials!H26</f>
        <v>-253.4</v>
      </c>
      <c r="I58" s="86">
        <f>Financials!I26</f>
        <v>-283.8</v>
      </c>
      <c r="J58" s="86">
        <f>Financials!J26</f>
        <v>-278.10000000000002</v>
      </c>
      <c r="K58" s="86">
        <f>Financials!K26</f>
        <v>-317</v>
      </c>
      <c r="L58" s="86">
        <f>Financials!L26</f>
        <v>-375.2</v>
      </c>
      <c r="M58" s="86">
        <f>Financials!M26</f>
        <v>-427.6</v>
      </c>
      <c r="N58" s="86">
        <f>Financials!N26</f>
        <v>-453.7</v>
      </c>
      <c r="R58" s="199">
        <f>-R59*R30</f>
        <v>-442.02749826725665</v>
      </c>
      <c r="S58" s="199">
        <f>-S59*S30</f>
        <v>-481.80997311130972</v>
      </c>
      <c r="T58" s="199">
        <f>-T59*T30</f>
        <v>-520.35477096021452</v>
      </c>
    </row>
    <row r="59" spans="2:20" ht="12.9" x14ac:dyDescent="0.35">
      <c r="B59" s="182" t="s">
        <v>81</v>
      </c>
      <c r="E59" s="186">
        <f t="shared" ref="E59:N59" si="42">ABS(E58)/E30</f>
        <v>2.5206457560956474E-2</v>
      </c>
      <c r="F59" s="186">
        <f t="shared" si="42"/>
        <v>2.8690578465063003E-2</v>
      </c>
      <c r="G59" s="186">
        <f t="shared" si="42"/>
        <v>2.7999895474025295E-2</v>
      </c>
      <c r="H59" s="186">
        <f t="shared" si="42"/>
        <v>3.1692034468526836E-2</v>
      </c>
      <c r="I59" s="186">
        <f t="shared" si="42"/>
        <v>3.2226196559359564E-2</v>
      </c>
      <c r="J59" s="186">
        <f t="shared" si="42"/>
        <v>3.3338927783638631E-2</v>
      </c>
      <c r="K59" s="186">
        <f t="shared" si="42"/>
        <v>3.0793740225173158E-2</v>
      </c>
      <c r="L59" s="186">
        <f t="shared" si="42"/>
        <v>3.3693738999245659E-2</v>
      </c>
      <c r="M59" s="186">
        <f t="shared" si="42"/>
        <v>3.7398217549874491E-2</v>
      </c>
      <c r="N59" s="186">
        <f t="shared" si="42"/>
        <v>3.9441198970721188E-2</v>
      </c>
      <c r="P59" s="165">
        <f>AVERAGE(E59:N59)</f>
        <v>3.204809860565843E-2</v>
      </c>
      <c r="R59" s="198">
        <f>AVERAGE(J59:N59)</f>
        <v>3.4933164705730622E-2</v>
      </c>
      <c r="S59" s="198">
        <f>R59</f>
        <v>3.4933164705730622E-2</v>
      </c>
      <c r="T59" s="198">
        <f>S59</f>
        <v>3.4933164705730622E-2</v>
      </c>
    </row>
    <row r="60" spans="2:20" x14ac:dyDescent="0.3">
      <c r="B60" t="s">
        <v>82</v>
      </c>
      <c r="E60" s="86">
        <f>Financials!E27</f>
        <v>-223.9</v>
      </c>
      <c r="F60" s="86">
        <f>Financials!F27</f>
        <v>1744</v>
      </c>
      <c r="G60" s="86">
        <f>Financials!G27</f>
        <v>-914.7</v>
      </c>
      <c r="H60" s="86">
        <f>Financials!H27</f>
        <v>-230.9</v>
      </c>
      <c r="I60" s="86">
        <f>Financials!I27</f>
        <v>-226.1</v>
      </c>
      <c r="J60" s="86">
        <f>Financials!J27</f>
        <v>-609.5</v>
      </c>
      <c r="K60" s="86">
        <f>Financials!K27</f>
        <v>-148.80000000000001</v>
      </c>
      <c r="L60" s="86">
        <f>Financials!L27</f>
        <v>942.4</v>
      </c>
      <c r="M60" s="86">
        <f>Financials!M27</f>
        <v>-474.2</v>
      </c>
      <c r="N60" s="86">
        <f>Financials!N27</f>
        <v>23.6</v>
      </c>
      <c r="R60" s="227">
        <f>P81</f>
        <v>2000</v>
      </c>
      <c r="S60" s="223">
        <v>0</v>
      </c>
      <c r="T60" s="223">
        <v>0</v>
      </c>
    </row>
    <row r="61" spans="2:20" ht="12.9" x14ac:dyDescent="0.35">
      <c r="B61" s="182" t="s">
        <v>83</v>
      </c>
      <c r="E61" s="186">
        <f>E60/E82</f>
        <v>-0.12230962525947778</v>
      </c>
      <c r="F61" s="186">
        <f>F60/F82</f>
        <v>0.40171373289722206</v>
      </c>
      <c r="G61" s="186">
        <f>G60/G82</f>
        <v>-0.24656980348815266</v>
      </c>
      <c r="H61" s="186">
        <f>H60/H82</f>
        <v>-4.8528793610760824E-2</v>
      </c>
      <c r="I61" s="186">
        <f>I60/I82</f>
        <v>-4.3746614039161059E-2</v>
      </c>
      <c r="J61" s="186">
        <f>J60/J82</f>
        <v>-0.13231016367820086</v>
      </c>
      <c r="K61" s="186">
        <f>K60/K82</f>
        <v>-3.2093865930463296E-2</v>
      </c>
      <c r="L61" s="186">
        <f>L60/L82</f>
        <v>0.15768954035105329</v>
      </c>
      <c r="M61" s="186">
        <f>M60/M82</f>
        <v>-7.5511958979585347E-2</v>
      </c>
      <c r="N61" s="186">
        <f>N60/N82</f>
        <v>3.4440990616289423E-3</v>
      </c>
      <c r="P61" s="165">
        <f>AVERAGE(E61:N61)</f>
        <v>-1.3822345267589756E-2</v>
      </c>
      <c r="R61" s="211"/>
      <c r="S61" s="198"/>
      <c r="T61" s="198"/>
    </row>
    <row r="62" spans="2:20" x14ac:dyDescent="0.3">
      <c r="B62" s="83" t="s">
        <v>84</v>
      </c>
      <c r="C62" s="83"/>
      <c r="D62" s="83"/>
      <c r="E62" s="208">
        <f t="shared" ref="E62:N62" si="43">E56+E58+E60</f>
        <v>71.900000000000006</v>
      </c>
      <c r="F62" s="208">
        <f t="shared" si="43"/>
        <v>1916.1</v>
      </c>
      <c r="G62" s="208">
        <f t="shared" si="43"/>
        <v>-574.79999999999995</v>
      </c>
      <c r="H62" s="208">
        <f t="shared" si="43"/>
        <v>135.99999999999997</v>
      </c>
      <c r="I62" s="208">
        <f t="shared" si="43"/>
        <v>184.70000000000002</v>
      </c>
      <c r="J62" s="208">
        <f t="shared" si="43"/>
        <v>-538.40000000000009</v>
      </c>
      <c r="K62" s="208">
        <f t="shared" si="43"/>
        <v>244.40000000000003</v>
      </c>
      <c r="L62" s="208">
        <f t="shared" si="43"/>
        <v>48.800000000000068</v>
      </c>
      <c r="M62" s="208">
        <f t="shared" si="43"/>
        <v>26.800000000000011</v>
      </c>
      <c r="N62" s="208">
        <f t="shared" si="43"/>
        <v>659.49999999999989</v>
      </c>
      <c r="R62" s="208">
        <f>R56+R58+R60</f>
        <v>2084.7488054711393</v>
      </c>
      <c r="S62" s="208">
        <f>S56+S58+S60</f>
        <v>129.10099012604195</v>
      </c>
      <c r="T62" s="208">
        <f>T56+T58+T60</f>
        <v>172.07332903612462</v>
      </c>
    </row>
    <row r="64" spans="2:20" x14ac:dyDescent="0.3">
      <c r="B64" t="s">
        <v>85</v>
      </c>
      <c r="E64" s="86">
        <f>CF!B81</f>
        <v>76</v>
      </c>
      <c r="F64" s="86">
        <f>CF!C81</f>
        <v>86.9</v>
      </c>
      <c r="G64" s="86">
        <f>CF!D81</f>
        <v>116.7</v>
      </c>
      <c r="H64" s="86">
        <f>CF!E81</f>
        <v>141.5</v>
      </c>
      <c r="I64" s="86">
        <f>CF!F81</f>
        <v>153.4</v>
      </c>
      <c r="J64" s="86">
        <f>CF!G81</f>
        <v>53.7</v>
      </c>
      <c r="K64" s="86">
        <f>CF!H81</f>
        <v>196.7</v>
      </c>
      <c r="L64" s="86">
        <f>CF!I81</f>
        <v>24.9</v>
      </c>
      <c r="M64" s="86">
        <f>CF!J81</f>
        <v>91.8</v>
      </c>
      <c r="N64" s="86">
        <f>CF!K81</f>
        <v>107.5</v>
      </c>
      <c r="R64" s="210">
        <v>2000</v>
      </c>
      <c r="S64" s="226">
        <f>S62*S67</f>
        <v>103.28079210083357</v>
      </c>
      <c r="T64" s="226">
        <f t="shared" ref="T64" si="44">T62*T67</f>
        <v>137.65866322889971</v>
      </c>
    </row>
    <row r="65" spans="2:31" x14ac:dyDescent="0.3">
      <c r="B65" t="s">
        <v>86</v>
      </c>
      <c r="E65" s="86">
        <f>CF!B77</f>
        <v>-0.4</v>
      </c>
      <c r="F65" s="86">
        <f>CF!C77</f>
        <v>-457.1</v>
      </c>
      <c r="G65" s="86">
        <f>CF!D77</f>
        <v>-596.6</v>
      </c>
      <c r="H65" s="86">
        <f>CF!E77</f>
        <v>1.9</v>
      </c>
      <c r="I65" s="86">
        <f>CF!F77</f>
        <v>-0.8</v>
      </c>
      <c r="J65" s="86">
        <f>CF!G77</f>
        <v>-813.6</v>
      </c>
      <c r="K65" s="86">
        <f>CF!H77</f>
        <v>0</v>
      </c>
      <c r="L65" s="86">
        <f>CF!I77</f>
        <v>0</v>
      </c>
      <c r="M65" s="86">
        <f>CF!J77</f>
        <v>0</v>
      </c>
      <c r="N65" s="86">
        <f>CF!K77</f>
        <v>0</v>
      </c>
      <c r="R65" s="226">
        <v>0</v>
      </c>
      <c r="S65" s="226">
        <v>0</v>
      </c>
      <c r="T65" s="226">
        <v>0</v>
      </c>
    </row>
    <row r="66" spans="2:31" x14ac:dyDescent="0.3">
      <c r="B66" s="83" t="s">
        <v>87</v>
      </c>
      <c r="C66" s="85"/>
      <c r="D66" s="85"/>
      <c r="E66" s="84">
        <f t="shared" ref="E66:N66" si="45">E64+E65</f>
        <v>75.599999999999994</v>
      </c>
      <c r="F66" s="84">
        <f t="shared" si="45"/>
        <v>-370.20000000000005</v>
      </c>
      <c r="G66" s="84">
        <f t="shared" si="45"/>
        <v>-479.90000000000003</v>
      </c>
      <c r="H66" s="84">
        <f t="shared" si="45"/>
        <v>143.4</v>
      </c>
      <c r="I66" s="84">
        <f t="shared" si="45"/>
        <v>152.6</v>
      </c>
      <c r="J66" s="84">
        <f t="shared" si="45"/>
        <v>-759.9</v>
      </c>
      <c r="K66" s="84">
        <f t="shared" si="45"/>
        <v>196.7</v>
      </c>
      <c r="L66" s="84">
        <f t="shared" si="45"/>
        <v>24.9</v>
      </c>
      <c r="M66" s="84">
        <f t="shared" si="45"/>
        <v>91.8</v>
      </c>
      <c r="N66" s="84">
        <f t="shared" si="45"/>
        <v>107.5</v>
      </c>
      <c r="R66" s="84">
        <f>R64+R65</f>
        <v>2000</v>
      </c>
      <c r="S66" s="84">
        <f>S64+S65</f>
        <v>103.28079210083357</v>
      </c>
      <c r="T66" s="84">
        <f>T64+T65</f>
        <v>137.65866322889971</v>
      </c>
    </row>
    <row r="67" spans="2:31" ht="12.9" x14ac:dyDescent="0.35">
      <c r="B67" s="182" t="s">
        <v>88</v>
      </c>
      <c r="E67" s="209">
        <f t="shared" ref="E67:N67" si="46">E66/E62</f>
        <v>1.0514603616133518</v>
      </c>
      <c r="F67" s="186">
        <f t="shared" si="46"/>
        <v>-0.19320494754971038</v>
      </c>
      <c r="G67" s="186">
        <f t="shared" si="46"/>
        <v>0.83489909533750883</v>
      </c>
      <c r="H67" s="186">
        <f t="shared" si="46"/>
        <v>1.0544117647058826</v>
      </c>
      <c r="I67" s="186">
        <f t="shared" si="46"/>
        <v>0.82620465619924188</v>
      </c>
      <c r="J67" s="186">
        <f t="shared" si="46"/>
        <v>1.4114041604754826</v>
      </c>
      <c r="K67" s="186">
        <f t="shared" si="46"/>
        <v>0.8048281505728313</v>
      </c>
      <c r="L67" s="186">
        <f t="shared" si="46"/>
        <v>0.51024590163934347</v>
      </c>
      <c r="M67" s="186">
        <f t="shared" si="46"/>
        <v>3.4253731343283564</v>
      </c>
      <c r="N67" s="186">
        <f t="shared" si="46"/>
        <v>0.16300227445034118</v>
      </c>
      <c r="P67" s="165">
        <f>AVERAGE(K67:N67)</f>
        <v>1.2258623652477181</v>
      </c>
      <c r="R67" s="197">
        <f>R66/R62</f>
        <v>0.95934819329373033</v>
      </c>
      <c r="S67" s="198">
        <v>0.8</v>
      </c>
      <c r="T67" s="198">
        <v>0.8</v>
      </c>
    </row>
    <row r="69" spans="2:31" x14ac:dyDescent="0.3">
      <c r="B69" s="31" t="s">
        <v>740</v>
      </c>
      <c r="C69" s="31"/>
      <c r="D69" s="31"/>
      <c r="E69" s="35"/>
      <c r="F69" s="35"/>
      <c r="G69" s="35"/>
      <c r="H69" s="35"/>
      <c r="I69" s="35"/>
      <c r="J69" s="35"/>
      <c r="K69" s="35"/>
      <c r="L69" s="35"/>
      <c r="M69" s="35"/>
      <c r="N69" s="35"/>
      <c r="P69" s="35" t="s">
        <v>752</v>
      </c>
      <c r="R69" s="184">
        <v>2025</v>
      </c>
      <c r="S69" s="184">
        <v>2026</v>
      </c>
      <c r="T69" s="184">
        <v>2027</v>
      </c>
    </row>
    <row r="70" spans="2:31" x14ac:dyDescent="0.3">
      <c r="B70" s="32" t="s">
        <v>741</v>
      </c>
      <c r="C70" s="32"/>
      <c r="D70" s="32"/>
      <c r="E70" s="32"/>
    </row>
    <row r="71" spans="2:31" x14ac:dyDescent="0.3">
      <c r="B71" t="s">
        <v>753</v>
      </c>
      <c r="E71" s="234">
        <v>2000</v>
      </c>
    </row>
    <row r="72" spans="2:31" x14ac:dyDescent="0.3">
      <c r="B72" t="s">
        <v>742</v>
      </c>
      <c r="E72" s="220">
        <v>45992</v>
      </c>
    </row>
    <row r="73" spans="2:31" x14ac:dyDescent="0.3">
      <c r="B73" t="s">
        <v>743</v>
      </c>
      <c r="E73" s="231">
        <v>5</v>
      </c>
    </row>
    <row r="74" spans="2:31" x14ac:dyDescent="0.3">
      <c r="B74" t="s">
        <v>745</v>
      </c>
      <c r="E74" s="219" t="s">
        <v>747</v>
      </c>
    </row>
    <row r="75" spans="2:31" x14ac:dyDescent="0.3">
      <c r="B75" t="s">
        <v>761</v>
      </c>
      <c r="E75" s="219" t="s">
        <v>762</v>
      </c>
    </row>
    <row r="76" spans="2:31" x14ac:dyDescent="0.3">
      <c r="B76" t="s">
        <v>764</v>
      </c>
      <c r="E76" s="233">
        <v>2.7487000000000001E-2</v>
      </c>
      <c r="F76" t="s">
        <v>765</v>
      </c>
      <c r="W76">
        <f>W21</f>
        <v>2019</v>
      </c>
      <c r="X76">
        <f t="shared" ref="X76:AE76" si="47">X21</f>
        <v>2020</v>
      </c>
      <c r="Y76">
        <f t="shared" si="47"/>
        <v>2021</v>
      </c>
      <c r="Z76">
        <f t="shared" si="47"/>
        <v>2022</v>
      </c>
      <c r="AA76">
        <f t="shared" si="47"/>
        <v>2023</v>
      </c>
      <c r="AB76">
        <f t="shared" si="47"/>
        <v>2024</v>
      </c>
      <c r="AC76" s="242">
        <f t="shared" si="47"/>
        <v>2025</v>
      </c>
      <c r="AD76" s="242">
        <f t="shared" si="47"/>
        <v>2026</v>
      </c>
      <c r="AE76" s="242">
        <f t="shared" si="47"/>
        <v>2027</v>
      </c>
    </row>
    <row r="77" spans="2:31" x14ac:dyDescent="0.3">
      <c r="B77" t="s">
        <v>763</v>
      </c>
      <c r="E77" s="232">
        <v>76.78</v>
      </c>
      <c r="F77" t="s">
        <v>766</v>
      </c>
      <c r="V77" t="s">
        <v>784</v>
      </c>
      <c r="W77" s="36">
        <f>I82</f>
        <v>5168.3999999999996</v>
      </c>
      <c r="X77" s="36">
        <f>J82</f>
        <v>4606.5999999999995</v>
      </c>
      <c r="Y77" s="36">
        <f>K82</f>
        <v>4636.3999999999996</v>
      </c>
      <c r="Z77" s="36">
        <f>L82</f>
        <v>5976.3000000000011</v>
      </c>
      <c r="AA77" s="36">
        <f>M82</f>
        <v>6279.7999999999993</v>
      </c>
      <c r="AB77" s="36">
        <f>N82</f>
        <v>6852.3</v>
      </c>
      <c r="AC77" s="36">
        <f>R82</f>
        <v>6852.3</v>
      </c>
      <c r="AD77" s="36">
        <f>S82</f>
        <v>6852.3</v>
      </c>
      <c r="AE77" s="36">
        <f>T82</f>
        <v>6852.3</v>
      </c>
    </row>
    <row r="78" spans="2:31" x14ac:dyDescent="0.3">
      <c r="B78" t="s">
        <v>744</v>
      </c>
      <c r="E78" s="244">
        <f>E76+E77*0.0001</f>
        <v>3.5165000000000002E-2</v>
      </c>
      <c r="V78" t="s">
        <v>746</v>
      </c>
      <c r="W78" s="36">
        <f>I81</f>
        <v>0</v>
      </c>
      <c r="X78" s="36">
        <f>J81</f>
        <v>0</v>
      </c>
      <c r="Y78" s="36">
        <f>K81</f>
        <v>0</v>
      </c>
      <c r="Z78" s="36">
        <f>L81</f>
        <v>0</v>
      </c>
      <c r="AA78" s="36">
        <f>M81</f>
        <v>0</v>
      </c>
      <c r="AB78" s="36">
        <f>N81</f>
        <v>0</v>
      </c>
      <c r="AC78" s="36">
        <f>R81</f>
        <v>2000</v>
      </c>
      <c r="AD78" s="36">
        <f>S81</f>
        <v>2000</v>
      </c>
      <c r="AE78" s="36">
        <f>T81</f>
        <v>2000</v>
      </c>
    </row>
    <row r="81" spans="2:31" x14ac:dyDescent="0.3">
      <c r="B81" t="s">
        <v>769</v>
      </c>
      <c r="E81" s="199">
        <v>0</v>
      </c>
      <c r="F81" s="199">
        <v>0</v>
      </c>
      <c r="G81" s="199">
        <v>0</v>
      </c>
      <c r="H81" s="199">
        <v>0</v>
      </c>
      <c r="I81" s="199">
        <v>0</v>
      </c>
      <c r="J81" s="199">
        <v>0</v>
      </c>
      <c r="K81" s="199">
        <v>0</v>
      </c>
      <c r="L81" s="199">
        <v>0</v>
      </c>
      <c r="M81" s="199">
        <v>0</v>
      </c>
      <c r="N81" s="199">
        <v>0</v>
      </c>
      <c r="P81" s="224">
        <f>E71</f>
        <v>2000</v>
      </c>
      <c r="R81" s="36">
        <f>P81</f>
        <v>2000</v>
      </c>
      <c r="S81" s="36">
        <f>R81</f>
        <v>2000</v>
      </c>
      <c r="T81" s="36">
        <f>S81</f>
        <v>2000</v>
      </c>
    </row>
    <row r="82" spans="2:31" x14ac:dyDescent="0.3">
      <c r="B82" t="s">
        <v>770</v>
      </c>
      <c r="E82" s="86">
        <f>Financials!E94</f>
        <v>1830.6</v>
      </c>
      <c r="F82" s="86">
        <f>Financials!F94</f>
        <v>4341.4000000000005</v>
      </c>
      <c r="G82" s="86">
        <f>Financials!G94</f>
        <v>3709.7000000000003</v>
      </c>
      <c r="H82" s="86">
        <f>Financials!H94</f>
        <v>4758</v>
      </c>
      <c r="I82" s="86">
        <f>Financials!I94</f>
        <v>5168.3999999999996</v>
      </c>
      <c r="J82" s="86">
        <f>Financials!J94</f>
        <v>4606.5999999999995</v>
      </c>
      <c r="K82" s="86">
        <f>Financials!K94</f>
        <v>4636.3999999999996</v>
      </c>
      <c r="L82" s="86">
        <f>Financials!L94</f>
        <v>5976.3000000000011</v>
      </c>
      <c r="M82" s="86">
        <f>Financials!M94</f>
        <v>6279.7999999999993</v>
      </c>
      <c r="N82" s="86">
        <f>Financials!N94</f>
        <v>6852.3</v>
      </c>
      <c r="P82" s="36"/>
      <c r="R82" s="36">
        <f>N82</f>
        <v>6852.3</v>
      </c>
      <c r="S82" s="36">
        <f>R82</f>
        <v>6852.3</v>
      </c>
      <c r="T82" s="36">
        <f>R82</f>
        <v>6852.3</v>
      </c>
    </row>
    <row r="83" spans="2:31" x14ac:dyDescent="0.3">
      <c r="B83" s="83" t="s">
        <v>89</v>
      </c>
      <c r="C83" s="83"/>
      <c r="D83" s="83"/>
      <c r="E83" s="84">
        <f>E81+E82</f>
        <v>1830.6</v>
      </c>
      <c r="F83" s="84">
        <f t="shared" ref="F83:N83" si="48">F81+F82</f>
        <v>4341.4000000000005</v>
      </c>
      <c r="G83" s="84">
        <f t="shared" si="48"/>
        <v>3709.7000000000003</v>
      </c>
      <c r="H83" s="84">
        <f t="shared" si="48"/>
        <v>4758</v>
      </c>
      <c r="I83" s="84">
        <f t="shared" si="48"/>
        <v>5168.3999999999996</v>
      </c>
      <c r="J83" s="84">
        <f t="shared" si="48"/>
        <v>4606.5999999999995</v>
      </c>
      <c r="K83" s="84">
        <f t="shared" si="48"/>
        <v>4636.3999999999996</v>
      </c>
      <c r="L83" s="84">
        <f t="shared" si="48"/>
        <v>5976.3000000000011</v>
      </c>
      <c r="M83" s="84">
        <f t="shared" si="48"/>
        <v>6279.7999999999993</v>
      </c>
      <c r="N83" s="84">
        <f t="shared" si="48"/>
        <v>6852.3</v>
      </c>
      <c r="P83" s="83"/>
      <c r="R83" s="225">
        <f>R81+R82</f>
        <v>8852.2999999999993</v>
      </c>
      <c r="S83" s="225">
        <f t="shared" ref="S83:T83" si="49">S81+S82</f>
        <v>8852.2999999999993</v>
      </c>
      <c r="T83" s="225">
        <f t="shared" si="49"/>
        <v>8852.2999999999993</v>
      </c>
    </row>
    <row r="85" spans="2:31" x14ac:dyDescent="0.3">
      <c r="B85" t="s">
        <v>748</v>
      </c>
      <c r="E85" s="199">
        <v>0</v>
      </c>
      <c r="F85" s="199">
        <v>0</v>
      </c>
      <c r="G85" s="199">
        <v>0</v>
      </c>
      <c r="H85" s="199">
        <v>0</v>
      </c>
      <c r="I85" s="199">
        <v>0</v>
      </c>
      <c r="J85" s="199">
        <v>0</v>
      </c>
      <c r="K85" s="199">
        <v>0</v>
      </c>
      <c r="L85" s="199">
        <v>0</v>
      </c>
      <c r="M85" s="199">
        <v>0</v>
      </c>
      <c r="N85" s="199">
        <v>0</v>
      </c>
      <c r="R85" s="142">
        <f>-P81*R86</f>
        <v>-70.33</v>
      </c>
      <c r="S85" s="142">
        <f>-R81*S86</f>
        <v>-70.33</v>
      </c>
      <c r="T85" s="142">
        <f>-S81*T86</f>
        <v>-70.33</v>
      </c>
    </row>
    <row r="86" spans="2:31" ht="12.9" x14ac:dyDescent="0.35">
      <c r="B86" s="182" t="s">
        <v>750</v>
      </c>
      <c r="E86" s="221">
        <v>0</v>
      </c>
      <c r="F86" s="221">
        <v>0</v>
      </c>
      <c r="G86" s="221">
        <v>0</v>
      </c>
      <c r="H86" s="221">
        <v>0</v>
      </c>
      <c r="I86" s="221">
        <v>0</v>
      </c>
      <c r="J86" s="221">
        <v>0</v>
      </c>
      <c r="K86" s="221">
        <v>0</v>
      </c>
      <c r="L86" s="221">
        <v>0</v>
      </c>
      <c r="M86" s="221">
        <v>0</v>
      </c>
      <c r="N86" s="221">
        <v>0</v>
      </c>
      <c r="R86" s="198">
        <f>E78</f>
        <v>3.5165000000000002E-2</v>
      </c>
      <c r="S86" s="198">
        <f>R86</f>
        <v>3.5165000000000002E-2</v>
      </c>
      <c r="T86" s="198">
        <f>S86</f>
        <v>3.5165000000000002E-2</v>
      </c>
    </row>
    <row r="87" spans="2:31" x14ac:dyDescent="0.3">
      <c r="B87" t="s">
        <v>749</v>
      </c>
      <c r="E87" s="36">
        <f>E44</f>
        <v>-45.7</v>
      </c>
      <c r="F87" s="36">
        <f t="shared" ref="F87:N87" si="50">F44</f>
        <v>-50.9</v>
      </c>
      <c r="G87" s="36">
        <f t="shared" si="50"/>
        <v>-53.2</v>
      </c>
      <c r="H87" s="36">
        <f t="shared" si="50"/>
        <v>-63.6</v>
      </c>
      <c r="I87" s="36">
        <f t="shared" si="50"/>
        <v>-53.8</v>
      </c>
      <c r="J87" s="36">
        <f t="shared" si="50"/>
        <v>-40.799999999999997</v>
      </c>
      <c r="K87" s="36">
        <f t="shared" si="50"/>
        <v>-15.7</v>
      </c>
      <c r="L87" s="36">
        <f t="shared" si="50"/>
        <v>-34.1</v>
      </c>
      <c r="M87" s="36">
        <f t="shared" si="50"/>
        <v>-138.80000000000001</v>
      </c>
      <c r="N87" s="36">
        <f t="shared" si="50"/>
        <v>-173</v>
      </c>
      <c r="R87" s="142">
        <f>-N82*R88</f>
        <v>-171.3075</v>
      </c>
      <c r="S87" s="142">
        <f>-R82*S88</f>
        <v>-171.3075</v>
      </c>
      <c r="T87" s="142">
        <f>-S82*T88</f>
        <v>-171.3075</v>
      </c>
    </row>
    <row r="88" spans="2:31" ht="12.9" x14ac:dyDescent="0.35">
      <c r="B88" s="182" t="s">
        <v>750</v>
      </c>
      <c r="E88" s="222">
        <f>E45</f>
        <v>2.4964492516114937E-2</v>
      </c>
      <c r="F88" s="222">
        <f>F45</f>
        <v>1.1724328557608143E-2</v>
      </c>
      <c r="G88" s="222">
        <f>G45</f>
        <v>1.4340782273499204E-2</v>
      </c>
      <c r="H88" s="222">
        <f>H45</f>
        <v>1.3366960907944515E-2</v>
      </c>
      <c r="I88" s="222">
        <f>I45</f>
        <v>1.04094110362975E-2</v>
      </c>
      <c r="J88" s="222">
        <f>J45</f>
        <v>8.8568575522077024E-3</v>
      </c>
      <c r="K88" s="222">
        <f>K45</f>
        <v>3.3862479509964628E-3</v>
      </c>
      <c r="L88" s="222">
        <f>L45</f>
        <v>5.7058715258604814E-3</v>
      </c>
      <c r="M88" s="222">
        <f>M45</f>
        <v>2.2102614732953284E-2</v>
      </c>
      <c r="N88" s="222">
        <f>N45</f>
        <v>2.5246997358551144E-2</v>
      </c>
      <c r="R88" s="212">
        <v>2.5000000000000001E-2</v>
      </c>
      <c r="S88" s="212">
        <f>R88</f>
        <v>2.5000000000000001E-2</v>
      </c>
      <c r="T88" s="212">
        <f>S88</f>
        <v>2.5000000000000001E-2</v>
      </c>
    </row>
    <row r="89" spans="2:31" x14ac:dyDescent="0.3">
      <c r="B89" s="83" t="s">
        <v>751</v>
      </c>
      <c r="C89" s="83"/>
      <c r="D89" s="83"/>
      <c r="E89" s="84">
        <f>E87+E85</f>
        <v>-45.7</v>
      </c>
      <c r="F89" s="84">
        <f t="shared" ref="F89:N89" si="51">F87+F85</f>
        <v>-50.9</v>
      </c>
      <c r="G89" s="84">
        <f t="shared" si="51"/>
        <v>-53.2</v>
      </c>
      <c r="H89" s="84">
        <f t="shared" si="51"/>
        <v>-63.6</v>
      </c>
      <c r="I89" s="84">
        <f t="shared" si="51"/>
        <v>-53.8</v>
      </c>
      <c r="J89" s="84">
        <f t="shared" si="51"/>
        <v>-40.799999999999997</v>
      </c>
      <c r="K89" s="84">
        <f t="shared" si="51"/>
        <v>-15.7</v>
      </c>
      <c r="L89" s="84">
        <f t="shared" si="51"/>
        <v>-34.1</v>
      </c>
      <c r="M89" s="84">
        <f t="shared" si="51"/>
        <v>-138.80000000000001</v>
      </c>
      <c r="N89" s="84">
        <f t="shared" si="51"/>
        <v>-173</v>
      </c>
      <c r="P89" s="83"/>
      <c r="R89" s="84">
        <f t="shared" ref="R89:T89" si="52">R87+R85</f>
        <v>-241.63749999999999</v>
      </c>
      <c r="S89" s="84">
        <f t="shared" si="52"/>
        <v>-241.63749999999999</v>
      </c>
      <c r="T89" s="84">
        <f t="shared" si="52"/>
        <v>-241.63749999999999</v>
      </c>
    </row>
    <row r="91" spans="2:31" x14ac:dyDescent="0.3">
      <c r="W91">
        <v>2019</v>
      </c>
      <c r="X91">
        <v>2020</v>
      </c>
      <c r="Y91">
        <v>2021</v>
      </c>
      <c r="Z91">
        <v>2022</v>
      </c>
      <c r="AA91">
        <v>2023</v>
      </c>
      <c r="AB91">
        <v>2024</v>
      </c>
      <c r="AC91" s="242">
        <v>2025</v>
      </c>
      <c r="AD91" s="242">
        <v>2026</v>
      </c>
      <c r="AE91" s="242">
        <v>2027</v>
      </c>
    </row>
    <row r="92" spans="2:31" x14ac:dyDescent="0.3">
      <c r="V92" t="s">
        <v>790</v>
      </c>
      <c r="W92" s="36">
        <f>ABS(I87)</f>
        <v>53.8</v>
      </c>
      <c r="X92" s="36">
        <f t="shared" ref="X92:AB92" si="53">ABS(J87)</f>
        <v>40.799999999999997</v>
      </c>
      <c r="Y92" s="36">
        <f t="shared" si="53"/>
        <v>15.7</v>
      </c>
      <c r="Z92" s="36">
        <f t="shared" si="53"/>
        <v>34.1</v>
      </c>
      <c r="AA92" s="36">
        <f t="shared" si="53"/>
        <v>138.80000000000001</v>
      </c>
      <c r="AB92" s="36">
        <f t="shared" si="53"/>
        <v>173</v>
      </c>
      <c r="AC92" s="36">
        <f>ABS(R87)</f>
        <v>171.3075</v>
      </c>
      <c r="AD92" s="36">
        <f t="shared" ref="AD92:AE92" si="54">ABS(S87)</f>
        <v>171.3075</v>
      </c>
      <c r="AE92" s="36">
        <f t="shared" si="54"/>
        <v>171.3075</v>
      </c>
    </row>
    <row r="93" spans="2:31" x14ac:dyDescent="0.3">
      <c r="V93" t="s">
        <v>791</v>
      </c>
      <c r="W93" s="36">
        <v>0</v>
      </c>
      <c r="X93" s="36">
        <v>0</v>
      </c>
      <c r="Y93" s="36">
        <v>0</v>
      </c>
      <c r="Z93" s="36">
        <v>0</v>
      </c>
      <c r="AA93" s="36">
        <v>0</v>
      </c>
      <c r="AB93" s="36">
        <v>0</v>
      </c>
      <c r="AC93" s="36">
        <f>ABS(R85)</f>
        <v>70.33</v>
      </c>
      <c r="AD93" s="36">
        <f t="shared" ref="AD93:AE93" si="55">ABS(S85)</f>
        <v>70.33</v>
      </c>
      <c r="AE93" s="36">
        <f t="shared" si="55"/>
        <v>70.33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68A9-482D-4170-A208-FCFB8101F554}">
  <sheetPr>
    <tabColor theme="7"/>
  </sheetPr>
  <dimension ref="A2:Y265"/>
  <sheetViews>
    <sheetView showGridLines="0" zoomScaleNormal="100" workbookViewId="0">
      <selection activeCell="N267" sqref="N267"/>
    </sheetView>
  </sheetViews>
  <sheetFormatPr defaultRowHeight="12.45" outlineLevelRow="1" x14ac:dyDescent="0.3"/>
  <cols>
    <col min="1" max="1" width="2.84375" customWidth="1"/>
    <col min="2" max="2" width="12.69140625" customWidth="1"/>
    <col min="5" max="8" width="9.69140625" bestFit="1" customWidth="1"/>
    <col min="9" max="10" width="10.69140625" bestFit="1" customWidth="1"/>
    <col min="11" max="11" width="11.3046875" bestFit="1" customWidth="1"/>
    <col min="12" max="12" width="10.69140625" bestFit="1" customWidth="1"/>
    <col min="13" max="14" width="9.3046875" bestFit="1" customWidth="1"/>
    <col min="19" max="19" width="9.23046875" customWidth="1"/>
  </cols>
  <sheetData>
    <row r="2" spans="1:25" ht="17.600000000000001" x14ac:dyDescent="0.4">
      <c r="A2" t="s">
        <v>1</v>
      </c>
      <c r="B2" s="2" t="s">
        <v>186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5" outlineLevel="1" x14ac:dyDescent="0.3"/>
    <row r="4" spans="1:25" outlineLevel="1" x14ac:dyDescent="0.3">
      <c r="B4" s="31" t="s">
        <v>93</v>
      </c>
      <c r="C4" s="31"/>
      <c r="D4" s="31"/>
      <c r="E4" s="35">
        <v>2019</v>
      </c>
      <c r="F4" s="35">
        <v>2020</v>
      </c>
      <c r="G4" s="35">
        <v>2021</v>
      </c>
      <c r="H4" s="35">
        <v>2022</v>
      </c>
      <c r="I4" s="35">
        <v>2023</v>
      </c>
      <c r="J4" s="35" t="s">
        <v>187</v>
      </c>
      <c r="K4" s="35" t="s">
        <v>188</v>
      </c>
    </row>
    <row r="5" spans="1:25" ht="5.15" customHeight="1" outlineLevel="1" x14ac:dyDescent="0.3"/>
    <row r="6" spans="1:25" outlineLevel="1" x14ac:dyDescent="0.3">
      <c r="B6" s="32" t="s">
        <v>164</v>
      </c>
      <c r="C6" s="32"/>
      <c r="D6" s="32"/>
      <c r="E6" s="32"/>
      <c r="F6" s="32"/>
      <c r="G6" s="32"/>
      <c r="H6" s="32"/>
      <c r="I6" s="32"/>
      <c r="J6" s="32"/>
      <c r="K6" s="32"/>
    </row>
    <row r="7" spans="1:25" ht="5.15" customHeight="1" outlineLevel="1" x14ac:dyDescent="0.3">
      <c r="B7" s="37"/>
    </row>
    <row r="8" spans="1:25" outlineLevel="1" x14ac:dyDescent="0.3">
      <c r="B8" s="120" t="s">
        <v>165</v>
      </c>
    </row>
    <row r="9" spans="1:25" outlineLevel="1" x14ac:dyDescent="0.3">
      <c r="B9" s="37" t="s">
        <v>189</v>
      </c>
      <c r="E9" s="114">
        <f ca="1">INDEX(INDIRECT($B9&amp;"!C53:N78"),MATCH($B$8,INDIRECT($B9&amp;"!B53:B78"),0),MATCH(E$4,INDIRECT($B9&amp;"!C52:N52"),0))</f>
        <v>0.38503241976788477</v>
      </c>
      <c r="F9" s="114">
        <f t="shared" ref="F9:K17" ca="1" si="0">INDEX(INDIRECT($B9&amp;"!C53:N78"),MATCH($B$8,INDIRECT($B9&amp;"!B53:B78"),0),MATCH(F$4,INDIRECT($B9&amp;"!C52:N52"),0))</f>
        <v>0.37236519607843077</v>
      </c>
      <c r="G9" s="114">
        <f t="shared" ca="1" si="0"/>
        <v>0.37144851251926625</v>
      </c>
      <c r="H9" s="114">
        <f t="shared" ca="1" si="0"/>
        <v>0.38400135390517054</v>
      </c>
      <c r="I9" s="114">
        <f t="shared" ca="1" si="0"/>
        <v>0.39004556989658057</v>
      </c>
      <c r="J9" s="114">
        <f t="shared" ca="1" si="0"/>
        <v>0.38336450540315953</v>
      </c>
      <c r="K9" s="114">
        <f t="shared" ca="1" si="0"/>
        <v>0.38066435543753357</v>
      </c>
      <c r="P9" t="s">
        <v>772</v>
      </c>
      <c r="Q9" s="114" t="s">
        <v>698</v>
      </c>
      <c r="R9" t="s">
        <v>190</v>
      </c>
      <c r="S9" t="s">
        <v>775</v>
      </c>
      <c r="T9" t="s">
        <v>717</v>
      </c>
      <c r="U9" t="s">
        <v>720</v>
      </c>
      <c r="V9" t="s">
        <v>194</v>
      </c>
      <c r="W9" t="s">
        <v>195</v>
      </c>
      <c r="X9" t="s">
        <v>196</v>
      </c>
      <c r="Y9" t="s">
        <v>776</v>
      </c>
    </row>
    <row r="10" spans="1:25" outlineLevel="1" x14ac:dyDescent="0.3">
      <c r="B10" s="37" t="s">
        <v>190</v>
      </c>
      <c r="E10" s="114">
        <f t="shared" ref="E10:E17" ca="1" si="1">INDEX(INDIRECT($B10&amp;"!C53:N78"),MATCH($B$8,INDIRECT($B10&amp;"!B53:B78"),0),MATCH(E$4,INDIRECT($B10&amp;"!C52:N52"),0))</f>
        <v>0.2015307847300177</v>
      </c>
      <c r="F10" s="114">
        <f t="shared" ca="1" si="0"/>
        <v>0.19341973657000713</v>
      </c>
      <c r="G10" s="114">
        <f t="shared" ca="1" si="0"/>
        <v>0.19238757837694287</v>
      </c>
      <c r="H10" s="114">
        <f t="shared" ca="1" si="0"/>
        <v>0.1878266619262971</v>
      </c>
      <c r="I10" s="114" t="str">
        <f t="shared" ca="1" si="0"/>
        <v>-</v>
      </c>
      <c r="J10" s="114">
        <f t="shared" ca="1" si="0"/>
        <v>0.2266187050359722</v>
      </c>
      <c r="K10" s="114">
        <f t="shared" ca="1" si="0"/>
        <v>0.23991979501618244</v>
      </c>
      <c r="O10" t="s">
        <v>121</v>
      </c>
      <c r="P10" s="237">
        <f>M222</f>
        <v>0.17712462619097288</v>
      </c>
      <c r="Q10" s="114">
        <f ca="1">INDEX(INDIRECT($B23&amp;"!C53:N78"),MATCH($B$22,INDIRECT($B23&amp;"!B53:B78"),0),MATCH(K$4,INDIRECT($B23&amp;"!C52:N52"),0))</f>
        <v>0.24140050633004037</v>
      </c>
      <c r="R10" s="114">
        <f ca="1">INDEX(INDIRECT($B24&amp;"!C53:N78"),MATCH($B$22,INDIRECT($B24&amp;"!B53:B78"),0),MATCH(K$4,INDIRECT($B24&amp;"!C52:N52"),0))</f>
        <v>0.15853060102253455</v>
      </c>
      <c r="S10" s="114">
        <f ca="1">INDEX(INDIRECT($B25&amp;"!C53:N78"),MATCH($B$22,INDIRECT($B25&amp;"!B53:B78"),0),MATCH(K$4,INDIRECT($B25&amp;"!C52:N52"),0))</f>
        <v>5.1895953730026381E-2</v>
      </c>
      <c r="T10" s="114">
        <f ca="1">INDEX(INDIRECT($B26&amp;"!C53:N78"),MATCH($B$22,INDIRECT($B26&amp;"!B53:B78"),0),MATCH(K$4,INDIRECT($B26&amp;"!C52:N52"),0))</f>
        <v>8.3073068027531491E-2</v>
      </c>
      <c r="U10" s="114">
        <f ca="1">INDEX(INDIRECT($B27&amp;"!C53:N78"),MATCH($B$22,INDIRECT($B27&amp;"!B53:B78"),0),MATCH(K$4,INDIRECT($B27&amp;"!C52:N52"),0))</f>
        <v>0.12504199796806542</v>
      </c>
      <c r="V10" s="114">
        <f ca="1">INDEX(INDIRECT($B28&amp;"!C53:N78"),MATCH($B$22,INDIRECT($B28&amp;"!B53:B78"),0),MATCH(K$4,INDIRECT($B28&amp;"!C52:N52"),0))</f>
        <v>-1.7771358018472834E-3</v>
      </c>
      <c r="W10" s="114" t="str">
        <f ca="1">INDEX(INDIRECT($B29&amp;"!C53:N78"),MATCH($B$22,INDIRECT($B29&amp;"!B53:B78"),0),MATCH(K$4,INDIRECT($B29&amp;"!C52:N52"),0))</f>
        <v>-</v>
      </c>
      <c r="X10" s="114">
        <f ca="1">INDEX(INDIRECT($B30&amp;"!C53:N78"),MATCH($B$22,INDIRECT($B30&amp;"!B53:B78"),0),MATCH(K$4,INDIRECT($B30&amp;"!C52:N52"),0))</f>
        <v>0.16530250697282223</v>
      </c>
      <c r="Y10" s="114">
        <f ca="1">INDEX(INDIRECT($B31&amp;"!C53:N78"),MATCH($B$22,INDIRECT($B31&amp;"!B53:B78"),0),MATCH(K$4,INDIRECT($B31&amp;"!C52:N52"),0))</f>
        <v>8.6141811592795978E-2</v>
      </c>
    </row>
    <row r="11" spans="1:25" outlineLevel="1" x14ac:dyDescent="0.3">
      <c r="B11" s="37" t="s">
        <v>191</v>
      </c>
      <c r="E11" s="114">
        <f ca="1">INDEX(INDIRECT($B11&amp;"!C53:N78"),MATCH($B$8,INDIRECT($B11&amp;"!B53:B78"),0),MATCH(E$4,INDIRECT($B11&amp;"!C52:N52"),0))</f>
        <v>0.17176013123519016</v>
      </c>
      <c r="F11" s="114">
        <f t="shared" ca="1" si="0"/>
        <v>0.17012197290281211</v>
      </c>
      <c r="G11" s="114">
        <f t="shared" ca="1" si="0"/>
        <v>0.11955002113339876</v>
      </c>
      <c r="H11" s="114">
        <f t="shared" ca="1" si="0"/>
        <v>0.14122255728095048</v>
      </c>
      <c r="I11" s="114">
        <f t="shared" ca="1" si="0"/>
        <v>0.20085957798120777</v>
      </c>
      <c r="J11" s="114">
        <f t="shared" ca="1" si="0"/>
        <v>0.21779397428160113</v>
      </c>
      <c r="K11" s="114">
        <f t="shared" ca="1" si="0"/>
        <v>0.19904946852003408</v>
      </c>
      <c r="O11" t="s">
        <v>771</v>
      </c>
      <c r="P11" s="201">
        <f>M223</f>
        <v>8.0560191946588713E-2</v>
      </c>
      <c r="Q11" s="114">
        <f ca="1">INDEX(INDIRECT($B37&amp;"!C53:N78"),MATCH($B$36,INDIRECT($B37&amp;"!B53:B78"),0),MATCH(K$4,INDIRECT($B37&amp;"!C52:N52"),0))</f>
        <v>0.20324063823913477</v>
      </c>
      <c r="R11" s="114">
        <f ca="1">INDEX(INDIRECT($B38&amp;"!C53:N78"),MATCH($B$36,INDIRECT($B38&amp;"!B53:B78"),0),MATCH(K$4,INDIRECT($B38&amp;"!C52:N52"),0))</f>
        <v>0.14606494371421608</v>
      </c>
      <c r="S11" s="114">
        <f ca="1">INDEX(INDIRECT($B39&amp;"!C53:N78"),MATCH($B$36,INDIRECT($B39&amp;"!B53:B78"),0),MATCH(K$4,INDIRECT($B39&amp;"!C52:N52"),0))</f>
        <v>4.0167621165229941E-2</v>
      </c>
      <c r="T11" s="114">
        <f ca="1">INDEX(INDIRECT($B40&amp;"!C53:N78"),MATCH($B$36,INDIRECT($B40&amp;"!B53:B78"),0),MATCH(K$4,INDIRECT($B40&amp;"!C52:N52"),0))</f>
        <v>2.0403642944194281E-2</v>
      </c>
      <c r="U11" s="114">
        <f ca="1">INDEX(INDIRECT($B41&amp;"!C53:N78"),MATCH($B$36,INDIRECT($B41&amp;"!B53:B78"),0),MATCH(K$4,INDIRECT($B41&amp;"!C52:N52"),0))</f>
        <v>4.371837139820435E-2</v>
      </c>
      <c r="V11" s="114">
        <f ca="1">INDEX(INDIRECT($B42&amp;"!C53:N78"),MATCH($B$36,INDIRECT($B42&amp;"!B53:B78"),0),MATCH(K$4,INDIRECT($B42&amp;"!C52:N52"),0))</f>
        <v>-2.0168845366387776E-2</v>
      </c>
      <c r="W11" s="114">
        <f ca="1">INDEX(INDIRECT($B43&amp;"!C53:N78"),MATCH($B$36,INDIRECT($B43&amp;"!B53:B78"),0),MATCH(K$4,INDIRECT($B43&amp;"!C52:N52"),0))</f>
        <v>-7.5104141389778986E-2</v>
      </c>
      <c r="X11" s="114">
        <f ca="1">INDEX(INDIRECT($B44&amp;"!C53:N78"),MATCH($B$36,INDIRECT($B44&amp;"!B53:B78"),0),MATCH(K$4,INDIRECT($B44&amp;"!C52:N52"),0))</f>
        <v>7.7929764663565021E-2</v>
      </c>
      <c r="Y11" s="114">
        <f ca="1">INDEX(INDIRECT($B45&amp;"!C53:N78"),MATCH($B$36,INDIRECT($B45&amp;"!B53:B78"),0),MATCH(K$4,INDIRECT($B45&amp;"!C52:N52"),0))</f>
        <v>5.3908518133877384E-2</v>
      </c>
    </row>
    <row r="12" spans="1:25" outlineLevel="1" x14ac:dyDescent="0.3">
      <c r="B12" s="37" t="s">
        <v>192</v>
      </c>
      <c r="E12" s="114">
        <f t="shared" ca="1" si="1"/>
        <v>0.22745802128673967</v>
      </c>
      <c r="F12" s="114">
        <f t="shared" ca="1" si="0"/>
        <v>0.22136113778940039</v>
      </c>
      <c r="G12" s="114">
        <f ca="1">INDEX(INDIRECT($B12&amp;"!C53:N78"),MATCH($B$8,INDIRECT($B12&amp;"!B53:B78"),0),MATCH(G$4,INDIRECT($B12&amp;"!C52:N52"),0))</f>
        <v>0.21082023007868497</v>
      </c>
      <c r="H12" s="114">
        <f ca="1">INDEX(INDIRECT($B12&amp;"!C53:N78"),MATCH($B$8,INDIRECT($B12&amp;"!B53:B78"),0),MATCH(H$4,INDIRECT($B12&amp;"!C52:N52"),0))</f>
        <v>0.21488217009169347</v>
      </c>
      <c r="I12" s="114">
        <f t="shared" ca="1" si="0"/>
        <v>0.24655086424327105</v>
      </c>
      <c r="J12" s="114">
        <f t="shared" ca="1" si="0"/>
        <v>0.23027250846612166</v>
      </c>
      <c r="K12" s="114">
        <f t="shared" ca="1" si="0"/>
        <v>0.23149125285398994</v>
      </c>
      <c r="O12" t="s">
        <v>773</v>
      </c>
      <c r="P12" s="201">
        <f ca="1">$J$33</f>
        <v>9.7115410905497482E-2</v>
      </c>
      <c r="Q12" s="201">
        <f t="shared" ref="Q12:Y12" ca="1" si="2">$J$33</f>
        <v>9.7115410905497482E-2</v>
      </c>
      <c r="R12" s="201">
        <f t="shared" ca="1" si="2"/>
        <v>9.7115410905497482E-2</v>
      </c>
      <c r="S12" s="201">
        <f t="shared" ca="1" si="2"/>
        <v>9.7115410905497482E-2</v>
      </c>
      <c r="T12" s="201">
        <f t="shared" ca="1" si="2"/>
        <v>9.7115410905497482E-2</v>
      </c>
      <c r="U12" s="201">
        <f t="shared" ca="1" si="2"/>
        <v>9.7115410905497482E-2</v>
      </c>
      <c r="V12" s="201">
        <f t="shared" ca="1" si="2"/>
        <v>9.7115410905497482E-2</v>
      </c>
      <c r="W12" s="201">
        <f t="shared" ca="1" si="2"/>
        <v>9.7115410905497482E-2</v>
      </c>
      <c r="X12" s="201">
        <f t="shared" ca="1" si="2"/>
        <v>9.7115410905497482E-2</v>
      </c>
      <c r="Y12" s="201">
        <f t="shared" ca="1" si="2"/>
        <v>9.7115410905497482E-2</v>
      </c>
    </row>
    <row r="13" spans="1:25" outlineLevel="1" x14ac:dyDescent="0.3">
      <c r="B13" s="37" t="s">
        <v>193</v>
      </c>
      <c r="E13" s="114">
        <f t="shared" ca="1" si="1"/>
        <v>0.23290618070283706</v>
      </c>
      <c r="F13" s="114">
        <f t="shared" ca="1" si="0"/>
        <v>0.23118469415598009</v>
      </c>
      <c r="G13" s="114">
        <f t="shared" ca="1" si="0"/>
        <v>0.22436818507287562</v>
      </c>
      <c r="H13" s="114">
        <f t="shared" ca="1" si="0"/>
        <v>0.22347880449399157</v>
      </c>
      <c r="I13" s="114">
        <f t="shared" ca="1" si="0"/>
        <v>0.2346195937863996</v>
      </c>
      <c r="J13" s="114">
        <f t="shared" ca="1" si="0"/>
        <v>0.23236835199354711</v>
      </c>
      <c r="K13" s="114">
        <f t="shared" ca="1" si="0"/>
        <v>0.22392472408496431</v>
      </c>
      <c r="O13" t="s">
        <v>774</v>
      </c>
      <c r="P13" s="201">
        <f ca="1">$J$47</f>
        <v>5.8723410750149627E-2</v>
      </c>
      <c r="Q13" s="201">
        <f t="shared" ref="Q13:Y13" ca="1" si="3">$J$47</f>
        <v>5.8723410750149627E-2</v>
      </c>
      <c r="R13" s="201">
        <f t="shared" ca="1" si="3"/>
        <v>5.8723410750149627E-2</v>
      </c>
      <c r="S13" s="201">
        <f t="shared" ca="1" si="3"/>
        <v>5.8723410750149627E-2</v>
      </c>
      <c r="T13" s="201">
        <f t="shared" ca="1" si="3"/>
        <v>5.8723410750149627E-2</v>
      </c>
      <c r="U13" s="201">
        <f t="shared" ca="1" si="3"/>
        <v>5.8723410750149627E-2</v>
      </c>
      <c r="V13" s="201">
        <f t="shared" ca="1" si="3"/>
        <v>5.8723410750149627E-2</v>
      </c>
      <c r="W13" s="201">
        <f t="shared" ca="1" si="3"/>
        <v>5.8723410750149627E-2</v>
      </c>
      <c r="X13" s="201">
        <f t="shared" ca="1" si="3"/>
        <v>5.8723410750149627E-2</v>
      </c>
      <c r="Y13" s="201">
        <f t="shared" ca="1" si="3"/>
        <v>5.8723410750149627E-2</v>
      </c>
    </row>
    <row r="14" spans="1:25" outlineLevel="1" x14ac:dyDescent="0.3">
      <c r="B14" s="37" t="s">
        <v>194</v>
      </c>
      <c r="E14" s="114" t="str">
        <f t="shared" ca="1" si="1"/>
        <v>-</v>
      </c>
      <c r="F14" s="114" t="str">
        <f t="shared" ca="1" si="0"/>
        <v>-</v>
      </c>
      <c r="G14" s="114">
        <f t="shared" ca="1" si="0"/>
        <v>0.16795042068928284</v>
      </c>
      <c r="H14" s="114">
        <f t="shared" ca="1" si="0"/>
        <v>0.16122053784080534</v>
      </c>
      <c r="I14" s="114">
        <f t="shared" ca="1" si="0"/>
        <v>0.13738333802152985</v>
      </c>
      <c r="J14" s="114">
        <f t="shared" ca="1" si="0"/>
        <v>0.17480090541638729</v>
      </c>
      <c r="K14" s="114">
        <f t="shared" ca="1" si="0"/>
        <v>0.17898562192748207</v>
      </c>
      <c r="P14" s="136"/>
    </row>
    <row r="15" spans="1:25" outlineLevel="1" x14ac:dyDescent="0.3">
      <c r="B15" s="37" t="s">
        <v>195</v>
      </c>
      <c r="E15" s="114">
        <f t="shared" ca="1" si="1"/>
        <v>0.23852087169606068</v>
      </c>
      <c r="F15" s="114">
        <f t="shared" ca="1" si="0"/>
        <v>0.23207882871269092</v>
      </c>
      <c r="G15" s="114">
        <f t="shared" ca="1" si="0"/>
        <v>0.20948647687213623</v>
      </c>
      <c r="H15" s="114">
        <f t="shared" ca="1" si="0"/>
        <v>0.19963167201481241</v>
      </c>
      <c r="I15" s="114">
        <f t="shared" ca="1" si="0"/>
        <v>9.5067994156130237E-2</v>
      </c>
      <c r="J15" s="114">
        <f t="shared" ca="1" si="0"/>
        <v>0.12347494312675962</v>
      </c>
      <c r="K15" s="114">
        <f t="shared" ca="1" si="0"/>
        <v>0.14822545391390227</v>
      </c>
    </row>
    <row r="16" spans="1:25" outlineLevel="1" x14ac:dyDescent="0.3">
      <c r="B16" s="37" t="s">
        <v>196</v>
      </c>
      <c r="E16" s="114">
        <f t="shared" ca="1" si="1"/>
        <v>0.2919198997101396</v>
      </c>
      <c r="F16" s="114">
        <f t="shared" ca="1" si="0"/>
        <v>0.30405805275011721</v>
      </c>
      <c r="G16" s="114">
        <f t="shared" ca="1" si="0"/>
        <v>0.31403162637992454</v>
      </c>
      <c r="H16" s="114">
        <f t="shared" ca="1" si="0"/>
        <v>0.31209704880698097</v>
      </c>
      <c r="I16" s="114">
        <f t="shared" ca="1" si="0"/>
        <v>0.31189618540731168</v>
      </c>
      <c r="J16" s="114">
        <f t="shared" ca="1" si="0"/>
        <v>0.31983699946067085</v>
      </c>
      <c r="K16" s="114">
        <f t="shared" ca="1" si="0"/>
        <v>0.3262014850784552</v>
      </c>
    </row>
    <row r="17" spans="2:25" outlineLevel="1" x14ac:dyDescent="0.3">
      <c r="B17" s="37" t="s">
        <v>197</v>
      </c>
      <c r="E17" s="114">
        <f t="shared" ca="1" si="1"/>
        <v>0.16019520657706895</v>
      </c>
      <c r="F17" s="114">
        <f t="shared" ca="1" si="0"/>
        <v>0.15103289687433957</v>
      </c>
      <c r="G17" s="114">
        <f t="shared" ca="1" si="0"/>
        <v>0.16465101838648918</v>
      </c>
      <c r="H17" s="114">
        <f t="shared" ca="1" si="0"/>
        <v>0.12831365833808642</v>
      </c>
      <c r="I17" s="114">
        <f t="shared" ca="1" si="0"/>
        <v>0.16513600751154864</v>
      </c>
      <c r="J17" s="114">
        <f t="shared" ca="1" si="0"/>
        <v>0.18234670433811526</v>
      </c>
      <c r="K17" s="114">
        <f t="shared" ca="1" si="0"/>
        <v>0.17579505475368676</v>
      </c>
      <c r="P17" s="136"/>
    </row>
    <row r="18" spans="2:25" ht="5.15" customHeight="1" outlineLevel="1" x14ac:dyDescent="0.3">
      <c r="B18" s="37"/>
      <c r="F18" s="96"/>
      <c r="G18" s="96"/>
      <c r="H18" s="96"/>
      <c r="I18" s="96"/>
      <c r="J18" s="96"/>
      <c r="K18" s="96"/>
    </row>
    <row r="19" spans="2:25" outlineLevel="1" x14ac:dyDescent="0.3">
      <c r="B19" s="121" t="s">
        <v>198</v>
      </c>
      <c r="C19" s="122"/>
      <c r="D19" s="122"/>
      <c r="E19" s="126">
        <f ca="1">IFERROR(AVERAGE(E9:E17),"-")</f>
        <v>0.23866543946324231</v>
      </c>
      <c r="F19" s="126">
        <f t="shared" ref="F19:K19" ca="1" si="4">IFERROR(AVERAGE(F9:F17),"-")</f>
        <v>0.23445281447922223</v>
      </c>
      <c r="G19" s="126">
        <f t="shared" ca="1" si="4"/>
        <v>0.2194104521676668</v>
      </c>
      <c r="H19" s="126">
        <f t="shared" ca="1" si="4"/>
        <v>0.21696382941097647</v>
      </c>
      <c r="I19" s="126">
        <f t="shared" ca="1" si="4"/>
        <v>0.22269489137549744</v>
      </c>
      <c r="J19" s="126">
        <f t="shared" ca="1" si="4"/>
        <v>0.23231973305803719</v>
      </c>
      <c r="K19" s="128">
        <f t="shared" ca="1" si="4"/>
        <v>0.23380635684291448</v>
      </c>
    </row>
    <row r="20" spans="2:25" outlineLevel="1" x14ac:dyDescent="0.3">
      <c r="B20" s="123" t="s">
        <v>199</v>
      </c>
      <c r="C20" s="124"/>
      <c r="D20" s="124"/>
      <c r="E20" s="127">
        <f ca="1">IFERROR(MEDIAN(E9:E17),"-")</f>
        <v>0.23018210099478836</v>
      </c>
      <c r="F20" s="127">
        <f t="shared" ref="F20:K20" ca="1" si="5">IFERROR(MEDIAN(F9:F17),"-")</f>
        <v>0.22627291597269023</v>
      </c>
      <c r="G20" s="127">
        <f t="shared" ca="1" si="5"/>
        <v>0.20948647687213623</v>
      </c>
      <c r="H20" s="127">
        <f t="shared" ca="1" si="5"/>
        <v>0.19963167201481241</v>
      </c>
      <c r="I20" s="127">
        <f t="shared" ca="1" si="5"/>
        <v>0.21773958588380368</v>
      </c>
      <c r="J20" s="127">
        <f t="shared" ca="1" si="5"/>
        <v>0.2266187050359722</v>
      </c>
      <c r="K20" s="129">
        <f t="shared" ca="1" si="5"/>
        <v>0.22392472408496431</v>
      </c>
    </row>
    <row r="21" spans="2:25" ht="5.15" customHeight="1" outlineLevel="1" x14ac:dyDescent="0.3">
      <c r="B21" s="37"/>
    </row>
    <row r="22" spans="2:25" outlineLevel="1" x14ac:dyDescent="0.3">
      <c r="B22" s="120" t="s">
        <v>121</v>
      </c>
    </row>
    <row r="23" spans="2:25" outlineLevel="1" x14ac:dyDescent="0.3">
      <c r="B23" s="37" t="s">
        <v>189</v>
      </c>
      <c r="E23" s="114">
        <f ca="1">INDEX(INDIRECT($B23&amp;"!C53:N78"),MATCH($B$22,INDIRECT($B23&amp;"!B53:B78"),0),MATCH(E$4,INDIRECT($B23&amp;"!C52:N52"),0))</f>
        <v>0.22925407276822052</v>
      </c>
      <c r="F23" s="114">
        <f t="shared" ref="F23:K31" ca="1" si="6">INDEX(INDIRECT($B23&amp;"!C53:N78"),MATCH($B$22,INDIRECT($B23&amp;"!B53:B78"),0),MATCH(F$4,INDIRECT($B23&amp;"!C52:N52"),0))</f>
        <v>0.22340686283934569</v>
      </c>
      <c r="G23" s="114">
        <f t="shared" ca="1" si="6"/>
        <v>0.23171547382136515</v>
      </c>
      <c r="H23" s="114">
        <f t="shared" ca="1" si="6"/>
        <v>0.23800524635948389</v>
      </c>
      <c r="I23" s="114">
        <f t="shared" ca="1" si="6"/>
        <v>0.24692334997055967</v>
      </c>
      <c r="J23" s="114">
        <f t="shared" ca="1" si="6"/>
        <v>0.23908977568875828</v>
      </c>
      <c r="K23" s="114">
        <f t="shared" ca="1" si="6"/>
        <v>0.24140050633004037</v>
      </c>
    </row>
    <row r="24" spans="2:25" outlineLevel="1" x14ac:dyDescent="0.3">
      <c r="B24" s="37" t="s">
        <v>190</v>
      </c>
      <c r="E24" s="114">
        <f t="shared" ref="E24:E31" ca="1" si="7">INDEX(INDIRECT($B24&amp;"!C53:N78"),MATCH($B$22,INDIRECT($B24&amp;"!B53:B78"),0),MATCH(E$4,INDIRECT($B24&amp;"!C52:N52"),0))</f>
        <v>0.10591083109941023</v>
      </c>
      <c r="F24" s="114">
        <f t="shared" ca="1" si="6"/>
        <v>0.10901621045780846</v>
      </c>
      <c r="G24" s="114">
        <f t="shared" ca="1" si="6"/>
        <v>0.11364949511799811</v>
      </c>
      <c r="H24" s="114">
        <f t="shared" ca="1" si="6"/>
        <v>0.11311764656580917</v>
      </c>
      <c r="I24" s="114" t="str">
        <f t="shared" ca="1" si="6"/>
        <v>-</v>
      </c>
      <c r="J24" s="114">
        <f t="shared" ca="1" si="6"/>
        <v>0.14252487416210463</v>
      </c>
      <c r="K24" s="114">
        <f t="shared" ca="1" si="6"/>
        <v>0.15853060102253455</v>
      </c>
    </row>
    <row r="25" spans="2:25" outlineLevel="1" x14ac:dyDescent="0.3">
      <c r="B25" s="37" t="s">
        <v>191</v>
      </c>
      <c r="E25" s="114">
        <f t="shared" ca="1" si="7"/>
        <v>3.6818761751142945E-2</v>
      </c>
      <c r="F25" s="114">
        <f t="shared" ca="1" si="6"/>
        <v>3.918779424877155E-2</v>
      </c>
      <c r="G25" s="114">
        <f t="shared" ca="1" si="6"/>
        <v>-1.0371626266719641E-2</v>
      </c>
      <c r="H25" s="114">
        <f t="shared" ca="1" si="6"/>
        <v>2.1024151475474102E-2</v>
      </c>
      <c r="I25" s="114">
        <f t="shared" ca="1" si="6"/>
        <v>7.218998282673586E-2</v>
      </c>
      <c r="J25" s="114">
        <f t="shared" ca="1" si="6"/>
        <v>8.321340547020073E-2</v>
      </c>
      <c r="K25" s="114">
        <f t="shared" ca="1" si="6"/>
        <v>5.1895953730026381E-2</v>
      </c>
    </row>
    <row r="26" spans="2:25" outlineLevel="1" x14ac:dyDescent="0.3">
      <c r="B26" s="37" t="s">
        <v>192</v>
      </c>
      <c r="E26" s="114">
        <f t="shared" ca="1" si="7"/>
        <v>8.7987115103202188E-2</v>
      </c>
      <c r="F26" s="114">
        <f t="shared" ca="1" si="6"/>
        <v>8.2358440890916332E-2</v>
      </c>
      <c r="G26" s="114">
        <f t="shared" ca="1" si="6"/>
        <v>7.4298570314030171E-2</v>
      </c>
      <c r="H26" s="114">
        <f t="shared" ca="1" si="6"/>
        <v>7.8450359972881814E-2</v>
      </c>
      <c r="I26" s="114">
        <f t="shared" ca="1" si="6"/>
        <v>0.11373812034758701</v>
      </c>
      <c r="J26" s="114">
        <f t="shared" ca="1" si="6"/>
        <v>9.3244530678608134E-2</v>
      </c>
      <c r="K26" s="114">
        <f t="shared" ca="1" si="6"/>
        <v>8.3073068027531491E-2</v>
      </c>
      <c r="P26" s="238" t="s">
        <v>772</v>
      </c>
      <c r="Q26" s="114" t="s">
        <v>698</v>
      </c>
      <c r="R26" t="s">
        <v>190</v>
      </c>
      <c r="S26" t="s">
        <v>775</v>
      </c>
      <c r="T26" t="s">
        <v>717</v>
      </c>
      <c r="U26" t="s">
        <v>720</v>
      </c>
      <c r="V26" t="s">
        <v>194</v>
      </c>
      <c r="W26" t="s">
        <v>195</v>
      </c>
      <c r="X26" t="s">
        <v>196</v>
      </c>
      <c r="Y26" t="s">
        <v>776</v>
      </c>
    </row>
    <row r="27" spans="2:25" outlineLevel="1" x14ac:dyDescent="0.3">
      <c r="B27" s="37" t="s">
        <v>193</v>
      </c>
      <c r="E27" s="114">
        <f t="shared" ca="1" si="7"/>
        <v>0.15315828168426537</v>
      </c>
      <c r="F27" s="114">
        <f t="shared" ca="1" si="6"/>
        <v>0.15338228449164795</v>
      </c>
      <c r="G27" s="114">
        <f t="shared" ca="1" si="6"/>
        <v>0.13881833532202012</v>
      </c>
      <c r="H27" s="114">
        <f t="shared" ca="1" si="6"/>
        <v>0.12624134942977938</v>
      </c>
      <c r="I27" s="114">
        <f t="shared" ca="1" si="6"/>
        <v>0.13762243372577565</v>
      </c>
      <c r="J27" s="114">
        <f t="shared" ca="1" si="6"/>
        <v>0.13449820126336989</v>
      </c>
      <c r="K27" s="114">
        <f t="shared" ca="1" si="6"/>
        <v>0.12504199796806542</v>
      </c>
      <c r="O27" t="s">
        <v>121</v>
      </c>
      <c r="P27" s="201">
        <f>K222</f>
        <v>0.17388695987461925</v>
      </c>
      <c r="Q27" s="201">
        <f ca="1">AVERAGE(E23:J23)</f>
        <v>0.23473246357462219</v>
      </c>
      <c r="R27" s="201">
        <f ca="1">AVERAGE(E24:J24)</f>
        <v>0.1168438114806261</v>
      </c>
      <c r="S27" s="201">
        <f ca="1">AVERAGE(E25:J25)</f>
        <v>4.034374491760092E-2</v>
      </c>
      <c r="T27" s="201">
        <f ca="1">AVERAGE(E26:J26)</f>
        <v>8.8346189551204268E-2</v>
      </c>
      <c r="U27" s="201">
        <f ca="1">AVERAGE(E27:J27)</f>
        <v>0.14062014765280972</v>
      </c>
      <c r="V27" s="201">
        <f ca="1">AVERAGE(E28:J28)</f>
        <v>-0.10921564812779824</v>
      </c>
      <c r="W27" s="201">
        <f ca="1">AVERAGE(E29:J29)</f>
        <v>1.1587777863870975E-2</v>
      </c>
      <c r="X27" s="201">
        <f ca="1">AVERAGE(E30:J30)</f>
        <v>0.16509884310685485</v>
      </c>
      <c r="Y27" s="201">
        <f ca="1">AVERAGE(E31:J31)</f>
        <v>8.8549725602368512E-2</v>
      </c>
    </row>
    <row r="28" spans="2:25" outlineLevel="1" x14ac:dyDescent="0.3">
      <c r="B28" s="37" t="s">
        <v>194</v>
      </c>
      <c r="E28" s="114" t="str">
        <f t="shared" ca="1" si="7"/>
        <v>-</v>
      </c>
      <c r="F28" s="114" t="str">
        <f t="shared" ca="1" si="6"/>
        <v>-</v>
      </c>
      <c r="G28" s="114">
        <f t="shared" ca="1" si="6"/>
        <v>-0.22650139687400425</v>
      </c>
      <c r="H28" s="114">
        <f t="shared" ca="1" si="6"/>
        <v>-0.16044816304615325</v>
      </c>
      <c r="I28" s="114">
        <f t="shared" ca="1" si="6"/>
        <v>-3.326848428941321E-2</v>
      </c>
      <c r="J28" s="114">
        <f t="shared" ca="1" si="6"/>
        <v>-1.6644548301622285E-2</v>
      </c>
      <c r="K28" s="114">
        <f t="shared" ca="1" si="6"/>
        <v>-1.7771358018472834E-3</v>
      </c>
      <c r="O28" t="s">
        <v>771</v>
      </c>
      <c r="P28" s="201">
        <f>K223</f>
        <v>7.7677502471750079E-2</v>
      </c>
      <c r="Q28" s="201">
        <f ca="1">AVERAGE(E37:J37)</f>
        <v>0.20196436841287771</v>
      </c>
      <c r="R28" s="201">
        <f ca="1">AVERAGE(E38:J38)</f>
        <v>0.1016453948757258</v>
      </c>
      <c r="S28" s="201">
        <f ca="1">AVERAGE(E39:J39)</f>
        <v>2.7400178951625762E-2</v>
      </c>
      <c r="T28" s="201">
        <f ca="1">AVERAGE(E40:J40)</f>
        <v>2.4399849867168883E-2</v>
      </c>
      <c r="U28" s="201">
        <f ca="1">AVERAGE(E41:J41)</f>
        <v>5.6015256351671587E-2</v>
      </c>
      <c r="V28" s="201">
        <f ca="1">AVERAGE(E42:J42)</f>
        <v>-0.12194451963906391</v>
      </c>
      <c r="W28" s="201">
        <f ca="1">AVERAGE(E43:J43)</f>
        <v>7.0461438095390768E-3</v>
      </c>
      <c r="X28" s="201">
        <f ca="1">AVERAGE(E44:J44)</f>
        <v>7.687460195816416E-2</v>
      </c>
      <c r="Y28" s="201">
        <f ca="1">AVERAGE(E45:J45)</f>
        <v>6.2353464627741599E-2</v>
      </c>
    </row>
    <row r="29" spans="2:25" outlineLevel="1" x14ac:dyDescent="0.3">
      <c r="B29" s="37" t="s">
        <v>195</v>
      </c>
      <c r="E29" s="114">
        <f t="shared" ca="1" si="7"/>
        <v>2.4125614978244853E-2</v>
      </c>
      <c r="F29" s="114">
        <f t="shared" ca="1" si="6"/>
        <v>8.2948007806635582E-2</v>
      </c>
      <c r="G29" s="114">
        <f t="shared" ca="1" si="6"/>
        <v>6.6231476753902799E-2</v>
      </c>
      <c r="H29" s="114">
        <f t="shared" ca="1" si="6"/>
        <v>5.7992201946484807E-2</v>
      </c>
      <c r="I29" s="114">
        <f t="shared" ca="1" si="6"/>
        <v>-9.0891504093460418E-2</v>
      </c>
      <c r="J29" s="114">
        <f t="shared" ca="1" si="6"/>
        <v>-7.0879130208581761E-2</v>
      </c>
      <c r="K29" s="114" t="str">
        <f t="shared" ca="1" si="6"/>
        <v>-</v>
      </c>
      <c r="O29" t="s">
        <v>773</v>
      </c>
      <c r="P29" s="201">
        <f ca="1">AVERAGE(E33:J33)</f>
        <v>9.4075952752375361E-2</v>
      </c>
      <c r="Q29" s="201">
        <f ca="1">P29</f>
        <v>9.4075952752375361E-2</v>
      </c>
      <c r="R29" s="201">
        <f t="shared" ref="R29:Y29" ca="1" si="8">Q29</f>
        <v>9.4075952752375361E-2</v>
      </c>
      <c r="S29" s="201">
        <f t="shared" ca="1" si="8"/>
        <v>9.4075952752375361E-2</v>
      </c>
      <c r="T29" s="201">
        <f t="shared" ca="1" si="8"/>
        <v>9.4075952752375361E-2</v>
      </c>
      <c r="U29" s="201">
        <f t="shared" ca="1" si="8"/>
        <v>9.4075952752375361E-2</v>
      </c>
      <c r="V29" s="201">
        <f t="shared" ca="1" si="8"/>
        <v>9.4075952752375361E-2</v>
      </c>
      <c r="W29" s="201">
        <f t="shared" ca="1" si="8"/>
        <v>9.4075952752375361E-2</v>
      </c>
      <c r="X29" s="201">
        <f t="shared" ca="1" si="8"/>
        <v>9.4075952752375361E-2</v>
      </c>
      <c r="Y29" s="201">
        <f t="shared" ca="1" si="8"/>
        <v>9.4075952752375361E-2</v>
      </c>
    </row>
    <row r="30" spans="2:25" outlineLevel="1" x14ac:dyDescent="0.3">
      <c r="B30" s="37" t="s">
        <v>196</v>
      </c>
      <c r="E30" s="114">
        <f t="shared" ca="1" si="7"/>
        <v>0.16383181512175071</v>
      </c>
      <c r="F30" s="114">
        <f t="shared" ca="1" si="6"/>
        <v>0.16752208248855113</v>
      </c>
      <c r="G30" s="114">
        <f t="shared" ca="1" si="6"/>
        <v>0.1731349127261449</v>
      </c>
      <c r="H30" s="114">
        <f t="shared" ca="1" si="6"/>
        <v>0.16327377650844144</v>
      </c>
      <c r="I30" s="114">
        <f t="shared" ca="1" si="6"/>
        <v>0.15761734777502681</v>
      </c>
      <c r="J30" s="114">
        <f t="shared" ca="1" si="6"/>
        <v>0.1652131240212141</v>
      </c>
      <c r="K30" s="114">
        <f t="shared" ca="1" si="6"/>
        <v>0.16530250697282223</v>
      </c>
      <c r="O30" t="s">
        <v>774</v>
      </c>
      <c r="P30" s="201">
        <f ca="1">AVERAGE(E47:K47)</f>
        <v>5.4580908648283535E-2</v>
      </c>
      <c r="Q30" s="201">
        <f ca="1">P30</f>
        <v>5.4580908648283535E-2</v>
      </c>
      <c r="R30" s="201">
        <f t="shared" ref="R30:Y30" ca="1" si="9">Q30</f>
        <v>5.4580908648283535E-2</v>
      </c>
      <c r="S30" s="201">
        <f t="shared" ca="1" si="9"/>
        <v>5.4580908648283535E-2</v>
      </c>
      <c r="T30" s="201">
        <f t="shared" ca="1" si="9"/>
        <v>5.4580908648283535E-2</v>
      </c>
      <c r="U30" s="201">
        <f t="shared" ca="1" si="9"/>
        <v>5.4580908648283535E-2</v>
      </c>
      <c r="V30" s="201">
        <f t="shared" ca="1" si="9"/>
        <v>5.4580908648283535E-2</v>
      </c>
      <c r="W30" s="201">
        <f t="shared" ca="1" si="9"/>
        <v>5.4580908648283535E-2</v>
      </c>
      <c r="X30" s="201">
        <f t="shared" ca="1" si="9"/>
        <v>5.4580908648283535E-2</v>
      </c>
      <c r="Y30" s="201">
        <f t="shared" ca="1" si="9"/>
        <v>5.4580908648283535E-2</v>
      </c>
    </row>
    <row r="31" spans="2:25" outlineLevel="1" x14ac:dyDescent="0.3">
      <c r="B31" s="37" t="s">
        <v>197</v>
      </c>
      <c r="E31" s="114">
        <f t="shared" ca="1" si="7"/>
        <v>9.1597299741065161E-2</v>
      </c>
      <c r="F31" s="114">
        <f t="shared" ca="1" si="6"/>
        <v>8.6563981565889958E-2</v>
      </c>
      <c r="G31" s="114">
        <f t="shared" ca="1" si="6"/>
        <v>9.4522888557081755E-2</v>
      </c>
      <c r="H31" s="114">
        <f t="shared" ca="1" si="6"/>
        <v>5.9263380711687325E-2</v>
      </c>
      <c r="I31" s="114">
        <f t="shared" ca="1" si="6"/>
        <v>9.5572337663061349E-2</v>
      </c>
      <c r="J31" s="114">
        <f t="shared" ca="1" si="6"/>
        <v>0.10377846537542555</v>
      </c>
      <c r="K31" s="114">
        <f t="shared" ca="1" si="6"/>
        <v>8.6141811592795978E-2</v>
      </c>
    </row>
    <row r="32" spans="2:25" ht="5.15" customHeight="1" outlineLevel="1" x14ac:dyDescent="0.3">
      <c r="B32" s="37"/>
    </row>
    <row r="33" spans="2:11" outlineLevel="1" x14ac:dyDescent="0.3">
      <c r="B33" s="121" t="s">
        <v>198</v>
      </c>
      <c r="C33" s="122"/>
      <c r="D33" s="122"/>
      <c r="E33" s="126">
        <f ca="1">IFERROR(AVERAGE(E23:E31),"-")</f>
        <v>0.11158547403091275</v>
      </c>
      <c r="F33" s="126">
        <f t="shared" ref="F33:K33" ca="1" si="10">IFERROR(AVERAGE(F23:F31),"-")</f>
        <v>0.11804820809869583</v>
      </c>
      <c r="G33" s="126">
        <f t="shared" ca="1" si="10"/>
        <v>7.2833125496868781E-2</v>
      </c>
      <c r="H33" s="126">
        <f t="shared" ca="1" si="10"/>
        <v>7.7435549991543173E-2</v>
      </c>
      <c r="I33" s="126">
        <f t="shared" ca="1" si="10"/>
        <v>8.7437947990734108E-2</v>
      </c>
      <c r="J33" s="126">
        <f t="shared" ca="1" si="10"/>
        <v>9.7115410905497482E-2</v>
      </c>
      <c r="K33" s="128">
        <f t="shared" ca="1" si="10"/>
        <v>0.11370116373024615</v>
      </c>
    </row>
    <row r="34" spans="2:11" outlineLevel="1" x14ac:dyDescent="0.3">
      <c r="B34" s="123" t="s">
        <v>199</v>
      </c>
      <c r="C34" s="124"/>
      <c r="D34" s="124"/>
      <c r="E34" s="127">
        <f ca="1">IFERROR(MEDIAN(E23:E31),"-")</f>
        <v>9.8754065420237694E-2</v>
      </c>
      <c r="F34" s="127">
        <f t="shared" ref="F34:K34" ca="1" si="11">IFERROR(MEDIAN(F23:F31),"-")</f>
        <v>9.7790096011849209E-2</v>
      </c>
      <c r="G34" s="127">
        <f t="shared" ca="1" si="11"/>
        <v>9.4522888557081755E-2</v>
      </c>
      <c r="H34" s="127">
        <f t="shared" ca="1" si="11"/>
        <v>7.8450359972881814E-2</v>
      </c>
      <c r="I34" s="127">
        <f t="shared" ca="1" si="11"/>
        <v>0.10465522900532417</v>
      </c>
      <c r="J34" s="127">
        <f t="shared" ca="1" si="11"/>
        <v>0.10377846537542555</v>
      </c>
      <c r="K34" s="129">
        <f t="shared" ca="1" si="11"/>
        <v>0.10559190478043071</v>
      </c>
    </row>
    <row r="35" spans="2:11" ht="5.15" customHeight="1" outlineLevel="1" x14ac:dyDescent="0.3">
      <c r="B35" s="37"/>
    </row>
    <row r="36" spans="2:11" outlineLevel="1" x14ac:dyDescent="0.3">
      <c r="B36" s="120" t="s">
        <v>166</v>
      </c>
    </row>
    <row r="37" spans="2:11" outlineLevel="1" x14ac:dyDescent="0.3">
      <c r="B37" s="37" t="s">
        <v>189</v>
      </c>
      <c r="E37" s="114">
        <f ca="1">INDEX(INDIRECT($B37&amp;"!C53:N78"),MATCH($B$36,INDIRECT($B37&amp;"!B53:B78"),0),MATCH(E$4,INDIRECT($B37&amp;"!C52:N52"),0))</f>
        <v>0.19961314220004336</v>
      </c>
      <c r="F37" s="114">
        <f t="shared" ref="F37:K45" ca="1" si="12">INDEX(INDIRECT($B37&amp;"!C53:N78"),MATCH($B$36,INDIRECT($B37&amp;"!B53:B78"),0),MATCH(F$4,INDIRECT($B37&amp;"!C52:N52"),0))</f>
        <v>0.19270833338953286</v>
      </c>
      <c r="G37" s="114">
        <f t="shared" ca="1" si="12"/>
        <v>0.19614970777273652</v>
      </c>
      <c r="H37" s="114">
        <f t="shared" ca="1" si="12"/>
        <v>0.20404479167495163</v>
      </c>
      <c r="I37" s="114">
        <f t="shared" ca="1" si="12"/>
        <v>0.2148334107289871</v>
      </c>
      <c r="J37" s="114">
        <f t="shared" ca="1" si="12"/>
        <v>0.2044368247110149</v>
      </c>
      <c r="K37" s="114">
        <f t="shared" ca="1" si="12"/>
        <v>0.20324063823913477</v>
      </c>
    </row>
    <row r="38" spans="2:11" outlineLevel="1" x14ac:dyDescent="0.3">
      <c r="B38" s="37" t="s">
        <v>190</v>
      </c>
      <c r="E38" s="114">
        <f t="shared" ref="E38:E45" ca="1" si="13">INDEX(INDIRECT($B38&amp;"!C53:N78"),MATCH($B$36,INDIRECT($B38&amp;"!B53:B78"),0),MATCH(E$4,INDIRECT($B38&amp;"!C52:N52"),0))</f>
        <v>9.1274616558168292E-2</v>
      </c>
      <c r="F38" s="114">
        <f t="shared" ca="1" si="12"/>
        <v>9.4042650825644919E-2</v>
      </c>
      <c r="G38" s="114">
        <f t="shared" ca="1" si="12"/>
        <v>9.8100994308163686E-2</v>
      </c>
      <c r="H38" s="114">
        <f t="shared" ca="1" si="12"/>
        <v>9.7778450413429696E-2</v>
      </c>
      <c r="I38" s="114" t="str">
        <f t="shared" ca="1" si="12"/>
        <v>-</v>
      </c>
      <c r="J38" s="114">
        <f t="shared" ca="1" si="12"/>
        <v>0.12703026227322231</v>
      </c>
      <c r="K38" s="114">
        <f t="shared" ca="1" si="12"/>
        <v>0.14606494371421608</v>
      </c>
    </row>
    <row r="39" spans="2:11" outlineLevel="1" x14ac:dyDescent="0.3">
      <c r="B39" s="37" t="s">
        <v>191</v>
      </c>
      <c r="E39" s="114">
        <f t="shared" ca="1" si="13"/>
        <v>2.3664863255035529E-2</v>
      </c>
      <c r="F39" s="114">
        <f t="shared" ca="1" si="12"/>
        <v>2.3932292221454619E-2</v>
      </c>
      <c r="G39" s="114">
        <f t="shared" ca="1" si="12"/>
        <v>-2.5392595348375201E-2</v>
      </c>
      <c r="H39" s="114">
        <f t="shared" ca="1" si="12"/>
        <v>8.7929435182003274E-3</v>
      </c>
      <c r="I39" s="114">
        <f t="shared" ca="1" si="12"/>
        <v>6.1238861485138706E-2</v>
      </c>
      <c r="J39" s="114">
        <f t="shared" ca="1" si="12"/>
        <v>7.2164708578300596E-2</v>
      </c>
      <c r="K39" s="114">
        <f t="shared" ca="1" si="12"/>
        <v>4.0167621165229941E-2</v>
      </c>
    </row>
    <row r="40" spans="2:11" outlineLevel="1" x14ac:dyDescent="0.3">
      <c r="B40" s="37" t="s">
        <v>192</v>
      </c>
      <c r="E40" s="114">
        <f t="shared" ca="1" si="13"/>
        <v>1.8794078265382843E-2</v>
      </c>
      <c r="F40" s="114">
        <f t="shared" ca="1" si="12"/>
        <v>4.0741169792810781E-3</v>
      </c>
      <c r="G40" s="114">
        <f t="shared" ca="1" si="12"/>
        <v>7.7201409373387877E-3</v>
      </c>
      <c r="H40" s="114">
        <f t="shared" ca="1" si="12"/>
        <v>2.3900711235494154E-2</v>
      </c>
      <c r="I40" s="114">
        <f t="shared" ca="1" si="12"/>
        <v>6.0709350267364889E-2</v>
      </c>
      <c r="J40" s="114">
        <f t="shared" ca="1" si="12"/>
        <v>3.1200701518151543E-2</v>
      </c>
      <c r="K40" s="114">
        <f t="shared" ca="1" si="12"/>
        <v>2.0403642944194281E-2</v>
      </c>
    </row>
    <row r="41" spans="2:11" outlineLevel="1" x14ac:dyDescent="0.3">
      <c r="B41" s="37" t="s">
        <v>193</v>
      </c>
      <c r="E41" s="114">
        <f t="shared" ca="1" si="13"/>
        <v>5.7221873087347067E-2</v>
      </c>
      <c r="F41" s="114">
        <f t="shared" ca="1" si="12"/>
        <v>5.4322282755458362E-2</v>
      </c>
      <c r="G41" s="114">
        <f t="shared" ca="1" si="12"/>
        <v>5.6111545996754116E-2</v>
      </c>
      <c r="H41" s="114">
        <f t="shared" ca="1" si="12"/>
        <v>4.9977943246064103E-2</v>
      </c>
      <c r="I41" s="114">
        <f t="shared" ca="1" si="12"/>
        <v>6.3288032003461267E-2</v>
      </c>
      <c r="J41" s="114">
        <f t="shared" ca="1" si="12"/>
        <v>5.5169861020944566E-2</v>
      </c>
      <c r="K41" s="114">
        <f t="shared" ca="1" si="12"/>
        <v>4.371837139820435E-2</v>
      </c>
    </row>
    <row r="42" spans="2:11" outlineLevel="1" x14ac:dyDescent="0.3">
      <c r="B42" s="37" t="s">
        <v>194</v>
      </c>
      <c r="E42" s="114" t="str">
        <f t="shared" ca="1" si="13"/>
        <v>-</v>
      </c>
      <c r="F42" s="114" t="str">
        <f t="shared" ca="1" si="12"/>
        <v>-</v>
      </c>
      <c r="G42" s="114">
        <f t="shared" ca="1" si="12"/>
        <v>-0.23659558354288288</v>
      </c>
      <c r="H42" s="114">
        <f t="shared" ca="1" si="12"/>
        <v>-0.16849903234345379</v>
      </c>
      <c r="I42" s="114">
        <f t="shared" ca="1" si="12"/>
        <v>-4.6399158862481464E-2</v>
      </c>
      <c r="J42" s="114">
        <f t="shared" ca="1" si="12"/>
        <v>-3.628430380743751E-2</v>
      </c>
      <c r="K42" s="114">
        <f t="shared" ca="1" si="12"/>
        <v>-2.0168845366387776E-2</v>
      </c>
    </row>
    <row r="43" spans="2:11" outlineLevel="1" x14ac:dyDescent="0.3">
      <c r="B43" s="37" t="s">
        <v>195</v>
      </c>
      <c r="E43" s="114">
        <f t="shared" ca="1" si="13"/>
        <v>2.0460619058756499E-2</v>
      </c>
      <c r="F43" s="114">
        <f t="shared" ca="1" si="12"/>
        <v>8.1390824854822477E-2</v>
      </c>
      <c r="G43" s="114">
        <f t="shared" ca="1" si="12"/>
        <v>6.319272301918244E-2</v>
      </c>
      <c r="H43" s="114">
        <f t="shared" ca="1" si="12"/>
        <v>5.3584208260483969E-2</v>
      </c>
      <c r="I43" s="114">
        <f t="shared" ca="1" si="12"/>
        <v>-9.8653913692121023E-2</v>
      </c>
      <c r="J43" s="114">
        <f t="shared" ca="1" si="12"/>
        <v>-7.7697598643889892E-2</v>
      </c>
      <c r="K43" s="114">
        <f t="shared" ca="1" si="12"/>
        <v>-7.5104141389778986E-2</v>
      </c>
    </row>
    <row r="44" spans="2:11" outlineLevel="1" x14ac:dyDescent="0.3">
      <c r="B44" s="37" t="s">
        <v>196</v>
      </c>
      <c r="E44" s="114">
        <f t="shared" ca="1" si="13"/>
        <v>7.0211495523931536E-2</v>
      </c>
      <c r="F44" s="114">
        <f t="shared" ca="1" si="12"/>
        <v>7.0510104041459049E-2</v>
      </c>
      <c r="G44" s="114">
        <f t="shared" ca="1" si="12"/>
        <v>8.4779170789291522E-2</v>
      </c>
      <c r="H44" s="114">
        <f t="shared" ca="1" si="12"/>
        <v>7.9458038911727896E-2</v>
      </c>
      <c r="I44" s="114">
        <f t="shared" ca="1" si="12"/>
        <v>7.7777098595770172E-2</v>
      </c>
      <c r="J44" s="114">
        <f t="shared" ca="1" si="12"/>
        <v>7.8511703886804687E-2</v>
      </c>
      <c r="K44" s="114">
        <f t="shared" ca="1" si="12"/>
        <v>7.7929764663565021E-2</v>
      </c>
    </row>
    <row r="45" spans="2:11" outlineLevel="1" x14ac:dyDescent="0.3">
      <c r="B45" s="37" t="s">
        <v>197</v>
      </c>
      <c r="E45" s="114">
        <f t="shared" ca="1" si="13"/>
        <v>6.9332534700180595E-2</v>
      </c>
      <c r="F45" s="114">
        <f t="shared" ca="1" si="12"/>
        <v>5.4552852965576409E-2</v>
      </c>
      <c r="G45" s="114">
        <f t="shared" ca="1" si="12"/>
        <v>6.5827973474634094E-2</v>
      </c>
      <c r="H45" s="114">
        <f t="shared" ca="1" si="12"/>
        <v>3.6012037464002569E-2</v>
      </c>
      <c r="I45" s="114">
        <f t="shared" ca="1" si="12"/>
        <v>7.441685194782037E-2</v>
      </c>
      <c r="J45" s="114">
        <f t="shared" ca="1" si="12"/>
        <v>7.3978537214235529E-2</v>
      </c>
      <c r="K45" s="114">
        <f t="shared" ca="1" si="12"/>
        <v>5.3908518133877384E-2</v>
      </c>
    </row>
    <row r="46" spans="2:11" ht="5.15" customHeight="1" outlineLevel="1" x14ac:dyDescent="0.3">
      <c r="B46" s="37"/>
    </row>
    <row r="47" spans="2:11" outlineLevel="1" x14ac:dyDescent="0.3">
      <c r="B47" s="121" t="s">
        <v>198</v>
      </c>
      <c r="C47" s="122"/>
      <c r="D47" s="122"/>
      <c r="E47" s="126">
        <f ca="1">IFERROR(AVERAGE(E37:E45),"-")</f>
        <v>6.8821652831105709E-2</v>
      </c>
      <c r="F47" s="126">
        <f t="shared" ref="F47:K47" ca="1" si="14">IFERROR(AVERAGE(F37:F45),"-")</f>
        <v>7.1941682254153719E-2</v>
      </c>
      <c r="G47" s="126">
        <f t="shared" ca="1" si="14"/>
        <v>3.4432675267427014E-2</v>
      </c>
      <c r="H47" s="126">
        <f t="shared" ca="1" si="14"/>
        <v>4.2783343597877825E-2</v>
      </c>
      <c r="I47" s="126">
        <f t="shared" ca="1" si="14"/>
        <v>5.0901316559242508E-2</v>
      </c>
      <c r="J47" s="126">
        <f t="shared" ca="1" si="14"/>
        <v>5.8723410750149627E-2</v>
      </c>
      <c r="K47" s="128">
        <f t="shared" ca="1" si="14"/>
        <v>5.4462279278028325E-2</v>
      </c>
    </row>
    <row r="48" spans="2:11" outlineLevel="1" x14ac:dyDescent="0.3">
      <c r="B48" s="123" t="s">
        <v>199</v>
      </c>
      <c r="C48" s="124"/>
      <c r="D48" s="124"/>
      <c r="E48" s="127">
        <f ca="1">IFERROR(MEDIAN(E37:E45),"-")</f>
        <v>6.3277203893763831E-2</v>
      </c>
      <c r="F48" s="127">
        <f t="shared" ref="F48:K48" ca="1" si="15">IFERROR(MEDIAN(F37:F45),"-")</f>
        <v>6.2531478503517729E-2</v>
      </c>
      <c r="G48" s="127">
        <f t="shared" ca="1" si="15"/>
        <v>6.319272301918244E-2</v>
      </c>
      <c r="H48" s="127">
        <f t="shared" ca="1" si="15"/>
        <v>4.9977943246064103E-2</v>
      </c>
      <c r="I48" s="127">
        <f t="shared" ca="1" si="15"/>
        <v>6.2263446744299983E-2</v>
      </c>
      <c r="J48" s="127">
        <f t="shared" ca="1" si="15"/>
        <v>7.2164708578300596E-2</v>
      </c>
      <c r="K48" s="129">
        <f t="shared" ca="1" si="15"/>
        <v>4.371837139820435E-2</v>
      </c>
    </row>
    <row r="49" spans="2:11" ht="5.15" customHeight="1" outlineLevel="1" x14ac:dyDescent="0.3">
      <c r="B49" s="37"/>
    </row>
    <row r="50" spans="2:11" outlineLevel="1" x14ac:dyDescent="0.3">
      <c r="B50" s="120" t="s">
        <v>167</v>
      </c>
    </row>
    <row r="51" spans="2:11" outlineLevel="1" x14ac:dyDescent="0.3">
      <c r="B51" s="37" t="s">
        <v>189</v>
      </c>
      <c r="E51" s="114">
        <f ca="1">INDEX(INDIRECT($B51&amp;"!C53:N78"),MATCH($B$50,INDIRECT($B51&amp;"!B53:B78"),0),MATCH(E$4,INDIRECT($B51&amp;"!C52:N52"),0))</f>
        <v>0.16735683539475851</v>
      </c>
      <c r="F51" s="114">
        <f t="shared" ref="F51:K59" ca="1" si="16">INDEX(INDIRECT($B51&amp;"!C53:N78"),MATCH($B$50,INDIRECT($B51&amp;"!B53:B78"),0),MATCH(F$4,INDIRECT($B51&amp;"!C52:N52"),0))</f>
        <v>0.14641544117647068</v>
      </c>
      <c r="G51" s="114">
        <f t="shared" ca="1" si="16"/>
        <v>0.16116555675109787</v>
      </c>
      <c r="H51" s="114">
        <f t="shared" ca="1" si="16"/>
        <v>0.14007277240289961</v>
      </c>
      <c r="I51" s="114">
        <f t="shared" ca="1" si="16"/>
        <v>0.15439190111059581</v>
      </c>
      <c r="J51" s="114">
        <f t="shared" ca="1" si="16"/>
        <v>0.1481972152950953</v>
      </c>
      <c r="K51" s="114">
        <f t="shared" ca="1" si="16"/>
        <v>0.15069705687098917</v>
      </c>
    </row>
    <row r="52" spans="2:11" outlineLevel="1" x14ac:dyDescent="0.3">
      <c r="B52" s="37" t="s">
        <v>190</v>
      </c>
      <c r="E52" s="114">
        <f t="shared" ref="E52:E59" ca="1" si="17">INDEX(INDIRECT($B52&amp;"!C53:N78"),MATCH($B$50,INDIRECT($B52&amp;"!B53:B78"),0),MATCH(E$4,INDIRECT($B52&amp;"!C52:N52"),0))</f>
        <v>6.3248545168517065E-2</v>
      </c>
      <c r="F52" s="114">
        <f t="shared" ca="1" si="16"/>
        <v>6.834746424366217E-2</v>
      </c>
      <c r="G52" s="114">
        <f t="shared" ca="1" si="16"/>
        <v>7.003755846549066E-2</v>
      </c>
      <c r="H52" s="114">
        <f t="shared" ca="1" si="16"/>
        <v>6.852715135848178E-2</v>
      </c>
      <c r="I52" s="114" t="str">
        <f t="shared" ca="1" si="16"/>
        <v>-</v>
      </c>
      <c r="J52" s="114">
        <f t="shared" ca="1" si="16"/>
        <v>0.10135682174891862</v>
      </c>
      <c r="K52" s="114">
        <f t="shared" ca="1" si="16"/>
        <v>0.11846653380678508</v>
      </c>
    </row>
    <row r="53" spans="2:11" outlineLevel="1" x14ac:dyDescent="0.3">
      <c r="B53" s="37" t="s">
        <v>191</v>
      </c>
      <c r="E53" s="114">
        <f t="shared" ca="1" si="17"/>
        <v>1.0875508840148262E-2</v>
      </c>
      <c r="F53" s="114">
        <f t="shared" ca="1" si="16"/>
        <v>1.3192987447103594E-2</v>
      </c>
      <c r="G53" s="114">
        <f t="shared" ca="1" si="16"/>
        <v>-5.6247358324934098E-2</v>
      </c>
      <c r="H53" s="114">
        <f t="shared" ca="1" si="16"/>
        <v>-2.0883239861342051E-2</v>
      </c>
      <c r="I53" s="114">
        <f t="shared" ca="1" si="16"/>
        <v>3.0570866619721585E-2</v>
      </c>
      <c r="J53" s="114">
        <f t="shared" ca="1" si="16"/>
        <v>3.3030035745787098E-2</v>
      </c>
      <c r="K53" s="114">
        <f t="shared" ca="1" si="16"/>
        <v>6.899018806214238E-4</v>
      </c>
    </row>
    <row r="54" spans="2:11" outlineLevel="1" x14ac:dyDescent="0.3">
      <c r="B54" s="37" t="s">
        <v>192</v>
      </c>
      <c r="E54" s="114">
        <f t="shared" ca="1" si="17"/>
        <v>-1.1676965503722278E-2</v>
      </c>
      <c r="F54" s="114">
        <f t="shared" ca="1" si="16"/>
        <v>-6.850644706459348E-3</v>
      </c>
      <c r="G54" s="114">
        <f t="shared" ca="1" si="16"/>
        <v>1.5405903662608562E-3</v>
      </c>
      <c r="H54" s="114">
        <f t="shared" ca="1" si="16"/>
        <v>1.1232960851189674E-2</v>
      </c>
      <c r="I54" s="114">
        <f t="shared" ca="1" si="16"/>
        <v>3.9215127463413879E-2</v>
      </c>
      <c r="J54" s="114">
        <f t="shared" ca="1" si="16"/>
        <v>1.3018446680709275E-2</v>
      </c>
      <c r="K54" s="114">
        <f t="shared" ca="1" si="16"/>
        <v>-3.0804004367845947E-3</v>
      </c>
    </row>
    <row r="55" spans="2:11" outlineLevel="1" x14ac:dyDescent="0.3">
      <c r="B55" s="37" t="s">
        <v>193</v>
      </c>
      <c r="E55" s="114">
        <f t="shared" ca="1" si="17"/>
        <v>6.7184776326302945E-2</v>
      </c>
      <c r="F55" s="114">
        <f t="shared" ca="1" si="16"/>
        <v>6.4532819210858614E-2</v>
      </c>
      <c r="G55" s="114">
        <f t="shared" ca="1" si="16"/>
        <v>6.6652422405434425E-2</v>
      </c>
      <c r="H55" s="114">
        <f t="shared" ca="1" si="16"/>
        <v>5.7061307598381149E-2</v>
      </c>
      <c r="I55" s="114">
        <f t="shared" ca="1" si="16"/>
        <v>5.9683215481561927E-2</v>
      </c>
      <c r="J55" s="114">
        <f t="shared" ca="1" si="16"/>
        <v>6.4213960201557618E-2</v>
      </c>
      <c r="K55" s="114">
        <f t="shared" ca="1" si="16"/>
        <v>4.9902947381323171E-2</v>
      </c>
    </row>
    <row r="56" spans="2:11" outlineLevel="1" x14ac:dyDescent="0.3">
      <c r="B56" s="37" t="s">
        <v>194</v>
      </c>
      <c r="E56" s="114" t="str">
        <f t="shared" ca="1" si="17"/>
        <v>-</v>
      </c>
      <c r="F56" s="114" t="str">
        <f t="shared" ca="1" si="16"/>
        <v>-</v>
      </c>
      <c r="G56" s="114">
        <f t="shared" ca="1" si="16"/>
        <v>-1.156726983442103E-2</v>
      </c>
      <c r="H56" s="114">
        <f t="shared" ca="1" si="16"/>
        <v>-2.0278853351754726E-2</v>
      </c>
      <c r="I56" s="114">
        <f t="shared" ca="1" si="16"/>
        <v>-7.5439874867113304E-3</v>
      </c>
      <c r="J56" s="114">
        <f t="shared" ca="1" si="16"/>
        <v>-7.5378673581014332E-3</v>
      </c>
      <c r="K56" s="114">
        <f t="shared" ca="1" si="16"/>
        <v>-3.7732974248072585E-3</v>
      </c>
    </row>
    <row r="57" spans="2:11" outlineLevel="1" x14ac:dyDescent="0.3">
      <c r="B57" s="37" t="s">
        <v>195</v>
      </c>
      <c r="E57" s="114">
        <f t="shared" ca="1" si="17"/>
        <v>2.7732493354484973E-2</v>
      </c>
      <c r="F57" s="114">
        <f t="shared" ca="1" si="16"/>
        <v>7.0255435090084487E-2</v>
      </c>
      <c r="G57" s="114">
        <f t="shared" ca="1" si="16"/>
        <v>6.7827181411450235E-2</v>
      </c>
      <c r="H57" s="114">
        <f t="shared" ca="1" si="16"/>
        <v>5.348646812333617E-2</v>
      </c>
      <c r="I57" s="114">
        <f t="shared" ca="1" si="16"/>
        <v>-6.839980565403303E-2</v>
      </c>
      <c r="J57" s="114">
        <f t="shared" ca="1" si="16"/>
        <v>-4.2205296582539138E-2</v>
      </c>
      <c r="K57" s="114">
        <f t="shared" ca="1" si="16"/>
        <v>-4.1782053509416682E-2</v>
      </c>
    </row>
    <row r="58" spans="2:11" outlineLevel="1" x14ac:dyDescent="0.3">
      <c r="B58" s="37" t="s">
        <v>196</v>
      </c>
      <c r="E58" s="114">
        <f t="shared" ca="1" si="17"/>
        <v>4.3470478964614236E-2</v>
      </c>
      <c r="F58" s="114">
        <f t="shared" ca="1" si="16"/>
        <v>3.9719072832172034E-2</v>
      </c>
      <c r="G58" s="114">
        <f t="shared" ca="1" si="16"/>
        <v>6.2797079589557561E-2</v>
      </c>
      <c r="H58" s="114">
        <f t="shared" ca="1" si="16"/>
        <v>5.6508794124402149E-2</v>
      </c>
      <c r="I58" s="114">
        <f t="shared" ca="1" si="16"/>
        <v>5.3963414689120061E-2</v>
      </c>
      <c r="J58" s="114">
        <f t="shared" ca="1" si="16"/>
        <v>5.3597777696997931E-2</v>
      </c>
      <c r="K58" s="114">
        <f t="shared" ca="1" si="16"/>
        <v>5.2497574991007566E-2</v>
      </c>
    </row>
    <row r="59" spans="2:11" outlineLevel="1" x14ac:dyDescent="0.3">
      <c r="B59" s="37" t="s">
        <v>197</v>
      </c>
      <c r="E59" s="114">
        <f t="shared" ca="1" si="17"/>
        <v>4.5675415807491196E-2</v>
      </c>
      <c r="F59" s="114">
        <f t="shared" ca="1" si="16"/>
        <v>2.4971847290873473E-2</v>
      </c>
      <c r="G59" s="114">
        <f t="shared" ca="1" si="16"/>
        <v>4.6280692826084519E-2</v>
      </c>
      <c r="H59" s="114">
        <f t="shared" ca="1" si="16"/>
        <v>2.317258398553201E-2</v>
      </c>
      <c r="I59" s="114">
        <f t="shared" ca="1" si="16"/>
        <v>4.9939191561209649E-2</v>
      </c>
      <c r="J59" s="114">
        <f t="shared" ca="1" si="16"/>
        <v>4.5888357669922504E-2</v>
      </c>
      <c r="K59" s="114">
        <f t="shared" ca="1" si="16"/>
        <v>2.8842713462508475E-2</v>
      </c>
    </row>
    <row r="60" spans="2:11" ht="5.15" customHeight="1" outlineLevel="1" x14ac:dyDescent="0.3">
      <c r="B60" s="37"/>
    </row>
    <row r="61" spans="2:11" outlineLevel="1" x14ac:dyDescent="0.3">
      <c r="B61" s="121" t="s">
        <v>198</v>
      </c>
      <c r="C61" s="122"/>
      <c r="D61" s="122"/>
      <c r="E61" s="126">
        <f ca="1">IFERROR(AVERAGE(E51:E59),"-")</f>
        <v>5.1733386044074361E-2</v>
      </c>
      <c r="F61" s="126">
        <f t="shared" ref="F61:K61" ca="1" si="18">IFERROR(AVERAGE(F51:F59),"-")</f>
        <v>5.2573052823095712E-2</v>
      </c>
      <c r="G61" s="126">
        <f t="shared" ca="1" si="18"/>
        <v>4.5387383739557891E-2</v>
      </c>
      <c r="H61" s="126">
        <f t="shared" ca="1" si="18"/>
        <v>4.0988882803458415E-2</v>
      </c>
      <c r="I61" s="126">
        <f t="shared" ca="1" si="18"/>
        <v>3.8977490473109819E-2</v>
      </c>
      <c r="J61" s="126">
        <f t="shared" ca="1" si="18"/>
        <v>4.5506605677594202E-2</v>
      </c>
      <c r="K61" s="128">
        <f t="shared" ca="1" si="18"/>
        <v>3.9162330780247369E-2</v>
      </c>
    </row>
    <row r="62" spans="2:11" outlineLevel="1" x14ac:dyDescent="0.3">
      <c r="B62" s="123" t="s">
        <v>199</v>
      </c>
      <c r="C62" s="124"/>
      <c r="D62" s="124"/>
      <c r="E62" s="127">
        <f ca="1">IFERROR(MEDIAN(E51:E59),"-")</f>
        <v>4.4572947386052719E-2</v>
      </c>
      <c r="F62" s="127">
        <f t="shared" ref="F62:K62" ca="1" si="19">IFERROR(MEDIAN(F51:F59),"-")</f>
        <v>5.2125946021515324E-2</v>
      </c>
      <c r="G62" s="127">
        <f t="shared" ca="1" si="19"/>
        <v>6.2797079589557561E-2</v>
      </c>
      <c r="H62" s="127">
        <f t="shared" ca="1" si="19"/>
        <v>5.348646812333617E-2</v>
      </c>
      <c r="I62" s="127">
        <f t="shared" ca="1" si="19"/>
        <v>4.4577159512311768E-2</v>
      </c>
      <c r="J62" s="127">
        <f t="shared" ca="1" si="19"/>
        <v>4.5888357669922504E-2</v>
      </c>
      <c r="K62" s="129">
        <f t="shared" ca="1" si="19"/>
        <v>2.8842713462508475E-2</v>
      </c>
    </row>
    <row r="63" spans="2:11" ht="5.15" customHeight="1" outlineLevel="1" x14ac:dyDescent="0.3">
      <c r="B63" s="37"/>
    </row>
    <row r="64" spans="2:11" outlineLevel="1" x14ac:dyDescent="0.3">
      <c r="B64" s="32" t="s">
        <v>168</v>
      </c>
      <c r="C64" s="32"/>
      <c r="D64" s="32"/>
      <c r="E64" s="32"/>
      <c r="F64" s="32"/>
      <c r="G64" s="32"/>
      <c r="H64" s="32"/>
      <c r="I64" s="32"/>
      <c r="J64" s="32"/>
      <c r="K64" s="32"/>
    </row>
    <row r="65" spans="2:11" ht="5.15" customHeight="1" outlineLevel="1" x14ac:dyDescent="0.3">
      <c r="B65" s="37"/>
    </row>
    <row r="66" spans="2:11" outlineLevel="1" x14ac:dyDescent="0.3">
      <c r="B66" s="120" t="s">
        <v>169</v>
      </c>
    </row>
    <row r="67" spans="2:11" outlineLevel="1" x14ac:dyDescent="0.3">
      <c r="B67" s="37" t="s">
        <v>189</v>
      </c>
      <c r="E67" s="135">
        <f ca="1">INDEX(INDIRECT($B67&amp;"!C53:N78"),MATCH($B$66,INDIRECT($B67&amp;"!B53:B78"),0),MATCH(E$4,INDIRECT($B67&amp;"!C52:N52"),0))</f>
        <v>1.3428555641507327</v>
      </c>
      <c r="F67" s="135">
        <f t="shared" ref="F67:K75" ca="1" si="20">INDEX(INDIRECT($B67&amp;"!C53:N78"),MATCH($B$66,INDIRECT($B67&amp;"!B53:B78"),0),MATCH(F$4,INDIRECT($B67&amp;"!C52:N52"),0))</f>
        <v>1.4676772412356076</v>
      </c>
      <c r="G67" s="135">
        <f t="shared" ca="1" si="20"/>
        <v>1.3005946278449851</v>
      </c>
      <c r="H67" s="135">
        <f t="shared" ca="1" si="20"/>
        <v>1.2529842511786566</v>
      </c>
      <c r="I67" s="135">
        <f t="shared" ca="1" si="20"/>
        <v>1.2677059172555165</v>
      </c>
      <c r="J67" s="135">
        <f t="shared" ca="1" si="20"/>
        <v>1.3129469326307912</v>
      </c>
      <c r="K67" s="135">
        <f t="shared" ca="1" si="20"/>
        <v>1.3581430275188842</v>
      </c>
    </row>
    <row r="68" spans="2:11" outlineLevel="1" x14ac:dyDescent="0.3">
      <c r="B68" s="37" t="s">
        <v>190</v>
      </c>
      <c r="E68" s="135">
        <f t="shared" ref="E68:E75" ca="1" si="21">INDEX(INDIRECT($B68&amp;"!C53:N78"),MATCH($B$66,INDIRECT($B68&amp;"!B53:B78"),0),MATCH(E$4,INDIRECT($B68&amp;"!C52:N52"),0))</f>
        <v>2.3049352896643667</v>
      </c>
      <c r="F68" s="135">
        <f t="shared" ca="1" si="20"/>
        <v>2.3502393114266167</v>
      </c>
      <c r="G68" s="135">
        <f t="shared" ca="1" si="20"/>
        <v>2.195916957009989</v>
      </c>
      <c r="H68" s="135">
        <f t="shared" ca="1" si="20"/>
        <v>2.13565004733355</v>
      </c>
      <c r="I68" s="135" t="str">
        <f t="shared" ca="1" si="20"/>
        <v>-</v>
      </c>
      <c r="J68" s="135">
        <f t="shared" ca="1" si="20"/>
        <v>2.4812083418905555</v>
      </c>
      <c r="K68" s="135">
        <f t="shared" ca="1" si="20"/>
        <v>2.5950980345307193</v>
      </c>
    </row>
    <row r="69" spans="2:11" outlineLevel="1" x14ac:dyDescent="0.3">
      <c r="B69" s="37" t="s">
        <v>191</v>
      </c>
      <c r="E69" s="135">
        <f t="shared" ca="1" si="21"/>
        <v>1.4146878824969413</v>
      </c>
      <c r="F69" s="135">
        <f t="shared" ca="1" si="20"/>
        <v>1.494509855801033</v>
      </c>
      <c r="G69" s="135">
        <f t="shared" ca="1" si="20"/>
        <v>1.2221618685497038</v>
      </c>
      <c r="H69" s="135">
        <f t="shared" ca="1" si="20"/>
        <v>1.0862312904907252</v>
      </c>
      <c r="I69" s="135">
        <f t="shared" ca="1" si="20"/>
        <v>1.2227966518956226</v>
      </c>
      <c r="J69" s="135">
        <f t="shared" ca="1" si="20"/>
        <v>1.3548539559504726</v>
      </c>
      <c r="K69" s="135">
        <f t="shared" ca="1" si="20"/>
        <v>1.3922854387656658</v>
      </c>
    </row>
    <row r="70" spans="2:11" outlineLevel="1" x14ac:dyDescent="0.3">
      <c r="B70" s="37" t="s">
        <v>192</v>
      </c>
      <c r="E70" s="135">
        <f t="shared" ca="1" si="21"/>
        <v>1.253261678914821</v>
      </c>
      <c r="F70" s="135">
        <f t="shared" ca="1" si="20"/>
        <v>1.2944426913031586</v>
      </c>
      <c r="G70" s="135">
        <f t="shared" ca="1" si="20"/>
        <v>1.3147357003718787</v>
      </c>
      <c r="H70" s="135">
        <f t="shared" ca="1" si="20"/>
        <v>1.2676070509656971</v>
      </c>
      <c r="I70" s="135">
        <f t="shared" ca="1" si="20"/>
        <v>1.363127653791</v>
      </c>
      <c r="J70" s="135">
        <f t="shared" ca="1" si="20"/>
        <v>1.4715446314669594</v>
      </c>
      <c r="K70" s="135">
        <f t="shared" ca="1" si="20"/>
        <v>1.4994427934621124</v>
      </c>
    </row>
    <row r="71" spans="2:11" outlineLevel="1" x14ac:dyDescent="0.3">
      <c r="B71" s="37" t="s">
        <v>193</v>
      </c>
      <c r="E71" s="135">
        <f t="shared" ca="1" si="21"/>
        <v>1.7857518212814329</v>
      </c>
      <c r="F71" s="135">
        <f t="shared" ca="1" si="20"/>
        <v>1.6394689957155069</v>
      </c>
      <c r="G71" s="135">
        <f t="shared" ca="1" si="20"/>
        <v>1.6433251913535192</v>
      </c>
      <c r="H71" s="135">
        <f t="shared" ca="1" si="20"/>
        <v>1.7645526500350603</v>
      </c>
      <c r="I71" s="135">
        <f t="shared" ca="1" si="20"/>
        <v>1.9091854121255718</v>
      </c>
      <c r="J71" s="135">
        <f t="shared" ca="1" si="20"/>
        <v>1.9166964600526193</v>
      </c>
      <c r="K71" s="135">
        <f t="shared" ca="1" si="20"/>
        <v>1.7292142954949943</v>
      </c>
    </row>
    <row r="72" spans="2:11" outlineLevel="1" x14ac:dyDescent="0.3">
      <c r="B72" s="37" t="s">
        <v>194</v>
      </c>
      <c r="E72" s="135">
        <f t="shared" ca="1" si="21"/>
        <v>4.8552268244575709E-2</v>
      </c>
      <c r="F72" s="135" t="str">
        <f t="shared" ca="1" si="20"/>
        <v>-</v>
      </c>
      <c r="G72" s="135">
        <f t="shared" ca="1" si="20"/>
        <v>1.1019032157519648</v>
      </c>
      <c r="H72" s="135">
        <f t="shared" ca="1" si="20"/>
        <v>0.93345321460926312</v>
      </c>
      <c r="I72" s="135">
        <f t="shared" ca="1" si="20"/>
        <v>1.331646587608855</v>
      </c>
      <c r="J72" s="135">
        <f t="shared" ca="1" si="20"/>
        <v>1.0811675339115949</v>
      </c>
      <c r="K72" s="135">
        <f t="shared" ca="1" si="20"/>
        <v>1.0556029970905088</v>
      </c>
    </row>
    <row r="73" spans="2:11" outlineLevel="1" x14ac:dyDescent="0.3">
      <c r="B73" s="37" t="s">
        <v>195</v>
      </c>
      <c r="E73" s="135">
        <f t="shared" ca="1" si="21"/>
        <v>1.0747159133987472</v>
      </c>
      <c r="F73" s="135">
        <f t="shared" ca="1" si="20"/>
        <v>1.2205577422997935</v>
      </c>
      <c r="G73" s="135">
        <f t="shared" ca="1" si="20"/>
        <v>1.20080680361878</v>
      </c>
      <c r="H73" s="135">
        <f t="shared" ca="1" si="20"/>
        <v>1.971974321818329</v>
      </c>
      <c r="I73" s="135">
        <f t="shared" ca="1" si="20"/>
        <v>1.6092713948464858</v>
      </c>
      <c r="J73" s="135">
        <f t="shared" ca="1" si="20"/>
        <v>1.2934923995662742</v>
      </c>
      <c r="K73" s="135">
        <f t="shared" ca="1" si="20"/>
        <v>1.1377356606325499</v>
      </c>
    </row>
    <row r="74" spans="2:11" outlineLevel="1" x14ac:dyDescent="0.3">
      <c r="B74" s="37" t="s">
        <v>196</v>
      </c>
      <c r="E74" s="135">
        <f t="shared" ca="1" si="21"/>
        <v>1.523537198266637</v>
      </c>
      <c r="F74" s="135">
        <f t="shared" ca="1" si="20"/>
        <v>1.5162500801813168</v>
      </c>
      <c r="G74" s="135">
        <f t="shared" ca="1" si="20"/>
        <v>1.3555452102334045</v>
      </c>
      <c r="H74" s="135">
        <f t="shared" ca="1" si="20"/>
        <v>1.4688519017970523</v>
      </c>
      <c r="I74" s="135">
        <f t="shared" ca="1" si="20"/>
        <v>1.2557189739113053</v>
      </c>
      <c r="J74" s="135">
        <f t="shared" ca="1" si="20"/>
        <v>1.4295946527914067</v>
      </c>
      <c r="K74" s="135">
        <f t="shared" ca="1" si="20"/>
        <v>1.4325139358494015</v>
      </c>
    </row>
    <row r="75" spans="2:11" outlineLevel="1" x14ac:dyDescent="0.3">
      <c r="B75" s="37" t="s">
        <v>197</v>
      </c>
      <c r="E75" s="135">
        <f t="shared" ca="1" si="21"/>
        <v>2.0778054674969617</v>
      </c>
      <c r="F75" s="135">
        <f t="shared" ca="1" si="20"/>
        <v>2.359325802946453</v>
      </c>
      <c r="G75" s="135">
        <f t="shared" ca="1" si="20"/>
        <v>2.0629273979785823</v>
      </c>
      <c r="H75" s="135">
        <f t="shared" ca="1" si="20"/>
        <v>1.7706085346351317</v>
      </c>
      <c r="I75" s="135">
        <f t="shared" ca="1" si="20"/>
        <v>1.6259338973707547</v>
      </c>
      <c r="J75" s="135">
        <f t="shared" ca="1" si="20"/>
        <v>1.7035299677552107</v>
      </c>
      <c r="K75" s="135">
        <f t="shared" ca="1" si="20"/>
        <v>1.6371403822536434</v>
      </c>
    </row>
    <row r="76" spans="2:11" ht="5.15" customHeight="1" outlineLevel="1" x14ac:dyDescent="0.3">
      <c r="B76" s="37"/>
    </row>
    <row r="77" spans="2:11" outlineLevel="1" x14ac:dyDescent="0.3">
      <c r="B77" s="121" t="s">
        <v>198</v>
      </c>
      <c r="C77" s="122"/>
      <c r="D77" s="122"/>
      <c r="E77" s="131">
        <f ca="1">IFERROR(AVERAGE(E67:E75),"-")</f>
        <v>1.4251225648794685</v>
      </c>
      <c r="F77" s="131">
        <f t="shared" ref="F77:K77" ca="1" si="22">IFERROR(AVERAGE(F67:F75),"-")</f>
        <v>1.6678089651136858</v>
      </c>
      <c r="G77" s="131">
        <f t="shared" ca="1" si="22"/>
        <v>1.488657441412534</v>
      </c>
      <c r="H77" s="131">
        <f t="shared" ca="1" si="22"/>
        <v>1.5168792514292742</v>
      </c>
      <c r="I77" s="131">
        <f t="shared" ca="1" si="22"/>
        <v>1.448173311100639</v>
      </c>
      <c r="J77" s="131">
        <f t="shared" ca="1" si="22"/>
        <v>1.5605594306684316</v>
      </c>
      <c r="K77" s="132">
        <f t="shared" ca="1" si="22"/>
        <v>1.5374640628442755</v>
      </c>
    </row>
    <row r="78" spans="2:11" outlineLevel="1" x14ac:dyDescent="0.3">
      <c r="B78" s="123" t="s">
        <v>199</v>
      </c>
      <c r="C78" s="124"/>
      <c r="D78" s="124"/>
      <c r="E78" s="133">
        <f ca="1">IFERROR(MEDIAN(E67:E75),"-")</f>
        <v>1.4146878824969413</v>
      </c>
      <c r="F78" s="133">
        <f t="shared" ref="F78:K78" ca="1" si="23">IFERROR(MEDIAN(F67:F75),"-")</f>
        <v>1.5053799679911748</v>
      </c>
      <c r="G78" s="133">
        <f t="shared" ca="1" si="23"/>
        <v>1.3147357003718787</v>
      </c>
      <c r="H78" s="133">
        <f t="shared" ca="1" si="23"/>
        <v>1.4688519017970523</v>
      </c>
      <c r="I78" s="133">
        <f t="shared" ca="1" si="23"/>
        <v>1.3473871206999275</v>
      </c>
      <c r="J78" s="133">
        <f t="shared" ca="1" si="23"/>
        <v>1.4295946527914067</v>
      </c>
      <c r="K78" s="134">
        <f t="shared" ca="1" si="23"/>
        <v>1.4325139358494015</v>
      </c>
    </row>
    <row r="79" spans="2:11" ht="5.15" customHeight="1" outlineLevel="1" x14ac:dyDescent="0.3">
      <c r="B79" s="37"/>
    </row>
    <row r="80" spans="2:11" outlineLevel="1" x14ac:dyDescent="0.3">
      <c r="B80" s="120" t="s">
        <v>170</v>
      </c>
    </row>
    <row r="81" spans="2:11" outlineLevel="1" x14ac:dyDescent="0.3">
      <c r="B81" s="37" t="s">
        <v>189</v>
      </c>
      <c r="E81" s="135">
        <f ca="1">INDEX(INDIRECT($B81&amp;"!C53:N78"),MATCH($B$80,INDIRECT($B81&amp;"!B53:B78"),0),MATCH(E$4,INDIRECT($B81&amp;"!C52:N52"),0))</f>
        <v>1.0985744281136016</v>
      </c>
      <c r="F81" s="135">
        <f t="shared" ref="F81:K89" ca="1" si="24">INDEX(INDIRECT($B81&amp;"!C53:N78"),MATCH($B$80,INDIRECT($B81&amp;"!B53:B78"),0),MATCH(F$4,INDIRECT($B81&amp;"!C52:N52"),0))</f>
        <v>1.2338386206178034</v>
      </c>
      <c r="G81" s="135">
        <f t="shared" ca="1" si="24"/>
        <v>1.0372155013327848</v>
      </c>
      <c r="H81" s="135">
        <f t="shared" ca="1" si="24"/>
        <v>0.97522319189487616</v>
      </c>
      <c r="I81" s="135">
        <f t="shared" ca="1" si="24"/>
        <v>0.93446248449215275</v>
      </c>
      <c r="J81" s="135">
        <f t="shared" ca="1" si="24"/>
        <v>1.009879563417392</v>
      </c>
      <c r="K81" s="135">
        <f t="shared" ca="1" si="24"/>
        <v>1.0437298467246792</v>
      </c>
    </row>
    <row r="82" spans="2:11" outlineLevel="1" x14ac:dyDescent="0.3">
      <c r="B82" s="37" t="s">
        <v>190</v>
      </c>
      <c r="E82" s="135">
        <f t="shared" ref="E82:E89" ca="1" si="25">INDEX(INDIRECT($B82&amp;"!C53:N78"),MATCH($B$80,INDIRECT($B82&amp;"!B53:B78"),0),MATCH(E$4,INDIRECT($B82&amp;"!C52:N52"),0))</f>
        <v>2.0645372940625073</v>
      </c>
      <c r="F82" s="135">
        <f t="shared" ca="1" si="24"/>
        <v>2.1065706739599666</v>
      </c>
      <c r="G82" s="135">
        <f t="shared" ca="1" si="24"/>
        <v>1.9583460508508719</v>
      </c>
      <c r="H82" s="135">
        <f t="shared" ca="1" si="24"/>
        <v>1.8099558220258816</v>
      </c>
      <c r="I82" s="135" t="str">
        <f t="shared" ca="1" si="24"/>
        <v>-</v>
      </c>
      <c r="J82" s="135">
        <f t="shared" ca="1" si="24"/>
        <v>2.1874124829633512</v>
      </c>
      <c r="K82" s="135">
        <f t="shared" ca="1" si="24"/>
        <v>2.3145515451847753</v>
      </c>
    </row>
    <row r="83" spans="2:11" outlineLevel="1" x14ac:dyDescent="0.3">
      <c r="B83" s="37" t="s">
        <v>191</v>
      </c>
      <c r="E83" s="135">
        <f t="shared" ca="1" si="25"/>
        <v>0.72937576499388135</v>
      </c>
      <c r="F83" s="135">
        <f t="shared" ca="1" si="24"/>
        <v>0.82061119195660814</v>
      </c>
      <c r="G83" s="135">
        <f t="shared" ca="1" si="24"/>
        <v>0.51511859496650669</v>
      </c>
      <c r="H83" s="135">
        <f t="shared" ca="1" si="24"/>
        <v>0.49087795070369744</v>
      </c>
      <c r="I83" s="135">
        <f t="shared" ca="1" si="24"/>
        <v>0.55342195962580432</v>
      </c>
      <c r="J83" s="135">
        <f t="shared" ca="1" si="24"/>
        <v>0.64183760279799751</v>
      </c>
      <c r="K83" s="135">
        <f t="shared" ca="1" si="24"/>
        <v>0.67839922854387247</v>
      </c>
    </row>
    <row r="84" spans="2:11" outlineLevel="1" x14ac:dyDescent="0.3">
      <c r="B84" s="37" t="s">
        <v>192</v>
      </c>
      <c r="E84" s="135">
        <f t="shared" ca="1" si="25"/>
        <v>0.85210269027809049</v>
      </c>
      <c r="F84" s="135">
        <f t="shared" ca="1" si="24"/>
        <v>0.88318036243026288</v>
      </c>
      <c r="G84" s="135">
        <f t="shared" ca="1" si="24"/>
        <v>0.77949021604391544</v>
      </c>
      <c r="H84" s="135">
        <f t="shared" ca="1" si="24"/>
        <v>0.74874586146260957</v>
      </c>
      <c r="I84" s="135">
        <f t="shared" ca="1" si="24"/>
        <v>0.77472887980728988</v>
      </c>
      <c r="J84" s="135">
        <f t="shared" ca="1" si="24"/>
        <v>0.8311994174125521</v>
      </c>
      <c r="K84" s="135">
        <f t="shared" ca="1" si="24"/>
        <v>0.84493738059860091</v>
      </c>
    </row>
    <row r="85" spans="2:11" outlineLevel="1" x14ac:dyDescent="0.3">
      <c r="B85" s="37" t="s">
        <v>193</v>
      </c>
      <c r="E85" s="135">
        <f t="shared" ca="1" si="25"/>
        <v>1.5232717583858975</v>
      </c>
      <c r="F85" s="135">
        <f t="shared" ca="1" si="24"/>
        <v>1.3933392187935236</v>
      </c>
      <c r="G85" s="135">
        <f t="shared" ca="1" si="24"/>
        <v>1.3271932169756249</v>
      </c>
      <c r="H85" s="135">
        <f t="shared" ca="1" si="24"/>
        <v>1.4189057894209471</v>
      </c>
      <c r="I85" s="135">
        <f t="shared" ca="1" si="24"/>
        <v>1.5315114656749615</v>
      </c>
      <c r="J85" s="135">
        <f t="shared" ca="1" si="24"/>
        <v>1.5346400506939619</v>
      </c>
      <c r="K85" s="135">
        <f t="shared" ca="1" si="24"/>
        <v>1.3671296727372255</v>
      </c>
    </row>
    <row r="86" spans="2:11" outlineLevel="1" x14ac:dyDescent="0.3">
      <c r="B86" s="37" t="s">
        <v>194</v>
      </c>
      <c r="E86" s="135">
        <f t="shared" ca="1" si="25"/>
        <v>4.8552268244575709E-2</v>
      </c>
      <c r="F86" s="135" t="str">
        <f t="shared" ca="1" si="24"/>
        <v>-</v>
      </c>
      <c r="G86" s="135">
        <f t="shared" ca="1" si="24"/>
        <v>0.92617175025862575</v>
      </c>
      <c r="H86" s="135">
        <f t="shared" ca="1" si="24"/>
        <v>0.80071168130563974</v>
      </c>
      <c r="I86" s="135">
        <f t="shared" ca="1" si="24"/>
        <v>1.2272997190177186</v>
      </c>
      <c r="J86" s="135">
        <f t="shared" ca="1" si="24"/>
        <v>0.98611270926776884</v>
      </c>
      <c r="K86" s="135">
        <f t="shared" ca="1" si="24"/>
        <v>0.95016817075309379</v>
      </c>
    </row>
    <row r="87" spans="2:11" outlineLevel="1" x14ac:dyDescent="0.3">
      <c r="B87" s="37" t="s">
        <v>195</v>
      </c>
      <c r="E87" s="135">
        <f t="shared" ca="1" si="25"/>
        <v>0.74707163687310763</v>
      </c>
      <c r="F87" s="135">
        <f t="shared" ca="1" si="24"/>
        <v>0.81269658451515558</v>
      </c>
      <c r="G87" s="135">
        <f t="shared" ca="1" si="24"/>
        <v>0.73711637214182035</v>
      </c>
      <c r="H87" s="135">
        <f t="shared" ca="1" si="24"/>
        <v>1.5535039951032368</v>
      </c>
      <c r="I87" s="135">
        <f t="shared" ca="1" si="24"/>
        <v>1.1292782626122986</v>
      </c>
      <c r="J87" s="135">
        <f t="shared" ca="1" si="24"/>
        <v>0.88313449626478446</v>
      </c>
      <c r="K87" s="135">
        <f t="shared" ca="1" si="24"/>
        <v>0.56281466532731061</v>
      </c>
    </row>
    <row r="88" spans="2:11" outlineLevel="1" x14ac:dyDescent="0.3">
      <c r="B88" s="37" t="s">
        <v>196</v>
      </c>
      <c r="E88" s="135">
        <f t="shared" ca="1" si="25"/>
        <v>1.125890213637855</v>
      </c>
      <c r="F88" s="135">
        <f t="shared" ca="1" si="24"/>
        <v>1.1970369736838979</v>
      </c>
      <c r="G88" s="135">
        <f t="shared" ca="1" si="24"/>
        <v>0.97069267641881218</v>
      </c>
      <c r="H88" s="135">
        <f t="shared" ca="1" si="24"/>
        <v>0.9675714630084814</v>
      </c>
      <c r="I88" s="135">
        <f t="shared" ca="1" si="24"/>
        <v>0.87773456063668553</v>
      </c>
      <c r="J88" s="135">
        <f t="shared" ca="1" si="24"/>
        <v>1.01993994993968</v>
      </c>
      <c r="K88" s="135">
        <f t="shared" ca="1" si="24"/>
        <v>0.99040482500228455</v>
      </c>
    </row>
    <row r="89" spans="2:11" outlineLevel="1" x14ac:dyDescent="0.3">
      <c r="B89" s="37" t="s">
        <v>197</v>
      </c>
      <c r="E89" s="135">
        <f t="shared" ca="1" si="25"/>
        <v>0.90860211856090101</v>
      </c>
      <c r="F89" s="135">
        <f t="shared" ca="1" si="24"/>
        <v>1.2101432795087557</v>
      </c>
      <c r="G89" s="135">
        <f t="shared" ca="1" si="24"/>
        <v>1.0935477883872082</v>
      </c>
      <c r="H89" s="135">
        <f t="shared" ca="1" si="24"/>
        <v>0.83092332295261329</v>
      </c>
      <c r="I89" s="135">
        <f t="shared" ca="1" si="24"/>
        <v>0.77320710399539827</v>
      </c>
      <c r="J89" s="135">
        <f t="shared" ca="1" si="24"/>
        <v>0.71232040376083672</v>
      </c>
      <c r="K89" s="135">
        <f t="shared" ca="1" si="24"/>
        <v>0.74908359055059293</v>
      </c>
    </row>
    <row r="90" spans="2:11" ht="5.15" customHeight="1" outlineLevel="1" x14ac:dyDescent="0.3">
      <c r="B90" s="37"/>
    </row>
    <row r="91" spans="2:11" outlineLevel="1" x14ac:dyDescent="0.3">
      <c r="B91" s="121" t="s">
        <v>198</v>
      </c>
      <c r="C91" s="122"/>
      <c r="D91" s="122"/>
      <c r="E91" s="131">
        <f ca="1">IFERROR(AVERAGE(E81:E89),"-")</f>
        <v>1.0108864636833799</v>
      </c>
      <c r="F91" s="131">
        <f t="shared" ref="F91:K91" ca="1" si="26">IFERROR(AVERAGE(F81:F89),"-")</f>
        <v>1.2071771131832467</v>
      </c>
      <c r="G91" s="131">
        <f t="shared" ca="1" si="26"/>
        <v>1.0383213519306858</v>
      </c>
      <c r="H91" s="131">
        <f t="shared" ca="1" si="26"/>
        <v>1.0662687864308869</v>
      </c>
      <c r="I91" s="131">
        <f t="shared" ca="1" si="26"/>
        <v>0.97520555448278867</v>
      </c>
      <c r="J91" s="131">
        <f t="shared" ca="1" si="26"/>
        <v>1.0896085196131471</v>
      </c>
      <c r="K91" s="132">
        <f t="shared" ca="1" si="26"/>
        <v>1.0556909917136039</v>
      </c>
    </row>
    <row r="92" spans="2:11" outlineLevel="1" x14ac:dyDescent="0.3">
      <c r="B92" s="123" t="s">
        <v>199</v>
      </c>
      <c r="C92" s="124"/>
      <c r="D92" s="124"/>
      <c r="E92" s="133">
        <f ca="1">IFERROR(MEDIAN(E81:E89),"-")</f>
        <v>0.90860211856090101</v>
      </c>
      <c r="F92" s="133">
        <f t="shared" ref="F92:K92" ca="1" si="27">IFERROR(MEDIAN(F81:F89),"-")</f>
        <v>1.2035901265963269</v>
      </c>
      <c r="G92" s="133">
        <f t="shared" ca="1" si="27"/>
        <v>0.97069267641881218</v>
      </c>
      <c r="H92" s="133">
        <f t="shared" ca="1" si="27"/>
        <v>0.9675714630084814</v>
      </c>
      <c r="I92" s="133">
        <f t="shared" ca="1" si="27"/>
        <v>0.90609852256441914</v>
      </c>
      <c r="J92" s="133">
        <f t="shared" ca="1" si="27"/>
        <v>0.98611270926776884</v>
      </c>
      <c r="K92" s="134">
        <f t="shared" ca="1" si="27"/>
        <v>0.95016817075309379</v>
      </c>
    </row>
    <row r="93" spans="2:11" ht="5.15" customHeight="1" outlineLevel="1" x14ac:dyDescent="0.3">
      <c r="B93" s="37"/>
    </row>
    <row r="94" spans="2:11" outlineLevel="1" x14ac:dyDescent="0.3">
      <c r="B94" s="120" t="s">
        <v>171</v>
      </c>
    </row>
    <row r="95" spans="2:11" outlineLevel="1" x14ac:dyDescent="0.3">
      <c r="B95" s="37" t="s">
        <v>189</v>
      </c>
      <c r="E95" s="135">
        <f ca="1">INDEX(INDIRECT($B95&amp;"!C53:N78"),MATCH($B$94,INDIRECT($B95&amp;"!B53:B78"),0),MATCH(E$4,INDIRECT($B95&amp;"!C52:N52"),0))</f>
        <v>0.57553320808929165</v>
      </c>
      <c r="F95" s="135">
        <f t="shared" ref="F95:K103" ca="1" si="28">INDEX(INDIRECT($B95&amp;"!C53:N78"),MATCH($B$94,INDIRECT($B95&amp;"!B53:B78"),0),MATCH(F$4,INDIRECT($B95&amp;"!C52:N52"),0))</f>
        <v>0.79283221336666865</v>
      </c>
      <c r="G95" s="135">
        <f t="shared" ca="1" si="28"/>
        <v>0.59068074636046608</v>
      </c>
      <c r="H95" s="135">
        <f t="shared" ca="1" si="28"/>
        <v>0.50707192296118075</v>
      </c>
      <c r="I95" s="135">
        <f t="shared" ca="1" si="28"/>
        <v>0.43664706834241351</v>
      </c>
      <c r="J95" s="135">
        <f t="shared" ca="1" si="28"/>
        <v>0.51528980052691264</v>
      </c>
      <c r="K95" s="135">
        <f t="shared" ca="1" si="28"/>
        <v>0.59008790140907186</v>
      </c>
    </row>
    <row r="96" spans="2:11" outlineLevel="1" x14ac:dyDescent="0.3">
      <c r="B96" s="37" t="s">
        <v>190</v>
      </c>
      <c r="E96" s="135">
        <f t="shared" ref="E96:E103" ca="1" si="29">INDEX(INDIRECT($B96&amp;"!C53:N78"),MATCH($B$94,INDIRECT($B96&amp;"!B53:B78"),0),MATCH(E$4,INDIRECT($B96&amp;"!C52:N52"),0))</f>
        <v>0.51124409675907467</v>
      </c>
      <c r="F96" s="135">
        <f t="shared" ca="1" si="28"/>
        <v>0.63123919076539436</v>
      </c>
      <c r="G96" s="135">
        <f t="shared" ca="1" si="28"/>
        <v>0.68397592789887351</v>
      </c>
      <c r="H96" s="135">
        <f t="shared" ca="1" si="28"/>
        <v>0.50659711265383489</v>
      </c>
      <c r="I96" s="135" t="str">
        <f t="shared" ca="1" si="28"/>
        <v>-</v>
      </c>
      <c r="J96" s="135">
        <f t="shared" ca="1" si="28"/>
        <v>1.0339659453707011</v>
      </c>
      <c r="K96" s="135">
        <f t="shared" ca="1" si="28"/>
        <v>1.0883003684358932</v>
      </c>
    </row>
    <row r="97" spans="2:25" outlineLevel="1" x14ac:dyDescent="0.3">
      <c r="B97" s="37" t="s">
        <v>191</v>
      </c>
      <c r="E97" s="135">
        <f t="shared" ca="1" si="29"/>
        <v>7.9069767441860422E-2</v>
      </c>
      <c r="F97" s="135">
        <f t="shared" ca="1" si="28"/>
        <v>0.20029104378886026</v>
      </c>
      <c r="G97" s="135">
        <f t="shared" ca="1" si="28"/>
        <v>5.9297483251855805E-2</v>
      </c>
      <c r="H97" s="135">
        <f t="shared" ca="1" si="28"/>
        <v>4.3934768039317909E-2</v>
      </c>
      <c r="I97" s="135">
        <f t="shared" ca="1" si="28"/>
        <v>6.466436894797313E-2</v>
      </c>
      <c r="J97" s="135">
        <f t="shared" ca="1" si="28"/>
        <v>9.1312978542395715E-2</v>
      </c>
      <c r="K97" s="135">
        <f t="shared" ca="1" si="28"/>
        <v>6.8563162970106048E-2</v>
      </c>
    </row>
    <row r="98" spans="2:25" outlineLevel="1" x14ac:dyDescent="0.3">
      <c r="B98" s="37" t="s">
        <v>192</v>
      </c>
      <c r="E98" s="135">
        <f t="shared" ca="1" si="29"/>
        <v>9.9291009744569211E-2</v>
      </c>
      <c r="F98" s="135">
        <f t="shared" ca="1" si="28"/>
        <v>0.1007123721792148</v>
      </c>
      <c r="G98" s="135">
        <f t="shared" ca="1" si="28"/>
        <v>6.9517000177085342E-2</v>
      </c>
      <c r="H98" s="135">
        <f t="shared" ca="1" si="28"/>
        <v>6.3461566104001221E-2</v>
      </c>
      <c r="I98" s="135">
        <f t="shared" ca="1" si="28"/>
        <v>9.4510109010470217E-2</v>
      </c>
      <c r="J98" s="135">
        <f t="shared" ca="1" si="28"/>
        <v>8.5745717104209793E-2</v>
      </c>
      <c r="K98" s="135">
        <f t="shared" ca="1" si="28"/>
        <v>0.10158671195075369</v>
      </c>
    </row>
    <row r="99" spans="2:25" outlineLevel="1" x14ac:dyDescent="0.3">
      <c r="B99" s="37" t="s">
        <v>193</v>
      </c>
      <c r="E99" s="135">
        <f t="shared" ca="1" si="29"/>
        <v>0.54742105727722312</v>
      </c>
      <c r="F99" s="135">
        <f t="shared" ca="1" si="28"/>
        <v>0.4983105250711351</v>
      </c>
      <c r="G99" s="135">
        <f t="shared" ca="1" si="28"/>
        <v>0.41942900268881883</v>
      </c>
      <c r="H99" s="135">
        <f t="shared" ca="1" si="28"/>
        <v>0.41058537537109918</v>
      </c>
      <c r="I99" s="135">
        <f t="shared" ca="1" si="28"/>
        <v>0.45156683424872079</v>
      </c>
      <c r="J99" s="135">
        <f t="shared" ca="1" si="28"/>
        <v>0.28860668045792265</v>
      </c>
      <c r="K99" s="135">
        <f t="shared" ca="1" si="28"/>
        <v>0.27366342598931798</v>
      </c>
    </row>
    <row r="100" spans="2:25" outlineLevel="1" x14ac:dyDescent="0.3">
      <c r="B100" s="37" t="s">
        <v>194</v>
      </c>
      <c r="E100" s="135">
        <f t="shared" ca="1" si="29"/>
        <v>0</v>
      </c>
      <c r="F100" s="135" t="str">
        <f t="shared" ca="1" si="28"/>
        <v>-</v>
      </c>
      <c r="G100" s="135">
        <f t="shared" ca="1" si="28"/>
        <v>0.67588157343720434</v>
      </c>
      <c r="H100" s="135">
        <f t="shared" ca="1" si="28"/>
        <v>0.53196276009084742</v>
      </c>
      <c r="I100" s="135">
        <f t="shared" ca="1" si="28"/>
        <v>0.71590509130449254</v>
      </c>
      <c r="J100" s="135">
        <f t="shared" ca="1" si="28"/>
        <v>0.71988923473320232</v>
      </c>
      <c r="K100" s="135">
        <f t="shared" ca="1" si="28"/>
        <v>0.59089076985086708</v>
      </c>
    </row>
    <row r="101" spans="2:25" outlineLevel="1" x14ac:dyDescent="0.3">
      <c r="B101" s="37" t="s">
        <v>195</v>
      </c>
      <c r="E101" s="135">
        <f t="shared" ca="1" si="29"/>
        <v>0.15113164968768886</v>
      </c>
      <c r="F101" s="135">
        <f t="shared" ca="1" si="28"/>
        <v>0.36730171721165689</v>
      </c>
      <c r="G101" s="135">
        <f t="shared" ca="1" si="28"/>
        <v>0.40118490323889472</v>
      </c>
      <c r="H101" s="135">
        <f t="shared" ca="1" si="28"/>
        <v>0.95508927125611676</v>
      </c>
      <c r="I101" s="135">
        <f t="shared" ca="1" si="28"/>
        <v>0.76198293868073963</v>
      </c>
      <c r="J101" s="135">
        <f t="shared" ca="1" si="28"/>
        <v>0.4721909764687004</v>
      </c>
      <c r="K101" s="135">
        <f t="shared" ca="1" si="28"/>
        <v>0.22995524831201106</v>
      </c>
    </row>
    <row r="102" spans="2:25" outlineLevel="1" x14ac:dyDescent="0.3">
      <c r="B102" s="37" t="s">
        <v>196</v>
      </c>
      <c r="E102" s="135">
        <f t="shared" ca="1" si="29"/>
        <v>0.38547131088423919</v>
      </c>
      <c r="F102" s="135">
        <f t="shared" ca="1" si="28"/>
        <v>0.56445093022206061</v>
      </c>
      <c r="G102" s="135">
        <f t="shared" ca="1" si="28"/>
        <v>0.36285528876044565</v>
      </c>
      <c r="H102" s="135">
        <f t="shared" ca="1" si="28"/>
        <v>0.25507208078615612</v>
      </c>
      <c r="I102" s="135">
        <f t="shared" ca="1" si="28"/>
        <v>0.26581016502511784</v>
      </c>
      <c r="J102" s="135">
        <f t="shared" ca="1" si="28"/>
        <v>0.32712726129496428</v>
      </c>
      <c r="K102" s="135">
        <f t="shared" ca="1" si="28"/>
        <v>0.29073380243077768</v>
      </c>
    </row>
    <row r="103" spans="2:25" outlineLevel="1" x14ac:dyDescent="0.3">
      <c r="B103" s="37" t="s">
        <v>197</v>
      </c>
      <c r="E103" s="135">
        <f t="shared" ca="1" si="29"/>
        <v>4.526971702957381E-2</v>
      </c>
      <c r="F103" s="135">
        <f t="shared" ca="1" si="28"/>
        <v>0.30977939504207413</v>
      </c>
      <c r="G103" s="135">
        <f t="shared" ca="1" si="28"/>
        <v>0.35466711835331383</v>
      </c>
      <c r="H103" s="135">
        <f t="shared" ca="1" si="28"/>
        <v>8.7986636711491525E-2</v>
      </c>
      <c r="I103" s="135">
        <f t="shared" ca="1" si="28"/>
        <v>5.9598782446132821E-2</v>
      </c>
      <c r="J103" s="135">
        <f t="shared" ca="1" si="28"/>
        <v>5.4654465202310043E-2</v>
      </c>
      <c r="K103" s="135">
        <f t="shared" ca="1" si="28"/>
        <v>6.2717428356626859E-2</v>
      </c>
    </row>
    <row r="104" spans="2:25" ht="5.15" customHeight="1" outlineLevel="1" x14ac:dyDescent="0.3">
      <c r="B104" s="37"/>
    </row>
    <row r="105" spans="2:25" outlineLevel="1" x14ac:dyDescent="0.3">
      <c r="B105" s="121" t="s">
        <v>198</v>
      </c>
      <c r="C105" s="122"/>
      <c r="D105" s="122"/>
      <c r="E105" s="131">
        <f ca="1">IFERROR(AVERAGE(E95:E103),"-")</f>
        <v>0.26604797965705784</v>
      </c>
      <c r="F105" s="131">
        <f t="shared" ref="F105:K105" ca="1" si="30">IFERROR(AVERAGE(F95:F103),"-")</f>
        <v>0.43311467345588311</v>
      </c>
      <c r="G105" s="131">
        <f t="shared" ca="1" si="30"/>
        <v>0.40194322712966196</v>
      </c>
      <c r="H105" s="131">
        <f t="shared" ca="1" si="30"/>
        <v>0.37352905488600502</v>
      </c>
      <c r="I105" s="131">
        <f t="shared" ca="1" si="30"/>
        <v>0.35633566975075753</v>
      </c>
      <c r="J105" s="131">
        <f t="shared" ca="1" si="30"/>
        <v>0.3987536733001466</v>
      </c>
      <c r="K105" s="132">
        <f t="shared" ca="1" si="30"/>
        <v>0.36627764663393614</v>
      </c>
    </row>
    <row r="106" spans="2:25" outlineLevel="1" x14ac:dyDescent="0.3">
      <c r="B106" s="123" t="s">
        <v>199</v>
      </c>
      <c r="C106" s="124"/>
      <c r="D106" s="124"/>
      <c r="E106" s="133">
        <f ca="1">IFERROR(MEDIAN(E95:E103),"-")</f>
        <v>0.15113164968768886</v>
      </c>
      <c r="F106" s="133">
        <f t="shared" ref="F106:K106" ca="1" si="31">IFERROR(MEDIAN(F95:F103),"-")</f>
        <v>0.43280612114139599</v>
      </c>
      <c r="G106" s="133">
        <f t="shared" ca="1" si="31"/>
        <v>0.40118490323889472</v>
      </c>
      <c r="H106" s="133">
        <f t="shared" ca="1" si="31"/>
        <v>0.41058537537109918</v>
      </c>
      <c r="I106" s="133">
        <f t="shared" ca="1" si="31"/>
        <v>0.3512286166837657</v>
      </c>
      <c r="J106" s="133">
        <f t="shared" ca="1" si="31"/>
        <v>0.32712726129496428</v>
      </c>
      <c r="K106" s="134">
        <f t="shared" ca="1" si="31"/>
        <v>0.27366342598931798</v>
      </c>
    </row>
    <row r="107" spans="2:25" ht="5.15" customHeight="1" outlineLevel="1" x14ac:dyDescent="0.3">
      <c r="B107" s="37"/>
    </row>
    <row r="108" spans="2:25" outlineLevel="1" x14ac:dyDescent="0.3">
      <c r="B108" s="32" t="s">
        <v>172</v>
      </c>
      <c r="C108" s="32"/>
      <c r="D108" s="32"/>
      <c r="E108" s="32"/>
      <c r="F108" s="32"/>
      <c r="G108" s="32"/>
      <c r="H108" s="32"/>
      <c r="I108" s="32"/>
      <c r="J108" s="32"/>
      <c r="K108" s="32"/>
    </row>
    <row r="109" spans="2:25" ht="5.15" customHeight="1" outlineLevel="1" x14ac:dyDescent="0.3">
      <c r="B109" s="37"/>
    </row>
    <row r="110" spans="2:25" outlineLevel="1" x14ac:dyDescent="0.3">
      <c r="B110" s="120" t="s">
        <v>173</v>
      </c>
      <c r="P110" s="238" t="s">
        <v>772</v>
      </c>
      <c r="Q110" s="114" t="s">
        <v>698</v>
      </c>
      <c r="R110" t="s">
        <v>190</v>
      </c>
      <c r="S110" t="s">
        <v>775</v>
      </c>
      <c r="T110" t="s">
        <v>717</v>
      </c>
      <c r="U110" t="s">
        <v>720</v>
      </c>
      <c r="V110" t="s">
        <v>194</v>
      </c>
      <c r="W110" t="s">
        <v>195</v>
      </c>
      <c r="X110" t="s">
        <v>196</v>
      </c>
      <c r="Y110" t="s">
        <v>776</v>
      </c>
    </row>
    <row r="111" spans="2:25" outlineLevel="1" x14ac:dyDescent="0.3">
      <c r="B111" s="37" t="s">
        <v>189</v>
      </c>
      <c r="E111" s="135">
        <f ca="1">INDEX(INDIRECT($B111&amp;"!C53:N78"),MATCH($B$110,INDIRECT($B111&amp;"!B53:B78"),0),MATCH(E$4,INDIRECT($B111&amp;"!C52:N52"),0))</f>
        <v>0.9033740672650632</v>
      </c>
      <c r="F111" s="135">
        <f t="shared" ref="F111:K119" ca="1" si="32">INDEX(INDIRECT($B111&amp;"!C53:N78"),MATCH($B$110,INDIRECT($B111&amp;"!B53:B78"),0),MATCH(F$4,INDIRECT($B111&amp;"!C52:N52"),0))</f>
        <v>1.3226964499401608</v>
      </c>
      <c r="G111" s="135">
        <f t="shared" ca="1" si="32"/>
        <v>1.1110452905379913</v>
      </c>
      <c r="H111" s="135">
        <f t="shared" ca="1" si="32"/>
        <v>1.2299814337904977</v>
      </c>
      <c r="I111" s="135">
        <f t="shared" ca="1" si="32"/>
        <v>1.3582240161453032</v>
      </c>
      <c r="J111" s="135">
        <f t="shared" ca="1" si="32"/>
        <v>1.7307589021966796</v>
      </c>
      <c r="K111" s="135">
        <f t="shared" ca="1" si="32"/>
        <v>2.2771421761411075</v>
      </c>
      <c r="O111" t="s">
        <v>173</v>
      </c>
      <c r="P111" s="230">
        <f>K241</f>
        <v>3.2041781788928541</v>
      </c>
      <c r="Q111" s="180">
        <f ca="1">AVERAGE($E$112:$J$112)</f>
        <v>0.1292260738568273</v>
      </c>
      <c r="R111" s="180">
        <v>0.1292260738568273</v>
      </c>
      <c r="S111" s="180">
        <v>1.421447625125482</v>
      </c>
      <c r="T111" s="180">
        <v>2.7607370136501914</v>
      </c>
      <c r="U111" s="180">
        <v>0.43730902502155572</v>
      </c>
      <c r="V111" s="180">
        <v>33.886875339561094</v>
      </c>
      <c r="W111" s="180">
        <v>0.60002536730525435</v>
      </c>
      <c r="X111" s="180">
        <v>0.38557679518426563</v>
      </c>
      <c r="Y111" s="180">
        <v>0.37677101292163123</v>
      </c>
    </row>
    <row r="112" spans="2:25" outlineLevel="1" x14ac:dyDescent="0.3">
      <c r="B112" s="37" t="s">
        <v>190</v>
      </c>
      <c r="E112" s="135">
        <f t="shared" ref="E112:E119" ca="1" si="33">INDEX(INDIRECT($B112&amp;"!C53:N78"),MATCH($B$110,INDIRECT($B112&amp;"!B53:B78"),0),MATCH(E$4,INDIRECT($B112&amp;"!C52:N52"),0))</f>
        <v>0.15993166267459913</v>
      </c>
      <c r="F112" s="135">
        <f t="shared" ca="1" si="32"/>
        <v>0.15405741850151691</v>
      </c>
      <c r="G112" s="135">
        <f t="shared" ca="1" si="32"/>
        <v>0.10504522474808285</v>
      </c>
      <c r="H112" s="135">
        <f t="shared" ca="1" si="32"/>
        <v>5.3225068067368764E-2</v>
      </c>
      <c r="I112" s="135" t="str">
        <f t="shared" ca="1" si="32"/>
        <v>-</v>
      </c>
      <c r="J112" s="135">
        <f t="shared" ca="1" si="32"/>
        <v>0.1738709952925688</v>
      </c>
      <c r="K112" s="135">
        <f t="shared" ca="1" si="32"/>
        <v>0.14762245924351391</v>
      </c>
      <c r="M112" s="180"/>
      <c r="O112" t="s">
        <v>786</v>
      </c>
      <c r="P112" s="230">
        <f>K247</f>
        <v>14.887343271687943</v>
      </c>
      <c r="Q112" s="230">
        <v>1.3399159873913291</v>
      </c>
      <c r="R112" s="230">
        <v>-1.265609801602668</v>
      </c>
      <c r="S112" s="230">
        <v>-0.43394968270870171</v>
      </c>
      <c r="T112" s="230">
        <v>4.1183155440897545</v>
      </c>
      <c r="U112" s="230">
        <v>2.5657268859223836</v>
      </c>
      <c r="V112" s="230">
        <v>9.3887155645471871</v>
      </c>
      <c r="W112" s="230">
        <v>-0.2604467365461271</v>
      </c>
      <c r="X112" s="230">
        <v>3.3100501510133828E-2</v>
      </c>
      <c r="Y112" s="230">
        <v>1.0246914854715528</v>
      </c>
    </row>
    <row r="113" spans="2:25" outlineLevel="1" x14ac:dyDescent="0.3">
      <c r="B113" s="37" t="s">
        <v>191</v>
      </c>
      <c r="E113" s="135">
        <f t="shared" ca="1" si="33"/>
        <v>0.67481168473268371</v>
      </c>
      <c r="F113" s="135">
        <f t="shared" ca="1" si="32"/>
        <v>0.59085751337331816</v>
      </c>
      <c r="G113" s="135">
        <f t="shared" ca="1" si="32"/>
        <v>1.6558387006440747</v>
      </c>
      <c r="H113" s="135">
        <f t="shared" ca="1" si="32"/>
        <v>3.0000000000000053</v>
      </c>
      <c r="I113" s="135">
        <f t="shared" ca="1" si="32"/>
        <v>1.466786355475765</v>
      </c>
      <c r="J113" s="135">
        <f t="shared" ca="1" si="32"/>
        <v>1.1403914965270463</v>
      </c>
      <c r="K113" s="135">
        <f t="shared" ca="1" si="32"/>
        <v>0.87276119402984953</v>
      </c>
      <c r="M113" s="180"/>
      <c r="O113" t="s">
        <v>785</v>
      </c>
      <c r="P113" s="230">
        <f ca="1">AVERAGE(E122:J122)</f>
        <v>0.50388531265859926</v>
      </c>
      <c r="Q113" s="201">
        <f ca="1">P113</f>
        <v>0.50388531265859926</v>
      </c>
      <c r="R113" s="201">
        <f t="shared" ref="R113:Y113" ca="1" si="34">Q113</f>
        <v>0.50388531265859926</v>
      </c>
      <c r="S113" s="201">
        <f t="shared" ca="1" si="34"/>
        <v>0.50388531265859926</v>
      </c>
      <c r="T113" s="201">
        <f t="shared" ca="1" si="34"/>
        <v>0.50388531265859926</v>
      </c>
      <c r="U113" s="201">
        <f t="shared" ca="1" si="34"/>
        <v>0.50388531265859926</v>
      </c>
      <c r="V113" s="201">
        <f t="shared" ca="1" si="34"/>
        <v>0.50388531265859926</v>
      </c>
      <c r="W113" s="201">
        <f t="shared" ca="1" si="34"/>
        <v>0.50388531265859926</v>
      </c>
      <c r="X113" s="201">
        <f t="shared" ca="1" si="34"/>
        <v>0.50388531265859926</v>
      </c>
      <c r="Y113" s="201">
        <f t="shared" ca="1" si="34"/>
        <v>0.50388531265859926</v>
      </c>
    </row>
    <row r="114" spans="2:25" outlineLevel="1" x14ac:dyDescent="0.3">
      <c r="B114" s="37" t="s">
        <v>192</v>
      </c>
      <c r="E114" s="135">
        <f t="shared" ca="1" si="33"/>
        <v>3.3326376159276934</v>
      </c>
      <c r="F114" s="135">
        <f t="shared" ca="1" si="32"/>
        <v>3.3154398954703841</v>
      </c>
      <c r="G114" s="135">
        <f t="shared" ca="1" si="32"/>
        <v>2.967967320673774</v>
      </c>
      <c r="H114" s="135">
        <f t="shared" ca="1" si="32"/>
        <v>3.0326409887367429</v>
      </c>
      <c r="I114" s="135">
        <f t="shared" ca="1" si="32"/>
        <v>2.0596259701186392</v>
      </c>
      <c r="J114" s="135">
        <f t="shared" ca="1" si="32"/>
        <v>1.8561102909739147</v>
      </c>
      <c r="K114" s="135">
        <f t="shared" ca="1" si="32"/>
        <v>1.9034642260430152</v>
      </c>
      <c r="M114" s="180"/>
      <c r="O114" t="s">
        <v>786</v>
      </c>
      <c r="P114" s="230">
        <f ca="1">AVERAGE(E150:J150)</f>
        <v>1.2371117721133267</v>
      </c>
      <c r="Q114" s="201">
        <f ca="1">P114</f>
        <v>1.2371117721133267</v>
      </c>
      <c r="R114" s="201">
        <f t="shared" ref="R114:Y114" ca="1" si="35">Q114</f>
        <v>1.2371117721133267</v>
      </c>
      <c r="S114" s="201">
        <f t="shared" ca="1" si="35"/>
        <v>1.2371117721133267</v>
      </c>
      <c r="T114" s="201">
        <f t="shared" ca="1" si="35"/>
        <v>1.2371117721133267</v>
      </c>
      <c r="U114" s="201">
        <f t="shared" ca="1" si="35"/>
        <v>1.2371117721133267</v>
      </c>
      <c r="V114" s="201">
        <f t="shared" ca="1" si="35"/>
        <v>1.2371117721133267</v>
      </c>
      <c r="W114" s="201">
        <f t="shared" ca="1" si="35"/>
        <v>1.2371117721133267</v>
      </c>
      <c r="X114" s="201">
        <f t="shared" ca="1" si="35"/>
        <v>1.2371117721133267</v>
      </c>
      <c r="Y114" s="201">
        <f t="shared" ca="1" si="35"/>
        <v>1.2371117721133267</v>
      </c>
    </row>
    <row r="115" spans="2:25" outlineLevel="1" x14ac:dyDescent="0.3">
      <c r="B115" s="37" t="s">
        <v>193</v>
      </c>
      <c r="E115" s="135">
        <f t="shared" ca="1" si="33"/>
        <v>0.59860825395367245</v>
      </c>
      <c r="F115" s="135">
        <f t="shared" ca="1" si="32"/>
        <v>0.45395511424773172</v>
      </c>
      <c r="G115" s="135">
        <f t="shared" ca="1" si="32"/>
        <v>0.38774289406704415</v>
      </c>
      <c r="H115" s="135">
        <f t="shared" ca="1" si="32"/>
        <v>0.47950834624132244</v>
      </c>
      <c r="I115" s="135">
        <f t="shared" ca="1" si="32"/>
        <v>0.31200730958677025</v>
      </c>
      <c r="J115" s="135">
        <f t="shared" ca="1" si="32"/>
        <v>0.39203223203279342</v>
      </c>
      <c r="K115" s="135">
        <f t="shared" ca="1" si="32"/>
        <v>0.32934751095056497</v>
      </c>
      <c r="M115" s="180"/>
    </row>
    <row r="116" spans="2:25" outlineLevel="1" x14ac:dyDescent="0.3">
      <c r="B116" s="37" t="s">
        <v>194</v>
      </c>
      <c r="E116" s="135">
        <f t="shared" ca="1" si="33"/>
        <v>2.8843028924277001</v>
      </c>
      <c r="F116" s="135" t="str">
        <f t="shared" ca="1" si="32"/>
        <v>-</v>
      </c>
      <c r="G116" s="135">
        <f t="shared" ca="1" si="32"/>
        <v>0</v>
      </c>
      <c r="H116" s="135">
        <f t="shared" ca="1" si="32"/>
        <v>166.31707317073105</v>
      </c>
      <c r="I116" s="135">
        <f t="shared" ca="1" si="32"/>
        <v>8.9858188031414821E-2</v>
      </c>
      <c r="J116" s="135">
        <f t="shared" ca="1" si="32"/>
        <v>0.14314244661527759</v>
      </c>
      <c r="K116" s="135">
        <f t="shared" ca="1" si="32"/>
        <v>0.13080715339757953</v>
      </c>
      <c r="M116" s="180"/>
    </row>
    <row r="117" spans="2:25" outlineLevel="1" x14ac:dyDescent="0.3">
      <c r="B117" s="37" t="s">
        <v>195</v>
      </c>
      <c r="E117" s="135">
        <f t="shared" ca="1" si="33"/>
        <v>0.85791026733432296</v>
      </c>
      <c r="F117" s="135">
        <f t="shared" ca="1" si="32"/>
        <v>0.68165800317270397</v>
      </c>
      <c r="G117" s="135">
        <f t="shared" ca="1" si="32"/>
        <v>1.0390329445030149</v>
      </c>
      <c r="H117" s="135">
        <f t="shared" ca="1" si="32"/>
        <v>0.23420694704160269</v>
      </c>
      <c r="I117" s="135">
        <f t="shared" ca="1" si="32"/>
        <v>0.30204484688430022</v>
      </c>
      <c r="J117" s="135">
        <f t="shared" ca="1" si="32"/>
        <v>0.48529919489558149</v>
      </c>
      <c r="K117" s="135">
        <f t="shared" ca="1" si="32"/>
        <v>0.96643873050044948</v>
      </c>
      <c r="M117" s="180"/>
    </row>
    <row r="118" spans="2:25" outlineLevel="1" x14ac:dyDescent="0.3">
      <c r="B118" s="37" t="s">
        <v>196</v>
      </c>
      <c r="E118" s="135">
        <f t="shared" ca="1" si="33"/>
        <v>0.51599391501865088</v>
      </c>
      <c r="F118" s="135">
        <f t="shared" ca="1" si="32"/>
        <v>0.50916177295099296</v>
      </c>
      <c r="G118" s="135">
        <f t="shared" ca="1" si="32"/>
        <v>0.29586527086225911</v>
      </c>
      <c r="H118" s="135">
        <f t="shared" ca="1" si="32"/>
        <v>0.2973016185609022</v>
      </c>
      <c r="I118" s="135">
        <f t="shared" ca="1" si="32"/>
        <v>0.41567694465581612</v>
      </c>
      <c r="J118" s="135">
        <f t="shared" ca="1" si="32"/>
        <v>0.27946124905697239</v>
      </c>
      <c r="K118" s="135">
        <f t="shared" ca="1" si="32"/>
        <v>0.27414921994988278</v>
      </c>
      <c r="M118" s="180"/>
    </row>
    <row r="119" spans="2:25" outlineLevel="1" x14ac:dyDescent="0.3">
      <c r="B119" s="37" t="s">
        <v>197</v>
      </c>
      <c r="E119" s="135">
        <f t="shared" ca="1" si="33"/>
        <v>0.35262305507785757</v>
      </c>
      <c r="F119" s="135">
        <f t="shared" ca="1" si="32"/>
        <v>0.27048239734486185</v>
      </c>
      <c r="G119" s="135">
        <f t="shared" ca="1" si="32"/>
        <v>0.26637733857251777</v>
      </c>
      <c r="H119" s="135">
        <f t="shared" ca="1" si="32"/>
        <v>0.38233683728681966</v>
      </c>
      <c r="I119" s="135">
        <f t="shared" ca="1" si="32"/>
        <v>0.53081122765449762</v>
      </c>
      <c r="J119" s="135">
        <f t="shared" ca="1" si="32"/>
        <v>0.45799522159323275</v>
      </c>
      <c r="K119" s="135">
        <f t="shared" ca="1" si="32"/>
        <v>0.41794742125965312</v>
      </c>
      <c r="M119" s="180"/>
    </row>
    <row r="120" spans="2:25" ht="5.15" customHeight="1" outlineLevel="1" x14ac:dyDescent="0.3">
      <c r="B120" s="37"/>
    </row>
    <row r="121" spans="2:25" outlineLevel="1" x14ac:dyDescent="0.3">
      <c r="B121" s="121" t="s">
        <v>198</v>
      </c>
      <c r="C121" s="122"/>
      <c r="D121" s="122"/>
      <c r="E121" s="131">
        <f ca="1">IFERROR(AVERAGE(E111:E119),"-")</f>
        <v>1.1422437127124716</v>
      </c>
      <c r="F121" s="131">
        <f t="shared" ref="F121:K121" ca="1" si="36">IFERROR(AVERAGE(F111:F119),"-")</f>
        <v>0.91228857062520885</v>
      </c>
      <c r="G121" s="131">
        <f t="shared" ca="1" si="36"/>
        <v>0.86987944273430662</v>
      </c>
      <c r="H121" s="131">
        <f t="shared" ca="1" si="36"/>
        <v>19.447363823384038</v>
      </c>
      <c r="I121" s="131">
        <f t="shared" ca="1" si="36"/>
        <v>0.81687935731906325</v>
      </c>
      <c r="J121" s="131">
        <f t="shared" ca="1" si="36"/>
        <v>0.73989578102045195</v>
      </c>
      <c r="K121" s="132">
        <f t="shared" ca="1" si="36"/>
        <v>0.81329778794617957</v>
      </c>
    </row>
    <row r="122" spans="2:25" outlineLevel="1" x14ac:dyDescent="0.3">
      <c r="B122" s="123" t="s">
        <v>199</v>
      </c>
      <c r="C122" s="124"/>
      <c r="D122" s="124"/>
      <c r="E122" s="133">
        <f ca="1">IFERROR(MEDIAN(E111:E119),"-")</f>
        <v>0.67481168473268371</v>
      </c>
      <c r="F122" s="133">
        <f t="shared" ref="F122:K122" ca="1" si="37">IFERROR(MEDIAN(F111:F119),"-")</f>
        <v>0.5500096431621555</v>
      </c>
      <c r="G122" s="133">
        <f t="shared" ca="1" si="37"/>
        <v>0.38774289406704415</v>
      </c>
      <c r="H122" s="133">
        <f t="shared" ca="1" si="37"/>
        <v>0.47950834624132244</v>
      </c>
      <c r="I122" s="133">
        <f t="shared" ca="1" si="37"/>
        <v>0.4732440861551569</v>
      </c>
      <c r="J122" s="133">
        <f t="shared" ca="1" si="37"/>
        <v>0.45799522159323275</v>
      </c>
      <c r="K122" s="134">
        <f t="shared" ca="1" si="37"/>
        <v>0.41794742125965312</v>
      </c>
    </row>
    <row r="123" spans="2:25" ht="5.15" customHeight="1" outlineLevel="1" x14ac:dyDescent="0.3">
      <c r="B123" s="37"/>
    </row>
    <row r="124" spans="2:25" outlineLevel="1" x14ac:dyDescent="0.3">
      <c r="B124" s="120" t="s">
        <v>174</v>
      </c>
    </row>
    <row r="125" spans="2:25" outlineLevel="1" x14ac:dyDescent="0.3">
      <c r="B125" s="37" t="s">
        <v>189</v>
      </c>
      <c r="E125" s="119">
        <f ca="1">INDEX(INDIRECT($B125&amp;"!C53:N78"),MATCH($B$124,INDIRECT($B125&amp;"!B53:B78"),0),MATCH(E$4,INDIRECT($B125&amp;"!C52:N52"),0))</f>
        <v>5604.4543889165197</v>
      </c>
      <c r="F125" s="119">
        <f t="shared" ref="F125:K133" ca="1" si="38">INDEX(INDIRECT($B125&amp;"!C53:N78"),MATCH($B$124,INDIRECT($B125&amp;"!B53:B78"),0),MATCH(F$4,INDIRECT($B125&amp;"!C52:N52"),0))</f>
        <v>6531.813184261302</v>
      </c>
      <c r="G125" s="119">
        <f t="shared" ca="1" si="38"/>
        <v>8009.1453752518009</v>
      </c>
      <c r="H125" s="119">
        <f t="shared" ca="1" si="38"/>
        <v>9769.9694848656709</v>
      </c>
      <c r="I125" s="119">
        <f t="shared" ca="1" si="38"/>
        <v>12167.655294656717</v>
      </c>
      <c r="J125" s="119">
        <f t="shared" ca="1" si="38"/>
        <v>20542.732399463603</v>
      </c>
      <c r="K125" s="119">
        <f t="shared" ca="1" si="38"/>
        <v>21154.042994499199</v>
      </c>
      <c r="M125" s="179"/>
    </row>
    <row r="126" spans="2:25" outlineLevel="1" x14ac:dyDescent="0.3">
      <c r="B126" s="37" t="s">
        <v>190</v>
      </c>
      <c r="E126" s="119">
        <f t="shared" ref="E126:E133" ca="1" si="39">INDEX(INDIRECT($B126&amp;"!C53:N78"),MATCH($B$124,INDIRECT($B126&amp;"!B53:B78"),0),MATCH(E$4,INDIRECT($B126&amp;"!C52:N52"),0))</f>
        <v>-284.06897963955998</v>
      </c>
      <c r="F126" s="119">
        <f t="shared" ca="1" si="38"/>
        <v>-420.14882074203297</v>
      </c>
      <c r="G126" s="119">
        <f t="shared" ca="1" si="38"/>
        <v>-653.28675793716707</v>
      </c>
      <c r="H126" s="119">
        <f t="shared" ca="1" si="38"/>
        <v>-588.35804094560399</v>
      </c>
      <c r="I126" s="119" t="str">
        <f t="shared" ca="1" si="38"/>
        <v>-</v>
      </c>
      <c r="J126" s="119">
        <f t="shared" ca="1" si="38"/>
        <v>-935.87786599248909</v>
      </c>
      <c r="K126" s="119">
        <f t="shared" ca="1" si="38"/>
        <v>-953.80698687303595</v>
      </c>
    </row>
    <row r="127" spans="2:25" outlineLevel="1" x14ac:dyDescent="0.3">
      <c r="B127" s="37" t="s">
        <v>191</v>
      </c>
      <c r="E127" s="119">
        <f t="shared" ca="1" si="39"/>
        <v>269.66592648625351</v>
      </c>
      <c r="F127" s="119">
        <f t="shared" ca="1" si="38"/>
        <v>174.16533903479603</v>
      </c>
      <c r="G127" s="119">
        <f t="shared" ca="1" si="38"/>
        <v>462.36370644569405</v>
      </c>
      <c r="H127" s="119">
        <f t="shared" ca="1" si="38"/>
        <v>519.27851620912588</v>
      </c>
      <c r="I127" s="119">
        <f t="shared" ca="1" si="38"/>
        <v>446.38574702739731</v>
      </c>
      <c r="J127" s="119">
        <f t="shared" ca="1" si="38"/>
        <v>429.93721625804864</v>
      </c>
      <c r="K127" s="119">
        <f t="shared" ca="1" si="38"/>
        <v>337.61702831983541</v>
      </c>
    </row>
    <row r="128" spans="2:25" outlineLevel="1" x14ac:dyDescent="0.3">
      <c r="B128" s="37" t="s">
        <v>192</v>
      </c>
      <c r="E128" s="119">
        <f t="shared" ca="1" si="39"/>
        <v>1420.7247937098139</v>
      </c>
      <c r="F128" s="119">
        <f t="shared" ca="1" si="38"/>
        <v>1291.238639155403</v>
      </c>
      <c r="G128" s="119">
        <f t="shared" ca="1" si="38"/>
        <v>1300.4201432946138</v>
      </c>
      <c r="H128" s="119">
        <f t="shared" ca="1" si="38"/>
        <v>1496.7672540340554</v>
      </c>
      <c r="I128" s="119">
        <f t="shared" ca="1" si="38"/>
        <v>1350.832401562483</v>
      </c>
      <c r="J128" s="119">
        <f t="shared" ca="1" si="38"/>
        <v>1321.630091851574</v>
      </c>
      <c r="K128" s="119">
        <f t="shared" ca="1" si="38"/>
        <v>1222.4178069373611</v>
      </c>
    </row>
    <row r="129" spans="2:13" outlineLevel="1" x14ac:dyDescent="0.3">
      <c r="B129" s="37" t="s">
        <v>193</v>
      </c>
      <c r="E129" s="119">
        <f t="shared" ca="1" si="39"/>
        <v>7821.8797499313505</v>
      </c>
      <c r="F129" s="119">
        <f t="shared" ca="1" si="38"/>
        <v>6752.1338129565193</v>
      </c>
      <c r="G129" s="119">
        <f t="shared" ca="1" si="38"/>
        <v>7015.9850770747698</v>
      </c>
      <c r="H129" s="119">
        <f t="shared" ca="1" si="38"/>
        <v>8417.7441796520288</v>
      </c>
      <c r="I129" s="119">
        <f t="shared" ca="1" si="38"/>
        <v>7011.7477517612506</v>
      </c>
      <c r="J129" s="119">
        <f t="shared" ca="1" si="38"/>
        <v>9004.9224552157993</v>
      </c>
      <c r="K129" s="119">
        <f t="shared" ca="1" si="38"/>
        <v>7293.6205083118302</v>
      </c>
    </row>
    <row r="130" spans="2:13" outlineLevel="1" x14ac:dyDescent="0.3">
      <c r="B130" s="37" t="s">
        <v>194</v>
      </c>
      <c r="E130" s="119">
        <f t="shared" ca="1" si="39"/>
        <v>1.4506967470049901E-2</v>
      </c>
      <c r="F130" s="119" t="str">
        <f t="shared" ca="1" si="38"/>
        <v>-</v>
      </c>
      <c r="G130" s="119">
        <f t="shared" ca="1" si="38"/>
        <v>-360.79925464796997</v>
      </c>
      <c r="H130" s="119">
        <f t="shared" ca="1" si="38"/>
        <v>-502.35466737341915</v>
      </c>
      <c r="I130" s="119">
        <f t="shared" ca="1" si="38"/>
        <v>-636.58168745148146</v>
      </c>
      <c r="J130" s="119">
        <f t="shared" ca="1" si="38"/>
        <v>-1032.6068300524955</v>
      </c>
      <c r="K130" s="119">
        <f t="shared" ca="1" si="38"/>
        <v>-639.67116407513618</v>
      </c>
    </row>
    <row r="131" spans="2:13" outlineLevel="1" x14ac:dyDescent="0.3">
      <c r="B131" s="37" t="s">
        <v>195</v>
      </c>
      <c r="E131" s="119">
        <f t="shared" ca="1" si="39"/>
        <v>0.68794149720834952</v>
      </c>
      <c r="F131" s="119">
        <f t="shared" ca="1" si="38"/>
        <v>-18.850373212156001</v>
      </c>
      <c r="G131" s="119">
        <f t="shared" ca="1" si="38"/>
        <v>-24.897946959020402</v>
      </c>
      <c r="H131" s="119">
        <f t="shared" ca="1" si="38"/>
        <v>-110.25675724272961</v>
      </c>
      <c r="I131" s="119">
        <f t="shared" ca="1" si="38"/>
        <v>-90.208000293536401</v>
      </c>
      <c r="J131" s="119">
        <f t="shared" ca="1" si="38"/>
        <v>-46.266000384880812</v>
      </c>
      <c r="K131" s="119">
        <f t="shared" ca="1" si="38"/>
        <v>22.406590467445696</v>
      </c>
    </row>
    <row r="132" spans="2:13" outlineLevel="1" x14ac:dyDescent="0.3">
      <c r="B132" s="37" t="s">
        <v>196</v>
      </c>
      <c r="E132" s="119">
        <f t="shared" ca="1" si="39"/>
        <v>193.04100000000005</v>
      </c>
      <c r="F132" s="119">
        <f t="shared" ca="1" si="38"/>
        <v>-163.00400000000002</v>
      </c>
      <c r="G132" s="119">
        <f t="shared" ca="1" si="38"/>
        <v>-187.25</v>
      </c>
      <c r="H132" s="119">
        <f t="shared" ca="1" si="38"/>
        <v>104.11399999999998</v>
      </c>
      <c r="I132" s="119">
        <f t="shared" ca="1" si="38"/>
        <v>272.12199999999996</v>
      </c>
      <c r="J132" s="119">
        <f t="shared" ca="1" si="38"/>
        <v>-22.538999999999987</v>
      </c>
      <c r="K132" s="119">
        <f t="shared" ca="1" si="38"/>
        <v>42</v>
      </c>
    </row>
    <row r="133" spans="2:13" outlineLevel="1" x14ac:dyDescent="0.3">
      <c r="B133" s="37" t="s">
        <v>197</v>
      </c>
      <c r="E133" s="119">
        <f t="shared" ca="1" si="39"/>
        <v>209.48499999999999</v>
      </c>
      <c r="F133" s="119">
        <f t="shared" ca="1" si="38"/>
        <v>56.786000000000001</v>
      </c>
      <c r="G133" s="119">
        <f t="shared" ca="1" si="38"/>
        <v>3.0230000000000246</v>
      </c>
      <c r="H133" s="119">
        <f t="shared" ca="1" si="38"/>
        <v>234.411</v>
      </c>
      <c r="I133" s="119">
        <f t="shared" ca="1" si="38"/>
        <v>412.78000000000003</v>
      </c>
      <c r="J133" s="119">
        <f t="shared" ca="1" si="38"/>
        <v>398.49700000000001</v>
      </c>
      <c r="K133" s="119">
        <f t="shared" ca="1" si="38"/>
        <v>337.19100000000003</v>
      </c>
    </row>
    <row r="134" spans="2:13" ht="5.15" customHeight="1" outlineLevel="1" x14ac:dyDescent="0.3">
      <c r="B134" s="37"/>
      <c r="E134" s="137"/>
      <c r="F134" s="137"/>
      <c r="G134" s="137"/>
      <c r="H134" s="137"/>
      <c r="I134" s="137"/>
      <c r="J134" s="137"/>
      <c r="K134" s="137"/>
    </row>
    <row r="135" spans="2:13" outlineLevel="1" x14ac:dyDescent="0.3">
      <c r="B135" s="121" t="s">
        <v>198</v>
      </c>
      <c r="C135" s="122"/>
      <c r="D135" s="122"/>
      <c r="E135" s="138">
        <f ca="1">IFERROR(AVERAGE(E125:E133),"-")</f>
        <v>1692.8760364298951</v>
      </c>
      <c r="F135" s="138">
        <f t="shared" ref="F135:K135" ca="1" si="40">IFERROR(AVERAGE(F125:F133),"-")</f>
        <v>1775.5167226817289</v>
      </c>
      <c r="G135" s="138">
        <f t="shared" ca="1" si="40"/>
        <v>1729.4114825025244</v>
      </c>
      <c r="H135" s="138">
        <f t="shared" ca="1" si="40"/>
        <v>2149.0349965776813</v>
      </c>
      <c r="I135" s="138">
        <f t="shared" ca="1" si="40"/>
        <v>2616.8416884078533</v>
      </c>
      <c r="J135" s="138">
        <f t="shared" ca="1" si="40"/>
        <v>3295.603274039906</v>
      </c>
      <c r="K135" s="139">
        <f t="shared" ca="1" si="40"/>
        <v>3201.757530843056</v>
      </c>
    </row>
    <row r="136" spans="2:13" outlineLevel="1" x14ac:dyDescent="0.3">
      <c r="B136" s="123" t="s">
        <v>199</v>
      </c>
      <c r="C136" s="124"/>
      <c r="D136" s="124"/>
      <c r="E136" s="140">
        <f ca="1">IFERROR(MEDIAN(E125:E133),"-")</f>
        <v>209.48499999999999</v>
      </c>
      <c r="F136" s="140">
        <f t="shared" ref="F136:K136" ca="1" si="41">IFERROR(MEDIAN(F125:F133),"-")</f>
        <v>115.47566951739802</v>
      </c>
      <c r="G136" s="140">
        <f t="shared" ca="1" si="41"/>
        <v>3.0230000000000246</v>
      </c>
      <c r="H136" s="140">
        <f t="shared" ca="1" si="41"/>
        <v>234.411</v>
      </c>
      <c r="I136" s="140">
        <f t="shared" ca="1" si="41"/>
        <v>429.5828735136987</v>
      </c>
      <c r="J136" s="140">
        <f t="shared" ca="1" si="41"/>
        <v>398.49700000000001</v>
      </c>
      <c r="K136" s="141">
        <f t="shared" ca="1" si="41"/>
        <v>337.19100000000003</v>
      </c>
    </row>
    <row r="137" spans="2:13" ht="5.15" customHeight="1" outlineLevel="1" x14ac:dyDescent="0.3">
      <c r="B137" s="37"/>
    </row>
    <row r="138" spans="2:13" outlineLevel="1" x14ac:dyDescent="0.3">
      <c r="B138" s="120" t="s">
        <v>175</v>
      </c>
    </row>
    <row r="139" spans="2:13" outlineLevel="1" x14ac:dyDescent="0.3">
      <c r="B139" s="37" t="s">
        <v>189</v>
      </c>
      <c r="E139" s="135">
        <f ca="1">INDEX(INDIRECT($B139&amp;"!C53:N78"),MATCH($B$138,INDIRECT($B139&amp;"!B53:B78"),0),MATCH(E$4,INDIRECT($B139&amp;"!C52:N52"),0))</f>
        <v>0.74542816373772702</v>
      </c>
      <c r="F139" s="135">
        <f t="shared" ref="F139:K147" ca="1" si="42">INDEX(INDIRECT($B139&amp;"!C53:N78"),MATCH($B$138,INDIRECT($B139&amp;"!B53:B78"),0),MATCH(F$4,INDIRECT($B139&amp;"!C52:N52"),0))</f>
        <v>1.02113276632392</v>
      </c>
      <c r="G139" s="135">
        <f t="shared" ca="1" si="42"/>
        <v>1.1880844897441445</v>
      </c>
      <c r="H139" s="135">
        <f t="shared" ca="1" si="42"/>
        <v>1.2168745046277019</v>
      </c>
      <c r="I139" s="135">
        <f t="shared" ca="1" si="42"/>
        <v>1.4537122551216182</v>
      </c>
      <c r="J139" s="135">
        <f t="shared" ca="1" si="42"/>
        <v>2.4142637447928621</v>
      </c>
      <c r="K139" s="135">
        <f t="shared" ca="1" si="42"/>
        <v>2.3786837350239187</v>
      </c>
      <c r="M139" s="135"/>
    </row>
    <row r="140" spans="2:13" outlineLevel="1" x14ac:dyDescent="0.3">
      <c r="B140" s="37" t="s">
        <v>190</v>
      </c>
      <c r="E140" s="135">
        <f t="shared" ref="E140:E147" ca="1" si="43">INDEX(INDIRECT($B140&amp;"!C53:N78"),MATCH($B$138,INDIRECT($B140&amp;"!B53:B78"),0),MATCH(E$4,INDIRECT($B140&amp;"!C52:N52"),0))</f>
        <v>-0.73021352438233533</v>
      </c>
      <c r="F140" s="135">
        <f t="shared" ca="1" si="42"/>
        <v>-1.0050530538461477</v>
      </c>
      <c r="G140" s="135">
        <f t="shared" ca="1" si="42"/>
        <v>-1.4644679056062979</v>
      </c>
      <c r="H140" s="135">
        <f t="shared" ca="1" si="42"/>
        <v>-1.2178217554442914</v>
      </c>
      <c r="I140" s="135" t="str">
        <f t="shared" ca="1" si="42"/>
        <v>-</v>
      </c>
      <c r="J140" s="135">
        <f t="shared" ca="1" si="42"/>
        <v>-1.9104927687342681</v>
      </c>
      <c r="K140" s="135">
        <f t="shared" ca="1" si="42"/>
        <v>-1.730637212530048</v>
      </c>
      <c r="M140" s="135"/>
    </row>
    <row r="141" spans="2:13" outlineLevel="1" x14ac:dyDescent="0.3">
      <c r="B141" s="37" t="s">
        <v>191</v>
      </c>
      <c r="E141" s="135">
        <f t="shared" ca="1" si="43"/>
        <v>2.4902906240508758</v>
      </c>
      <c r="F141" s="135">
        <f t="shared" ca="1" si="42"/>
        <v>1.8016700836742934</v>
      </c>
      <c r="G141" s="135">
        <f t="shared" ca="1" si="42"/>
        <v>-17.131815153275607</v>
      </c>
      <c r="H141" s="135">
        <f t="shared" ca="1" si="42"/>
        <v>7.3156623527755489</v>
      </c>
      <c r="I141" s="135">
        <f t="shared" ca="1" si="42"/>
        <v>1.6232579675906684</v>
      </c>
      <c r="J141" s="135">
        <f t="shared" ca="1" si="42"/>
        <v>1.2972360289320104</v>
      </c>
      <c r="K141" s="135">
        <f t="shared" ca="1" si="42"/>
        <v>1.8351888315684144</v>
      </c>
      <c r="M141" s="135"/>
    </row>
    <row r="142" spans="2:13" outlineLevel="1" x14ac:dyDescent="0.3">
      <c r="B142" s="37" t="s">
        <v>192</v>
      </c>
      <c r="E142" s="135">
        <f t="shared" ca="1" si="43"/>
        <v>4.344840666551864</v>
      </c>
      <c r="F142" s="135">
        <f t="shared" ca="1" si="42"/>
        <v>4.9492173791880258</v>
      </c>
      <c r="G142" s="135">
        <f t="shared" ca="1" si="42"/>
        <v>4.9080840874732559</v>
      </c>
      <c r="H142" s="135">
        <f t="shared" ca="1" si="42"/>
        <v>4.3691769483102494</v>
      </c>
      <c r="I142" s="135">
        <f t="shared" ca="1" si="42"/>
        <v>2.6533463055621569</v>
      </c>
      <c r="J142" s="135">
        <f t="shared" ca="1" si="42"/>
        <v>3.4852278774529744</v>
      </c>
      <c r="K142" s="135">
        <f t="shared" ca="1" si="42"/>
        <v>3.7010066383640292</v>
      </c>
      <c r="M142" s="135"/>
    </row>
    <row r="143" spans="2:13" outlineLevel="1" x14ac:dyDescent="0.3">
      <c r="B143" s="37" t="s">
        <v>193</v>
      </c>
      <c r="E143" s="135">
        <f t="shared" ca="1" si="43"/>
        <v>2.8411215190986581</v>
      </c>
      <c r="F143" s="135">
        <f t="shared" ca="1" si="42"/>
        <v>2.5682862330522789</v>
      </c>
      <c r="G143" s="135">
        <f t="shared" ca="1" si="42"/>
        <v>2.4382931377484804</v>
      </c>
      <c r="H143" s="135">
        <f t="shared" ca="1" si="42"/>
        <v>2.78037908554187</v>
      </c>
      <c r="I143" s="135">
        <f t="shared" ca="1" si="42"/>
        <v>2.083858936243888</v>
      </c>
      <c r="J143" s="135">
        <f t="shared" ca="1" si="42"/>
        <v>2.6824224038491256</v>
      </c>
      <c r="K143" s="135">
        <f t="shared" ca="1" si="42"/>
        <v>2.3269579636116844</v>
      </c>
      <c r="M143" s="135"/>
    </row>
    <row r="144" spans="2:13" outlineLevel="1" x14ac:dyDescent="0.3">
      <c r="B144" s="37" t="s">
        <v>194</v>
      </c>
      <c r="E144" s="135">
        <f t="shared" ca="1" si="43"/>
        <v>-0.87761448699636424</v>
      </c>
      <c r="F144" s="135" t="str">
        <f t="shared" ca="1" si="42"/>
        <v>-</v>
      </c>
      <c r="G144" s="135">
        <f t="shared" ca="1" si="42"/>
        <v>2.9026451345514759</v>
      </c>
      <c r="H144" s="135">
        <f t="shared" ca="1" si="42"/>
        <v>2.8375923599823105</v>
      </c>
      <c r="I144" s="135">
        <f t="shared" ca="1" si="42"/>
        <v>11.599104176681001</v>
      </c>
      <c r="J144" s="135">
        <f t="shared" ca="1" si="42"/>
        <v>30.481850638517503</v>
      </c>
      <c r="K144" s="135">
        <f t="shared" ca="1" si="42"/>
        <v>177.4641113702379</v>
      </c>
      <c r="M144" s="135"/>
    </row>
    <row r="145" spans="2:13" outlineLevel="1" x14ac:dyDescent="0.3">
      <c r="B145" s="37" t="s">
        <v>195</v>
      </c>
      <c r="E145" s="135">
        <f t="shared" ca="1" si="43"/>
        <v>0.4804933138756684</v>
      </c>
      <c r="F145" s="135">
        <f t="shared" ca="1" si="42"/>
        <v>-2.0438838893262581</v>
      </c>
      <c r="G145" s="135">
        <f t="shared" ca="1" si="42"/>
        <v>-2.2472369305646178</v>
      </c>
      <c r="H145" s="135">
        <f t="shared" ca="1" si="42"/>
        <v>-8.0826999946286957</v>
      </c>
      <c r="I145" s="135">
        <f t="shared" ca="1" si="42"/>
        <v>6.6725299067434944</v>
      </c>
      <c r="J145" s="135">
        <f t="shared" ca="1" si="42"/>
        <v>3.6581171746236456</v>
      </c>
      <c r="K145" s="135" t="str">
        <f t="shared" ca="1" si="42"/>
        <v>-</v>
      </c>
      <c r="M145" s="135"/>
    </row>
    <row r="146" spans="2:13" outlineLevel="1" x14ac:dyDescent="0.3">
      <c r="B146" s="37" t="s">
        <v>196</v>
      </c>
      <c r="E146" s="135">
        <f t="shared" ca="1" si="43"/>
        <v>0.28929274703800179</v>
      </c>
      <c r="F146" s="135">
        <f t="shared" ca="1" si="42"/>
        <v>-0.25547734692502161</v>
      </c>
      <c r="G146" s="135">
        <f t="shared" ca="1" si="42"/>
        <v>-0.25508813993406537</v>
      </c>
      <c r="H146" s="135">
        <f t="shared" ca="1" si="42"/>
        <v>0.13387062969882513</v>
      </c>
      <c r="I146" s="135">
        <f t="shared" ca="1" si="42"/>
        <v>0.31130681090183582</v>
      </c>
      <c r="J146" s="135">
        <f t="shared" ca="1" si="42"/>
        <v>-2.5301691718772789E-2</v>
      </c>
      <c r="K146" s="135">
        <f t="shared" ca="1" si="42"/>
        <v>4.6819558536153057E-2</v>
      </c>
      <c r="M146" s="135"/>
    </row>
    <row r="147" spans="2:13" outlineLevel="1" x14ac:dyDescent="0.3">
      <c r="B147" s="37" t="s">
        <v>197</v>
      </c>
      <c r="E147" s="135">
        <f t="shared" ca="1" si="43"/>
        <v>1.0923990696995296</v>
      </c>
      <c r="F147" s="135">
        <f t="shared" ca="1" si="42"/>
        <v>0.41385291481127884</v>
      </c>
      <c r="G147" s="135">
        <f t="shared" ca="1" si="42"/>
        <v>1.7060685926486248E-2</v>
      </c>
      <c r="H147" s="135">
        <f t="shared" ca="1" si="42"/>
        <v>1.6748667457380071</v>
      </c>
      <c r="I147" s="135">
        <f t="shared" ca="1" si="42"/>
        <v>1.5042016194272971</v>
      </c>
      <c r="J147" s="135">
        <f t="shared" ca="1" si="42"/>
        <v>1.4457678772267171</v>
      </c>
      <c r="K147" s="135">
        <f t="shared" ca="1" si="42"/>
        <v>1.551009424979646</v>
      </c>
      <c r="M147" s="135"/>
    </row>
    <row r="148" spans="2:13" ht="5.15" customHeight="1" outlineLevel="1" x14ac:dyDescent="0.3">
      <c r="B148" s="37"/>
    </row>
    <row r="149" spans="2:13" outlineLevel="1" x14ac:dyDescent="0.3">
      <c r="B149" s="121" t="s">
        <v>198</v>
      </c>
      <c r="C149" s="122"/>
      <c r="D149" s="122"/>
      <c r="E149" s="131">
        <f ca="1">IFERROR(AVERAGE(E139:E147),"-")</f>
        <v>1.1862264547415138</v>
      </c>
      <c r="F149" s="131">
        <f t="shared" ref="F149:K149" ca="1" si="44">IFERROR(AVERAGE(F139:F147),"-")</f>
        <v>0.93121813586904612</v>
      </c>
      <c r="G149" s="131">
        <f t="shared" ca="1" si="44"/>
        <v>-1.0716045104374161</v>
      </c>
      <c r="H149" s="131">
        <f t="shared" ca="1" si="44"/>
        <v>1.2253223196223917</v>
      </c>
      <c r="I149" s="131">
        <f t="shared" ca="1" si="44"/>
        <v>3.4876647472839952</v>
      </c>
      <c r="J149" s="131">
        <f t="shared" ca="1" si="44"/>
        <v>4.8365656983268668</v>
      </c>
      <c r="K149" s="132">
        <f t="shared" ca="1" si="44"/>
        <v>23.446642538723964</v>
      </c>
    </row>
    <row r="150" spans="2:13" outlineLevel="1" x14ac:dyDescent="0.3">
      <c r="B150" s="123" t="s">
        <v>199</v>
      </c>
      <c r="C150" s="124"/>
      <c r="D150" s="124"/>
      <c r="E150" s="133">
        <f ca="1">IFERROR(MEDIAN(E139:E147),"-")</f>
        <v>0.74542816373772702</v>
      </c>
      <c r="F150" s="133">
        <f t="shared" ref="F150:K150" ca="1" si="45">IFERROR(MEDIAN(F139:F147),"-")</f>
        <v>0.71749284056759943</v>
      </c>
      <c r="G150" s="133">
        <f t="shared" ca="1" si="45"/>
        <v>1.7060685926486248E-2</v>
      </c>
      <c r="H150" s="133">
        <f t="shared" ca="1" si="45"/>
        <v>1.6748667457380071</v>
      </c>
      <c r="I150" s="133">
        <f t="shared" ca="1" si="45"/>
        <v>1.8535584519172783</v>
      </c>
      <c r="J150" s="133">
        <f t="shared" ca="1" si="45"/>
        <v>2.4142637447928621</v>
      </c>
      <c r="K150" s="134">
        <f t="shared" ca="1" si="45"/>
        <v>2.0810733975900493</v>
      </c>
    </row>
    <row r="151" spans="2:13" ht="5.15" customHeight="1" outlineLevel="1" x14ac:dyDescent="0.3">
      <c r="B151" s="37"/>
    </row>
    <row r="152" spans="2:13" outlineLevel="1" x14ac:dyDescent="0.3">
      <c r="B152" s="32" t="s">
        <v>178</v>
      </c>
      <c r="C152" s="32"/>
      <c r="D152" s="32"/>
      <c r="E152" s="32"/>
      <c r="F152" s="32"/>
      <c r="G152" s="32"/>
      <c r="H152" s="32"/>
      <c r="I152" s="32"/>
      <c r="J152" s="32"/>
      <c r="K152" s="32"/>
    </row>
    <row r="153" spans="2:13" ht="5.15" customHeight="1" outlineLevel="1" x14ac:dyDescent="0.3">
      <c r="B153" s="37"/>
    </row>
    <row r="154" spans="2:13" outlineLevel="1" x14ac:dyDescent="0.3">
      <c r="B154" s="120" t="s">
        <v>179</v>
      </c>
    </row>
    <row r="155" spans="2:13" outlineLevel="1" x14ac:dyDescent="0.3">
      <c r="B155" s="37" t="s">
        <v>189</v>
      </c>
      <c r="E155" s="135">
        <f ca="1">INDEX(INDIRECT($B155&amp;"!C53:N78"),MATCH($B$154,INDIRECT($B155&amp;"!B53:B78"),0),MATCH(E$4,INDIRECT($B155&amp;"!C52:N52"),0))</f>
        <v>17.159250579847299</v>
      </c>
      <c r="F155" s="135">
        <f t="shared" ref="F155:K163" ca="1" si="46">INDEX(INDIRECT($B155&amp;"!C53:N78"),MATCH($B$154,INDIRECT($B155&amp;"!B53:B78"),0),MATCH(F$4,INDIRECT($B155&amp;"!C52:N52"),0))</f>
        <v>17.520891370012141</v>
      </c>
      <c r="G155" s="135">
        <f t="shared" ca="1" si="46"/>
        <v>19.66472303551334</v>
      </c>
      <c r="H155" s="135">
        <f t="shared" ca="1" si="46"/>
        <v>17.473429949884203</v>
      </c>
      <c r="I155" s="135">
        <f t="shared" ca="1" si="46"/>
        <v>10.291503271876065</v>
      </c>
      <c r="J155" s="135">
        <f t="shared" ca="1" si="46"/>
        <v>7.4385633308839711</v>
      </c>
      <c r="K155" s="135">
        <f t="shared" ca="1" si="46"/>
        <v>6.5551149863789142</v>
      </c>
    </row>
    <row r="156" spans="2:13" outlineLevel="1" x14ac:dyDescent="0.3">
      <c r="B156" s="37" t="s">
        <v>190</v>
      </c>
      <c r="E156" s="135">
        <f t="shared" ref="E156:E163" ca="1" si="47">INDEX(INDIRECT($B156&amp;"!C53:N78"),MATCH($B$154,INDIRECT($B156&amp;"!B53:B78"),0),MATCH(E$4,INDIRECT($B156&amp;"!C52:N52"),0))</f>
        <v>53.427440262743985</v>
      </c>
      <c r="F156" s="135">
        <f t="shared" ca="1" si="46"/>
        <v>69.203416632880064</v>
      </c>
      <c r="G156" s="135">
        <f t="shared" ca="1" si="46"/>
        <v>142.76704588708608</v>
      </c>
      <c r="H156" s="135">
        <f t="shared" ca="1" si="46"/>
        <v>183.92187634297605</v>
      </c>
      <c r="I156" s="135" t="str">
        <f t="shared" ca="1" si="46"/>
        <v>-</v>
      </c>
      <c r="J156" s="135">
        <f t="shared" ca="1" si="46"/>
        <v>418.40351204457716</v>
      </c>
      <c r="K156" s="135" t="str">
        <f t="shared" ca="1" si="46"/>
        <v>-</v>
      </c>
    </row>
    <row r="157" spans="2:13" outlineLevel="1" x14ac:dyDescent="0.3">
      <c r="B157" s="37" t="s">
        <v>191</v>
      </c>
      <c r="E157" s="135">
        <f t="shared" ca="1" si="47"/>
        <v>3.9948716339961954</v>
      </c>
      <c r="F157" s="135">
        <f t="shared" ca="1" si="46"/>
        <v>4.314102497176445</v>
      </c>
      <c r="G157" s="135">
        <f t="shared" ca="1" si="46"/>
        <v>-4.1764708830479931</v>
      </c>
      <c r="H157" s="135">
        <f t="shared" ca="1" si="46"/>
        <v>1.0540541042442655</v>
      </c>
      <c r="I157" s="135">
        <f t="shared" ca="1" si="46"/>
        <v>5.7844037443634688</v>
      </c>
      <c r="J157" s="135">
        <f t="shared" ca="1" si="46"/>
        <v>49.349205951910285</v>
      </c>
      <c r="K157" s="135">
        <f t="shared" ca="1" si="46"/>
        <v>5.1710527036922356</v>
      </c>
    </row>
    <row r="158" spans="2:13" outlineLevel="1" x14ac:dyDescent="0.3">
      <c r="B158" s="37" t="s">
        <v>192</v>
      </c>
      <c r="E158" s="135">
        <f t="shared" ca="1" si="47"/>
        <v>4.8572251161422928</v>
      </c>
      <c r="F158" s="135">
        <f t="shared" ca="1" si="46"/>
        <v>1.1208717504712706</v>
      </c>
      <c r="G158" s="135">
        <f t="shared" ca="1" si="46"/>
        <v>2.4195285609987121</v>
      </c>
      <c r="H158" s="135">
        <f t="shared" ca="1" si="46"/>
        <v>3.7978310377637641</v>
      </c>
      <c r="I158" s="135">
        <f t="shared" ca="1" si="46"/>
        <v>6.188843802604393</v>
      </c>
      <c r="J158" s="135">
        <f t="shared" ca="1" si="46"/>
        <v>2.6792671560150381</v>
      </c>
      <c r="K158" s="135">
        <f t="shared" ca="1" si="46"/>
        <v>1.6945712005599001</v>
      </c>
    </row>
    <row r="159" spans="2:13" outlineLevel="1" x14ac:dyDescent="0.3">
      <c r="B159" s="37" t="s">
        <v>193</v>
      </c>
      <c r="E159" s="135">
        <f t="shared" ca="1" si="47"/>
        <v>15.392591704357875</v>
      </c>
      <c r="F159" s="135">
        <f t="shared" ca="1" si="46"/>
        <v>19.3104548087687</v>
      </c>
      <c r="G159" s="135">
        <f t="shared" ca="1" si="46"/>
        <v>25.775513726292676</v>
      </c>
      <c r="H159" s="135">
        <f t="shared" ca="1" si="46"/>
        <v>12.087298788971932</v>
      </c>
      <c r="I159" s="135">
        <f t="shared" ca="1" si="46"/>
        <v>11.341031308299224</v>
      </c>
      <c r="J159" s="135">
        <f t="shared" ca="1" si="46"/>
        <v>16.267359575052875</v>
      </c>
      <c r="K159" s="135" t="str">
        <f t="shared" ca="1" si="46"/>
        <v>-</v>
      </c>
    </row>
    <row r="160" spans="2:13" outlineLevel="1" x14ac:dyDescent="0.3">
      <c r="B160" s="37" t="s">
        <v>194</v>
      </c>
      <c r="E160" s="135" t="str">
        <f t="shared" ca="1" si="47"/>
        <v>-</v>
      </c>
      <c r="F160" s="135" t="str">
        <f t="shared" ca="1" si="46"/>
        <v>-</v>
      </c>
      <c r="G160" s="135" t="str">
        <f t="shared" ca="1" si="46"/>
        <v>-</v>
      </c>
      <c r="H160" s="135" t="str">
        <f t="shared" ca="1" si="46"/>
        <v>-</v>
      </c>
      <c r="I160" s="135" t="str">
        <f t="shared" ca="1" si="46"/>
        <v>-</v>
      </c>
      <c r="J160" s="135" t="str">
        <f t="shared" ca="1" si="46"/>
        <v>-</v>
      </c>
      <c r="K160" s="135" t="str">
        <f t="shared" ca="1" si="46"/>
        <v>-</v>
      </c>
    </row>
    <row r="161" spans="1:14" outlineLevel="1" x14ac:dyDescent="0.3">
      <c r="B161" s="37" t="s">
        <v>195</v>
      </c>
      <c r="E161" s="135">
        <f t="shared" ca="1" si="47"/>
        <v>2.7454095280311517</v>
      </c>
      <c r="F161" s="135">
        <f t="shared" ca="1" si="46"/>
        <v>15.581460691570443</v>
      </c>
      <c r="G161" s="135">
        <f t="shared" ca="1" si="46"/>
        <v>14.659708076415109</v>
      </c>
      <c r="H161" s="135">
        <f t="shared" ca="1" si="46"/>
        <v>21.158744006487161</v>
      </c>
      <c r="I161" s="135">
        <f t="shared" ca="1" si="46"/>
        <v>-24.437580853547352</v>
      </c>
      <c r="J161" s="135">
        <f t="shared" ca="1" si="46"/>
        <v>-15.963802914188483</v>
      </c>
      <c r="K161" s="135">
        <f t="shared" ca="1" si="46"/>
        <v>-16.775076218299859</v>
      </c>
    </row>
    <row r="162" spans="1:14" outlineLevel="1" x14ac:dyDescent="0.3">
      <c r="B162" s="37" t="s">
        <v>196</v>
      </c>
      <c r="E162" s="135">
        <f t="shared" ca="1" si="47"/>
        <v>19.415506823273816</v>
      </c>
      <c r="F162" s="135">
        <f t="shared" ca="1" si="46"/>
        <v>19.792895047169814</v>
      </c>
      <c r="G162" s="135">
        <f t="shared" ca="1" si="46"/>
        <v>31.376396648044693</v>
      </c>
      <c r="H162" s="135">
        <f t="shared" ca="1" si="46"/>
        <v>27.211302034653823</v>
      </c>
      <c r="I162" s="135">
        <f t="shared" ca="1" si="46"/>
        <v>13.436220913933278</v>
      </c>
      <c r="J162" s="135">
        <f t="shared" ca="1" si="46"/>
        <v>13.489452552418584</v>
      </c>
      <c r="K162" s="135">
        <f t="shared" ca="1" si="46"/>
        <v>13.115053029833158</v>
      </c>
    </row>
    <row r="163" spans="1:14" outlineLevel="1" x14ac:dyDescent="0.3">
      <c r="B163" s="37" t="s">
        <v>197</v>
      </c>
      <c r="E163" s="135">
        <f t="shared" ca="1" si="47"/>
        <v>14.055679287305122</v>
      </c>
      <c r="F163" s="135">
        <f t="shared" ca="1" si="46"/>
        <v>8.6740896780018062</v>
      </c>
      <c r="G163" s="135">
        <f t="shared" ca="1" si="46"/>
        <v>14.360526009542651</v>
      </c>
      <c r="H163" s="135">
        <f t="shared" ca="1" si="46"/>
        <v>8.5603422244589833</v>
      </c>
      <c r="I163" s="135">
        <f t="shared" ca="1" si="46"/>
        <v>10.863490772281255</v>
      </c>
      <c r="J163" s="135">
        <f t="shared" ca="1" si="46"/>
        <v>7.0618912410595547</v>
      </c>
      <c r="K163" s="135">
        <f t="shared" ca="1" si="46"/>
        <v>1.0367367466528488</v>
      </c>
    </row>
    <row r="164" spans="1:14" ht="5.15" customHeight="1" outlineLevel="1" x14ac:dyDescent="0.3">
      <c r="B164" s="37"/>
    </row>
    <row r="165" spans="1:14" outlineLevel="1" x14ac:dyDescent="0.3">
      <c r="B165" s="121" t="s">
        <v>198</v>
      </c>
      <c r="C165" s="122"/>
      <c r="D165" s="122"/>
      <c r="E165" s="131">
        <f ca="1">IFERROR(AVERAGE(E155:E163),"-")</f>
        <v>16.380996866962214</v>
      </c>
      <c r="F165" s="131">
        <f t="shared" ref="F165:K165" ca="1" si="48">IFERROR(AVERAGE(F155:F163),"-")</f>
        <v>19.439772809506337</v>
      </c>
      <c r="G165" s="131">
        <f t="shared" ca="1" si="48"/>
        <v>30.85587138260566</v>
      </c>
      <c r="H165" s="131">
        <f t="shared" ca="1" si="48"/>
        <v>34.408109811180019</v>
      </c>
      <c r="I165" s="131">
        <f t="shared" ca="1" si="48"/>
        <v>4.7811304228300466</v>
      </c>
      <c r="J165" s="131">
        <f t="shared" ca="1" si="48"/>
        <v>62.340681117216121</v>
      </c>
      <c r="K165" s="132">
        <f t="shared" ca="1" si="48"/>
        <v>1.7995754081361997</v>
      </c>
    </row>
    <row r="166" spans="1:14" ht="12.75" customHeight="1" outlineLevel="1" x14ac:dyDescent="0.3">
      <c r="B166" s="123" t="s">
        <v>199</v>
      </c>
      <c r="C166" s="124"/>
      <c r="D166" s="124"/>
      <c r="E166" s="133">
        <f ca="1">IFERROR(MEDIAN(E155:E163),"-")</f>
        <v>14.724135495831497</v>
      </c>
      <c r="F166" s="133">
        <f t="shared" ref="F166:K166" ca="1" si="49">IFERROR(MEDIAN(F155:F163),"-")</f>
        <v>16.551176030791293</v>
      </c>
      <c r="G166" s="133">
        <f t="shared" ca="1" si="49"/>
        <v>17.162215555964224</v>
      </c>
      <c r="H166" s="133">
        <f t="shared" ca="1" si="49"/>
        <v>14.780364369428067</v>
      </c>
      <c r="I166" s="133">
        <f t="shared" ca="1" si="49"/>
        <v>10.291503271876065</v>
      </c>
      <c r="J166" s="133">
        <f t="shared" ca="1" si="49"/>
        <v>10.464007941651278</v>
      </c>
      <c r="K166" s="134">
        <f t="shared" ca="1" si="49"/>
        <v>3.4328119521260678</v>
      </c>
    </row>
    <row r="167" spans="1:14" ht="12.75" customHeight="1" x14ac:dyDescent="0.3"/>
    <row r="168" spans="1:14" ht="17.600000000000001" x14ac:dyDescent="0.4">
      <c r="A168" t="s">
        <v>1</v>
      </c>
      <c r="B168" s="2" t="s">
        <v>200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ht="5.15" customHeight="1" x14ac:dyDescent="0.3"/>
    <row r="170" spans="1:14" outlineLevel="1" x14ac:dyDescent="0.3">
      <c r="B170" s="31" t="s">
        <v>93</v>
      </c>
      <c r="C170" s="31"/>
      <c r="D170" s="31"/>
      <c r="E170" s="35">
        <v>2019</v>
      </c>
      <c r="F170" s="35">
        <v>2020</v>
      </c>
      <c r="G170" s="35">
        <v>2021</v>
      </c>
      <c r="H170" s="35">
        <v>2022</v>
      </c>
      <c r="I170" s="35">
        <v>2023</v>
      </c>
      <c r="J170" s="35" t="s">
        <v>187</v>
      </c>
      <c r="K170" s="35" t="s">
        <v>188</v>
      </c>
    </row>
    <row r="171" spans="1:14" ht="5.15" customHeight="1" outlineLevel="1" x14ac:dyDescent="0.3"/>
    <row r="172" spans="1:14" outlineLevel="1" x14ac:dyDescent="0.3">
      <c r="B172" s="32" t="s">
        <v>164</v>
      </c>
      <c r="C172" s="32"/>
      <c r="D172" s="32"/>
      <c r="E172" s="32"/>
      <c r="F172" s="32"/>
      <c r="G172" s="32"/>
      <c r="H172" s="32"/>
      <c r="I172" s="32"/>
      <c r="J172" s="32"/>
      <c r="K172" s="32"/>
    </row>
    <row r="173" spans="1:14" ht="5.15" customHeight="1" outlineLevel="1" x14ac:dyDescent="0.3"/>
    <row r="174" spans="1:14" outlineLevel="1" x14ac:dyDescent="0.3">
      <c r="B174" s="34" t="s">
        <v>198</v>
      </c>
    </row>
    <row r="175" spans="1:14" outlineLevel="1" x14ac:dyDescent="0.3">
      <c r="B175" s="37" t="s">
        <v>165</v>
      </c>
      <c r="E175" s="143" cm="1">
        <f t="array" aca="1" ref="E175" ca="1">INDEX($E$8:$N$166,MATCH($B175,$B$8:$B$166,0)+11,MATCH(E$170,$E$4:$N$4,0))</f>
        <v>0.23866543946324231</v>
      </c>
      <c r="F175" s="144" cm="1">
        <f t="array" aca="1" ref="F175" ca="1">INDEX($E$8:$N$166,MATCH($B175,$B$8:$B$166,0)+11,MATCH(F$170,$E$4:$N$4,0))</f>
        <v>0.23445281447922223</v>
      </c>
      <c r="G175" s="144" cm="1">
        <f t="array" aca="1" ref="G175" ca="1">INDEX($E$8:$N$166,MATCH($B175,$B$8:$B$166,0)+11,MATCH(G$170,$E$4:$N$4,0))</f>
        <v>0.2194104521676668</v>
      </c>
      <c r="H175" s="144" cm="1">
        <f t="array" aca="1" ref="H175" ca="1">INDEX($E$8:$N$166,MATCH($B175,$B$8:$B$166,0)+11,MATCH(H$170,$E$4:$N$4,0))</f>
        <v>0.21696382941097647</v>
      </c>
      <c r="I175" s="144" cm="1">
        <f t="array" aca="1" ref="I175" ca="1">INDEX($E$8:$N$166,MATCH($B175,$B$8:$B$166,0)+11,MATCH(I$170,$E$4:$N$4,0))</f>
        <v>0.22269489137549744</v>
      </c>
      <c r="J175" s="144" cm="1">
        <f t="array" aca="1" ref="J175" ca="1">INDEX($E$8:$N$166,MATCH($B175,$B$8:$B$166,0)+11,MATCH(J$170,$E$4:$N$4,0))</f>
        <v>0.23231973305803719</v>
      </c>
      <c r="K175" s="145" cm="1">
        <f t="array" aca="1" ref="K175" ca="1">INDEX($E$8:$N$166,MATCH($B175,$B$8:$B$166,0)+11,MATCH(K$170,$E$4:$N$4,0))</f>
        <v>0.23380635684291448</v>
      </c>
    </row>
    <row r="176" spans="1:14" outlineLevel="1" x14ac:dyDescent="0.3">
      <c r="B176" s="37" t="s">
        <v>121</v>
      </c>
      <c r="E176" s="146" cm="1">
        <f t="array" aca="1" ref="E176" ca="1">INDEX($E$8:$N$166,MATCH($B176,$B$8:$B$166,0)+11,MATCH(E$170,$E$4:$N$4,0))</f>
        <v>0.11158547403091275</v>
      </c>
      <c r="F176" s="147" cm="1">
        <f t="array" aca="1" ref="F176" ca="1">INDEX($E$8:$N$166,MATCH($B176,$B$8:$B$166,0)+11,MATCH(F$170,$E$4:$N$4,0))</f>
        <v>0.11804820809869583</v>
      </c>
      <c r="G176" s="147" cm="1">
        <f t="array" aca="1" ref="G176" ca="1">INDEX($E$8:$N$166,MATCH($B176,$B$8:$B$166,0)+11,MATCH(G$170,$E$4:$N$4,0))</f>
        <v>7.2833125496868781E-2</v>
      </c>
      <c r="H176" s="147" cm="1">
        <f t="array" aca="1" ref="H176" ca="1">INDEX($E$8:$N$166,MATCH($B176,$B$8:$B$166,0)+11,MATCH(H$170,$E$4:$N$4,0))</f>
        <v>7.7435549991543173E-2</v>
      </c>
      <c r="I176" s="147" cm="1">
        <f t="array" aca="1" ref="I176" ca="1">INDEX($E$8:$N$166,MATCH($B176,$B$8:$B$166,0)+11,MATCH(I$170,$E$4:$N$4,0))</f>
        <v>8.7437947990734108E-2</v>
      </c>
      <c r="J176" s="147" cm="1">
        <f t="array" aca="1" ref="J176" ca="1">INDEX($E$8:$N$166,MATCH($B176,$B$8:$B$166,0)+11,MATCH(J$170,$E$4:$N$4,0))</f>
        <v>9.7115410905497482E-2</v>
      </c>
      <c r="K176" s="148" cm="1">
        <f t="array" aca="1" ref="K176" ca="1">INDEX($E$8:$N$166,MATCH($B176,$B$8:$B$166,0)+11,MATCH(K$170,$E$4:$N$4,0))</f>
        <v>0.11370116373024615</v>
      </c>
    </row>
    <row r="177" spans="2:21" outlineLevel="1" x14ac:dyDescent="0.3">
      <c r="B177" s="37" t="s">
        <v>166</v>
      </c>
      <c r="E177" s="146" cm="1">
        <f t="array" aca="1" ref="E177" ca="1">INDEX($E$8:$N$166,MATCH($B177,$B$8:$B$166,0)+11,MATCH(E$170,$E$4:$N$4,0))</f>
        <v>6.8821652831105709E-2</v>
      </c>
      <c r="F177" s="147" cm="1">
        <f t="array" aca="1" ref="F177" ca="1">INDEX($E$8:$N$166,MATCH($B177,$B$8:$B$166,0)+11,MATCH(F$170,$E$4:$N$4,0))</f>
        <v>7.1941682254153719E-2</v>
      </c>
      <c r="G177" s="147" cm="1">
        <f t="array" aca="1" ref="G177" ca="1">INDEX($E$8:$N$166,MATCH($B177,$B$8:$B$166,0)+11,MATCH(G$170,$E$4:$N$4,0))</f>
        <v>3.4432675267427014E-2</v>
      </c>
      <c r="H177" s="147" cm="1">
        <f t="array" aca="1" ref="H177" ca="1">INDEX($E$8:$N$166,MATCH($B177,$B$8:$B$166,0)+11,MATCH(H$170,$E$4:$N$4,0))</f>
        <v>4.2783343597877825E-2</v>
      </c>
      <c r="I177" s="147" cm="1">
        <f t="array" aca="1" ref="I177" ca="1">INDEX($E$8:$N$166,MATCH($B177,$B$8:$B$166,0)+11,MATCH(I$170,$E$4:$N$4,0))</f>
        <v>5.0901316559242508E-2</v>
      </c>
      <c r="J177" s="147" cm="1">
        <f t="array" aca="1" ref="J177" ca="1">INDEX($E$8:$N$166,MATCH($B177,$B$8:$B$166,0)+11,MATCH(J$170,$E$4:$N$4,0))</f>
        <v>5.8723410750149627E-2</v>
      </c>
      <c r="K177" s="148" cm="1">
        <f t="array" aca="1" ref="K177" ca="1">INDEX($E$8:$N$166,MATCH($B177,$B$8:$B$166,0)+11,MATCH(K$170,$E$4:$N$4,0))</f>
        <v>5.4462279278028325E-2</v>
      </c>
    </row>
    <row r="178" spans="2:21" outlineLevel="1" x14ac:dyDescent="0.3">
      <c r="B178" s="37" t="s">
        <v>167</v>
      </c>
      <c r="E178" s="149" cm="1">
        <f t="array" aca="1" ref="E178" ca="1">INDEX($E$8:$N$166,MATCH($B178,$B$8:$B$166,0)+11,MATCH(E$170,$E$4:$N$4,0))</f>
        <v>5.1733386044074361E-2</v>
      </c>
      <c r="F178" s="150" cm="1">
        <f t="array" aca="1" ref="F178" ca="1">INDEX($E$8:$N$166,MATCH($B178,$B$8:$B$166,0)+11,MATCH(F$170,$E$4:$N$4,0))</f>
        <v>5.2573052823095712E-2</v>
      </c>
      <c r="G178" s="150" cm="1">
        <f t="array" aca="1" ref="G178" ca="1">INDEX($E$8:$N$166,MATCH($B178,$B$8:$B$166,0)+11,MATCH(G$170,$E$4:$N$4,0))</f>
        <v>4.5387383739557891E-2</v>
      </c>
      <c r="H178" s="150" cm="1">
        <f t="array" aca="1" ref="H178" ca="1">INDEX($E$8:$N$166,MATCH($B178,$B$8:$B$166,0)+11,MATCH(H$170,$E$4:$N$4,0))</f>
        <v>4.0988882803458415E-2</v>
      </c>
      <c r="I178" s="150" cm="1">
        <f t="array" aca="1" ref="I178" ca="1">INDEX($E$8:$N$166,MATCH($B178,$B$8:$B$166,0)+11,MATCH(I$170,$E$4:$N$4,0))</f>
        <v>3.8977490473109819E-2</v>
      </c>
      <c r="J178" s="150" cm="1">
        <f t="array" aca="1" ref="J178" ca="1">INDEX($E$8:$N$166,MATCH($B178,$B$8:$B$166,0)+11,MATCH(J$170,$E$4:$N$4,0))</f>
        <v>4.5506605677594202E-2</v>
      </c>
      <c r="K178" s="151" cm="1">
        <f t="array" aca="1" ref="K178" ca="1">INDEX($E$8:$N$166,MATCH($B178,$B$8:$B$166,0)+11,MATCH(K$170,$E$4:$N$4,0))</f>
        <v>3.9162330780247369E-2</v>
      </c>
    </row>
    <row r="179" spans="2:21" outlineLevel="1" x14ac:dyDescent="0.3">
      <c r="B179" s="37"/>
      <c r="E179" s="89"/>
      <c r="F179" s="89"/>
      <c r="G179" s="89"/>
      <c r="H179" s="89"/>
      <c r="I179" s="89"/>
      <c r="J179" s="89"/>
      <c r="K179" s="89"/>
    </row>
    <row r="180" spans="2:21" outlineLevel="1" x14ac:dyDescent="0.3">
      <c r="B180" s="34" t="s">
        <v>199</v>
      </c>
    </row>
    <row r="181" spans="2:21" outlineLevel="1" x14ac:dyDescent="0.3">
      <c r="B181" s="37" t="s">
        <v>165</v>
      </c>
      <c r="E181" s="143" cm="1">
        <f t="array" aca="1" ref="E181" ca="1">INDEX($E$8:$N$166,MATCH($B181,$B$8:$B$166,0)+12,MATCH(E$170,$E$4:$N$4,0))</f>
        <v>0.23018210099478836</v>
      </c>
      <c r="F181" s="144" cm="1">
        <f t="array" aca="1" ref="F181" ca="1">INDEX($E$8:$N$166,MATCH($B181,$B$8:$B$166,0)+12,MATCH(F$170,$E$4:$N$4,0))</f>
        <v>0.22627291597269023</v>
      </c>
      <c r="G181" s="144" cm="1">
        <f t="array" aca="1" ref="G181" ca="1">INDEX($E$8:$N$166,MATCH($B181,$B$8:$B$166,0)+12,MATCH(G$170,$E$4:$N$4,0))</f>
        <v>0.20948647687213623</v>
      </c>
      <c r="H181" s="144" cm="1">
        <f t="array" aca="1" ref="H181" ca="1">INDEX($E$8:$N$166,MATCH($B181,$B$8:$B$166,0)+12,MATCH(H$170,$E$4:$N$4,0))</f>
        <v>0.19963167201481241</v>
      </c>
      <c r="I181" s="144" cm="1">
        <f t="array" aca="1" ref="I181" ca="1">INDEX($E$8:$N$166,MATCH($B181,$B$8:$B$166,0)+12,MATCH(I$170,$E$4:$N$4,0))</f>
        <v>0.21773958588380368</v>
      </c>
      <c r="J181" s="144" cm="1">
        <f t="array" aca="1" ref="J181" ca="1">INDEX($E$8:$N$166,MATCH($B181,$B$8:$B$166,0)+12,MATCH(J$170,$E$4:$N$4,0))</f>
        <v>0.2266187050359722</v>
      </c>
      <c r="K181" s="145" cm="1">
        <f t="array" aca="1" ref="K181" ca="1">INDEX($E$8:$N$166,MATCH($B181,$B$8:$B$166,0)+12,MATCH(K$170,$E$4:$N$4,0))</f>
        <v>0.22392472408496431</v>
      </c>
    </row>
    <row r="182" spans="2:21" outlineLevel="1" x14ac:dyDescent="0.3">
      <c r="B182" s="37" t="s">
        <v>121</v>
      </c>
      <c r="E182" s="146" cm="1">
        <f t="array" aca="1" ref="E182" ca="1">INDEX($E$8:$N$166,MATCH($B182,$B$8:$B$166,0)+12,MATCH(E$170,$E$4:$N$4,0))</f>
        <v>9.8754065420237694E-2</v>
      </c>
      <c r="F182" s="147" cm="1">
        <f t="array" aca="1" ref="F182" ca="1">INDEX($E$8:$N$166,MATCH($B182,$B$8:$B$166,0)+12,MATCH(F$170,$E$4:$N$4,0))</f>
        <v>9.7790096011849209E-2</v>
      </c>
      <c r="G182" s="147" cm="1">
        <f t="array" aca="1" ref="G182" ca="1">INDEX($E$8:$N$166,MATCH($B182,$B$8:$B$166,0)+12,MATCH(G$170,$E$4:$N$4,0))</f>
        <v>9.4522888557081755E-2</v>
      </c>
      <c r="H182" s="147" cm="1">
        <f t="array" aca="1" ref="H182" ca="1">INDEX($E$8:$N$166,MATCH($B182,$B$8:$B$166,0)+12,MATCH(H$170,$E$4:$N$4,0))</f>
        <v>7.8450359972881814E-2</v>
      </c>
      <c r="I182" s="147" cm="1">
        <f t="array" aca="1" ref="I182" ca="1">INDEX($E$8:$N$166,MATCH($B182,$B$8:$B$166,0)+12,MATCH(I$170,$E$4:$N$4,0))</f>
        <v>0.10465522900532417</v>
      </c>
      <c r="J182" s="147" cm="1">
        <f t="array" aca="1" ref="J182" ca="1">INDEX($E$8:$N$166,MATCH($B182,$B$8:$B$166,0)+12,MATCH(J$170,$E$4:$N$4,0))</f>
        <v>0.10377846537542555</v>
      </c>
      <c r="K182" s="148" cm="1">
        <f t="array" aca="1" ref="K182" ca="1">INDEX($E$8:$N$166,MATCH($B182,$B$8:$B$166,0)+12,MATCH(K$170,$E$4:$N$4,0))</f>
        <v>0.10559190478043071</v>
      </c>
    </row>
    <row r="183" spans="2:21" outlineLevel="1" x14ac:dyDescent="0.3">
      <c r="B183" s="37" t="s">
        <v>166</v>
      </c>
      <c r="E183" s="146" cm="1">
        <f t="array" aca="1" ref="E183" ca="1">INDEX($E$8:$N$166,MATCH($B183,$B$8:$B$166,0)+12,MATCH(E$170,$E$4:$N$4,0))</f>
        <v>6.3277203893763831E-2</v>
      </c>
      <c r="F183" s="147" cm="1">
        <f t="array" aca="1" ref="F183" ca="1">INDEX($E$8:$N$166,MATCH($B183,$B$8:$B$166,0)+12,MATCH(F$170,$E$4:$N$4,0))</f>
        <v>6.2531478503517729E-2</v>
      </c>
      <c r="G183" s="147" cm="1">
        <f t="array" aca="1" ref="G183" ca="1">INDEX($E$8:$N$166,MATCH($B183,$B$8:$B$166,0)+12,MATCH(G$170,$E$4:$N$4,0))</f>
        <v>6.319272301918244E-2</v>
      </c>
      <c r="H183" s="147" cm="1">
        <f t="array" aca="1" ref="H183" ca="1">INDEX($E$8:$N$166,MATCH($B183,$B$8:$B$166,0)+12,MATCH(H$170,$E$4:$N$4,0))</f>
        <v>4.9977943246064103E-2</v>
      </c>
      <c r="I183" s="147" cm="1">
        <f t="array" aca="1" ref="I183" ca="1">INDEX($E$8:$N$166,MATCH($B183,$B$8:$B$166,0)+12,MATCH(I$170,$E$4:$N$4,0))</f>
        <v>6.2263446744299983E-2</v>
      </c>
      <c r="J183" s="147" cm="1">
        <f t="array" aca="1" ref="J183" ca="1">INDEX($E$8:$N$166,MATCH($B183,$B$8:$B$166,0)+12,MATCH(J$170,$E$4:$N$4,0))</f>
        <v>7.2164708578300596E-2</v>
      </c>
      <c r="K183" s="148" cm="1">
        <f t="array" aca="1" ref="K183" ca="1">INDEX($E$8:$N$166,MATCH($B183,$B$8:$B$166,0)+12,MATCH(K$170,$E$4:$N$4,0))</f>
        <v>4.371837139820435E-2</v>
      </c>
    </row>
    <row r="184" spans="2:21" outlineLevel="1" x14ac:dyDescent="0.3">
      <c r="B184" s="37" t="s">
        <v>167</v>
      </c>
      <c r="E184" s="149" cm="1">
        <f t="array" aca="1" ref="E184" ca="1">INDEX($E$8:$N$166,MATCH($B184,$B$8:$B$166,0)+12,MATCH(E$170,$E$4:$N$4,0))</f>
        <v>4.4572947386052719E-2</v>
      </c>
      <c r="F184" s="150" cm="1">
        <f t="array" aca="1" ref="F184" ca="1">INDEX($E$8:$N$166,MATCH($B184,$B$8:$B$166,0)+12,MATCH(F$170,$E$4:$N$4,0))</f>
        <v>5.2125946021515324E-2</v>
      </c>
      <c r="G184" s="150" cm="1">
        <f t="array" aca="1" ref="G184" ca="1">INDEX($E$8:$N$166,MATCH($B184,$B$8:$B$166,0)+12,MATCH(G$170,$E$4:$N$4,0))</f>
        <v>6.2797079589557561E-2</v>
      </c>
      <c r="H184" s="150" cm="1">
        <f t="array" aca="1" ref="H184" ca="1">INDEX($E$8:$N$166,MATCH($B184,$B$8:$B$166,0)+12,MATCH(H$170,$E$4:$N$4,0))</f>
        <v>5.348646812333617E-2</v>
      </c>
      <c r="I184" s="150" cm="1">
        <f t="array" aca="1" ref="I184" ca="1">INDEX($E$8:$N$166,MATCH($B184,$B$8:$B$166,0)+12,MATCH(I$170,$E$4:$N$4,0))</f>
        <v>4.4577159512311768E-2</v>
      </c>
      <c r="J184" s="150" cm="1">
        <f t="array" aca="1" ref="J184" ca="1">INDEX($E$8:$N$166,MATCH($B184,$B$8:$B$166,0)+12,MATCH(J$170,$E$4:$N$4,0))</f>
        <v>4.5888357669922504E-2</v>
      </c>
      <c r="K184" s="151" cm="1">
        <f t="array" aca="1" ref="K184" ca="1">INDEX($E$8:$N$166,MATCH($B184,$B$8:$B$166,0)+12,MATCH(K$170,$E$4:$N$4,0))</f>
        <v>2.8842713462508475E-2</v>
      </c>
    </row>
    <row r="185" spans="2:21" ht="5.15" customHeight="1" outlineLevel="1" x14ac:dyDescent="0.3"/>
    <row r="186" spans="2:21" outlineLevel="1" x14ac:dyDescent="0.3">
      <c r="B186" s="32" t="s">
        <v>168</v>
      </c>
      <c r="C186" s="32"/>
      <c r="D186" s="32"/>
      <c r="E186" s="32"/>
      <c r="F186" s="32"/>
      <c r="G186" s="32"/>
      <c r="H186" s="32"/>
      <c r="I186" s="32"/>
      <c r="J186" s="32"/>
      <c r="K186" s="32"/>
    </row>
    <row r="187" spans="2:21" ht="5.15" customHeight="1" outlineLevel="1" x14ac:dyDescent="0.3">
      <c r="E187" s="88"/>
      <c r="G187" s="88"/>
      <c r="H187" s="88"/>
      <c r="I187" s="88"/>
      <c r="J187" s="88"/>
      <c r="K187" s="88"/>
    </row>
    <row r="188" spans="2:21" outlineLevel="1" x14ac:dyDescent="0.3">
      <c r="B188" s="34" t="s">
        <v>198</v>
      </c>
      <c r="E188" s="88"/>
      <c r="G188" s="88"/>
      <c r="H188" s="88"/>
      <c r="I188" s="88"/>
      <c r="J188" s="88"/>
      <c r="K188" s="88"/>
      <c r="P188" t="s">
        <v>119</v>
      </c>
      <c r="Q188" t="s">
        <v>202</v>
      </c>
      <c r="R188" t="s">
        <v>203</v>
      </c>
      <c r="S188" t="s">
        <v>199</v>
      </c>
      <c r="T188" t="s">
        <v>204</v>
      </c>
      <c r="U188" t="s">
        <v>205</v>
      </c>
    </row>
    <row r="189" spans="2:21" outlineLevel="1" x14ac:dyDescent="0.3">
      <c r="B189" s="37" t="s">
        <v>169</v>
      </c>
      <c r="E189" s="152" cm="1">
        <f t="array" aca="1" ref="E189" ca="1">INDEX($E$8:$N$166,MATCH($B189,$B$8:$B$166,0)+11,MATCH(E$170,$E$4:$N$4,0))</f>
        <v>1.4251225648794685</v>
      </c>
      <c r="F189" s="153" cm="1">
        <f t="array" aca="1" ref="F189" ca="1">INDEX($E$8:$N$166,MATCH($B189,$B$8:$B$166,0)+11,MATCH(F$170,$E$4:$N$4,0))</f>
        <v>1.6678089651136858</v>
      </c>
      <c r="G189" s="153" cm="1">
        <f t="array" aca="1" ref="G189" ca="1">INDEX($E$8:$N$166,MATCH($B189,$B$8:$B$166,0)+11,MATCH(G$170,$E$4:$N$4,0))</f>
        <v>1.488657441412534</v>
      </c>
      <c r="H189" s="153" cm="1">
        <f t="array" aca="1" ref="H189" ca="1">INDEX($E$8:$N$166,MATCH($B189,$B$8:$B$166,0)+11,MATCH(H$170,$E$4:$N$4,0))</f>
        <v>1.5168792514292742</v>
      </c>
      <c r="I189" s="153" cm="1">
        <f t="array" aca="1" ref="I189" ca="1">INDEX($E$8:$N$166,MATCH($B189,$B$8:$B$166,0)+11,MATCH(I$170,$E$4:$N$4,0))</f>
        <v>1.448173311100639</v>
      </c>
      <c r="J189" s="153" cm="1">
        <f t="array" aca="1" ref="J189" ca="1">INDEX($E$8:$N$166,MATCH($B189,$B$8:$B$166,0)+11,MATCH(J$170,$E$4:$N$4,0))</f>
        <v>1.5605594306684316</v>
      </c>
      <c r="K189" s="154" cm="1">
        <f t="array" aca="1" ref="K189" ca="1">INDEX($E$8:$N$166,MATCH($B189,$B$8:$B$166,0)+11,MATCH(K$170,$E$4:$N$4,0))</f>
        <v>1.5374640628442755</v>
      </c>
      <c r="O189" t="s">
        <v>780</v>
      </c>
      <c r="Q189" s="180">
        <f ca="1">E230</f>
        <v>4.8552268244575709E-2</v>
      </c>
      <c r="R189" s="180">
        <f ca="1">F230</f>
        <v>1.2676070509656971</v>
      </c>
      <c r="S189" s="180">
        <f ca="1">G230-F230</f>
        <v>0.16198760182570959</v>
      </c>
      <c r="T189" s="180">
        <f ca="1">H230-G230</f>
        <v>0.29961964270358754</v>
      </c>
      <c r="U189" s="180">
        <f ca="1">I230-H230</f>
        <v>0.86588373903572502</v>
      </c>
    </row>
    <row r="190" spans="2:21" outlineLevel="1" x14ac:dyDescent="0.3">
      <c r="B190" s="37" t="s">
        <v>170</v>
      </c>
      <c r="E190" s="155" cm="1">
        <f t="array" aca="1" ref="E190" ca="1">INDEX($E$8:$N$166,MATCH($B190,$B$8:$B$166,0)+11,MATCH(E$170,$E$4:$N$4,0))</f>
        <v>1.0108864636833799</v>
      </c>
      <c r="F190" s="156" cm="1">
        <f t="array" aca="1" ref="F190" ca="1">INDEX($E$8:$N$166,MATCH($B190,$B$8:$B$166,0)+11,MATCH(F$170,$E$4:$N$4,0))</f>
        <v>1.2071771131832467</v>
      </c>
      <c r="G190" s="156" cm="1">
        <f t="array" aca="1" ref="G190" ca="1">INDEX($E$8:$N$166,MATCH($B190,$B$8:$B$166,0)+11,MATCH(G$170,$E$4:$N$4,0))</f>
        <v>1.0383213519306858</v>
      </c>
      <c r="H190" s="156" cm="1">
        <f t="array" aca="1" ref="H190" ca="1">INDEX($E$8:$N$166,MATCH($B190,$B$8:$B$166,0)+11,MATCH(H$170,$E$4:$N$4,0))</f>
        <v>1.0662687864308869</v>
      </c>
      <c r="I190" s="156" cm="1">
        <f t="array" aca="1" ref="I190" ca="1">INDEX($E$8:$N$166,MATCH($B190,$B$8:$B$166,0)+11,MATCH(I$170,$E$4:$N$4,0))</f>
        <v>0.97520555448278867</v>
      </c>
      <c r="J190" s="156" cm="1">
        <f t="array" aca="1" ref="J190" ca="1">INDEX($E$8:$N$166,MATCH($B190,$B$8:$B$166,0)+11,MATCH(J$170,$E$4:$N$4,0))</f>
        <v>1.0896085196131471</v>
      </c>
      <c r="K190" s="157" cm="1">
        <f t="array" aca="1" ref="K190" ca="1">INDEX($E$8:$N$166,MATCH($B190,$B$8:$B$166,0)+11,MATCH(K$170,$E$4:$N$4,0))</f>
        <v>1.0556909917136039</v>
      </c>
      <c r="O190" t="s">
        <v>777</v>
      </c>
      <c r="P190" s="180">
        <f>K230</f>
        <v>0.91605509838838761</v>
      </c>
    </row>
    <row r="191" spans="2:21" outlineLevel="1" x14ac:dyDescent="0.3">
      <c r="B191" s="37" t="s">
        <v>171</v>
      </c>
      <c r="E191" s="158" cm="1">
        <f t="array" aca="1" ref="E191" ca="1">INDEX($E$8:$N$166,MATCH($B191,$B$8:$B$166,0)+11,MATCH(E$170,$E$4:$N$4,0))</f>
        <v>0.26604797965705784</v>
      </c>
      <c r="F191" s="159" cm="1">
        <f t="array" aca="1" ref="F191" ca="1">INDEX($E$8:$N$166,MATCH($B191,$B$8:$B$166,0)+11,MATCH(F$170,$E$4:$N$4,0))</f>
        <v>0.43311467345588311</v>
      </c>
      <c r="G191" s="159" cm="1">
        <f t="array" aca="1" ref="G191" ca="1">INDEX($E$8:$N$166,MATCH($B191,$B$8:$B$166,0)+11,MATCH(G$170,$E$4:$N$4,0))</f>
        <v>0.40194322712966196</v>
      </c>
      <c r="H191" s="159" cm="1">
        <f t="array" aca="1" ref="H191" ca="1">INDEX($E$8:$N$166,MATCH($B191,$B$8:$B$166,0)+11,MATCH(H$170,$E$4:$N$4,0))</f>
        <v>0.37352905488600502</v>
      </c>
      <c r="I191" s="159" cm="1">
        <f t="array" aca="1" ref="I191" ca="1">INDEX($E$8:$N$166,MATCH($B191,$B$8:$B$166,0)+11,MATCH(I$170,$E$4:$N$4,0))</f>
        <v>0.35633566975075753</v>
      </c>
      <c r="J191" s="159" cm="1">
        <f t="array" aca="1" ref="J191" ca="1">INDEX($E$8:$N$166,MATCH($B191,$B$8:$B$166,0)+11,MATCH(J$170,$E$4:$N$4,0))</f>
        <v>0.3987536733001466</v>
      </c>
      <c r="K191" s="160" cm="1">
        <f t="array" aca="1" ref="K191" ca="1">INDEX($E$8:$N$166,MATCH($B191,$B$8:$B$166,0)+11,MATCH(K$170,$E$4:$N$4,0))</f>
        <v>0.36627764663393614</v>
      </c>
      <c r="O191" t="s">
        <v>781</v>
      </c>
      <c r="Q191" s="180">
        <f ca="1">E231</f>
        <v>4.8552268244575709E-2</v>
      </c>
      <c r="R191" s="180">
        <f ca="1">F231</f>
        <v>0.77949021604391544</v>
      </c>
      <c r="S191" s="180">
        <f ca="1">G231-F231</f>
        <v>0.18808124696456596</v>
      </c>
      <c r="T191" s="180">
        <f ca="1">H231-G231</f>
        <v>0.25972825600923721</v>
      </c>
      <c r="U191" s="180">
        <f ca="1">I231-H231</f>
        <v>1.0872518261670567</v>
      </c>
    </row>
    <row r="192" spans="2:21" outlineLevel="1" x14ac:dyDescent="0.3">
      <c r="B192" s="37"/>
      <c r="E192" s="88"/>
      <c r="F192" s="88"/>
      <c r="G192" s="88"/>
      <c r="H192" s="88"/>
      <c r="I192" s="88"/>
      <c r="J192" s="88"/>
      <c r="K192" s="88"/>
      <c r="O192" t="s">
        <v>778</v>
      </c>
      <c r="P192" s="180">
        <f>K231</f>
        <v>0.61112892833221744</v>
      </c>
    </row>
    <row r="193" spans="2:21" outlineLevel="1" x14ac:dyDescent="0.3">
      <c r="B193" s="34" t="s">
        <v>199</v>
      </c>
      <c r="E193" s="88"/>
      <c r="F193" s="88"/>
      <c r="G193" s="88"/>
      <c r="H193" s="88"/>
      <c r="I193" s="88"/>
      <c r="J193" s="88"/>
      <c r="K193" s="88"/>
      <c r="O193" t="s">
        <v>782</v>
      </c>
      <c r="Q193" s="180">
        <f ca="1">E232</f>
        <v>0</v>
      </c>
      <c r="R193" s="180">
        <f ca="1">F232</f>
        <v>9.4510109010470217E-2</v>
      </c>
      <c r="S193" s="180">
        <f ca="1">G232-F232</f>
        <v>0.2683451797499754</v>
      </c>
      <c r="T193" s="180">
        <f ca="1">H232-G232</f>
        <v>0.18456576851677747</v>
      </c>
      <c r="U193" s="180">
        <f ca="1">I232-H232</f>
        <v>0.54087931115867005</v>
      </c>
    </row>
    <row r="194" spans="2:21" outlineLevel="1" x14ac:dyDescent="0.3">
      <c r="B194" s="37" t="s">
        <v>169</v>
      </c>
      <c r="E194" s="152" cm="1">
        <f t="array" aca="1" ref="E194" ca="1">INDEX($E$8:$N$166,MATCH($B194,$B$8:$B$166,0)+12,MATCH(E$170,$E$4:$N$4,0))</f>
        <v>1.4146878824969413</v>
      </c>
      <c r="F194" s="153" cm="1">
        <f t="array" aca="1" ref="F194" ca="1">INDEX($E$8:$N$166,MATCH($B194,$B$8:$B$166,0)+12,MATCH(F$170,$E$4:$N$4,0))</f>
        <v>1.5053799679911748</v>
      </c>
      <c r="G194" s="153" cm="1">
        <f t="array" aca="1" ref="G194" ca="1">INDEX($E$8:$N$166,MATCH($B194,$B$8:$B$166,0)+12,MATCH(G$170,$E$4:$N$4,0))</f>
        <v>1.3147357003718787</v>
      </c>
      <c r="H194" s="153" cm="1">
        <f t="array" aca="1" ref="H194" ca="1">INDEX($E$8:$N$166,MATCH($B194,$B$8:$B$166,0)+12,MATCH(H$170,$E$4:$N$4,0))</f>
        <v>1.4688519017970523</v>
      </c>
      <c r="I194" s="153" cm="1">
        <f t="array" aca="1" ref="I194" ca="1">INDEX($E$8:$N$166,MATCH($B194,$B$8:$B$166,0)+12,MATCH(I$170,$E$4:$N$4,0))</f>
        <v>1.3473871206999275</v>
      </c>
      <c r="J194" s="153" cm="1">
        <f t="array" aca="1" ref="J194" ca="1">INDEX($E$8:$N$166,MATCH($B194,$B$8:$B$166,0)+12,MATCH(J$170,$E$4:$N$4,0))</f>
        <v>1.4295946527914067</v>
      </c>
      <c r="K194" s="154" cm="1">
        <f t="array" aca="1" ref="K194" ca="1">INDEX($E$8:$N$166,MATCH($B194,$B$8:$B$166,0)+12,MATCH(K$170,$E$4:$N$4,0))</f>
        <v>1.4325139358494015</v>
      </c>
      <c r="O194" t="s">
        <v>779</v>
      </c>
      <c r="P194" s="180">
        <f>K232</f>
        <v>8.9785834762000305E-2</v>
      </c>
    </row>
    <row r="195" spans="2:21" outlineLevel="1" x14ac:dyDescent="0.3">
      <c r="B195" s="37" t="s">
        <v>170</v>
      </c>
      <c r="E195" s="155" cm="1">
        <f t="array" aca="1" ref="E195" ca="1">INDEX($E$8:$N$166,MATCH($B195,$B$8:$B$166,0)+12,MATCH(E$170,$E$4:$N$4,0))</f>
        <v>0.90860211856090101</v>
      </c>
      <c r="F195" s="156" cm="1">
        <f t="array" aca="1" ref="F195" ca="1">INDEX($E$8:$N$166,MATCH($B195,$B$8:$B$166,0)+12,MATCH(F$170,$E$4:$N$4,0))</f>
        <v>1.2035901265963269</v>
      </c>
      <c r="G195" s="156" cm="1">
        <f t="array" aca="1" ref="G195" ca="1">INDEX($E$8:$N$166,MATCH($B195,$B$8:$B$166,0)+12,MATCH(G$170,$E$4:$N$4,0))</f>
        <v>0.97069267641881218</v>
      </c>
      <c r="H195" s="156" cm="1">
        <f t="array" aca="1" ref="H195" ca="1">INDEX($E$8:$N$166,MATCH($B195,$B$8:$B$166,0)+12,MATCH(H$170,$E$4:$N$4,0))</f>
        <v>0.9675714630084814</v>
      </c>
      <c r="I195" s="156" cm="1">
        <f t="array" aca="1" ref="I195" ca="1">INDEX($E$8:$N$166,MATCH($B195,$B$8:$B$166,0)+12,MATCH(I$170,$E$4:$N$4,0))</f>
        <v>0.90609852256441914</v>
      </c>
      <c r="J195" s="156" cm="1">
        <f t="array" aca="1" ref="J195" ca="1">INDEX($E$8:$N$166,MATCH($B195,$B$8:$B$166,0)+12,MATCH(J$170,$E$4:$N$4,0))</f>
        <v>0.98611270926776884</v>
      </c>
      <c r="K195" s="157" cm="1">
        <f t="array" aca="1" ref="K195" ca="1">INDEX($E$8:$N$166,MATCH($B195,$B$8:$B$166,0)+12,MATCH(K$170,$E$4:$N$4,0))</f>
        <v>0.95016817075309379</v>
      </c>
    </row>
    <row r="196" spans="2:21" outlineLevel="1" x14ac:dyDescent="0.3">
      <c r="B196" s="37" t="s">
        <v>171</v>
      </c>
      <c r="E196" s="158" cm="1">
        <f t="array" aca="1" ref="E196" ca="1">INDEX($E$8:$N$166,MATCH($B196,$B$8:$B$166,0)+12,MATCH(E$170,$E$4:$N$4,0))</f>
        <v>0.15113164968768886</v>
      </c>
      <c r="F196" s="159" cm="1">
        <f t="array" aca="1" ref="F196" ca="1">INDEX($E$8:$N$166,MATCH($B196,$B$8:$B$166,0)+12,MATCH(F$170,$E$4:$N$4,0))</f>
        <v>0.43280612114139599</v>
      </c>
      <c r="G196" s="159" cm="1">
        <f t="array" aca="1" ref="G196" ca="1">INDEX($E$8:$N$166,MATCH($B196,$B$8:$B$166,0)+12,MATCH(G$170,$E$4:$N$4,0))</f>
        <v>0.40118490323889472</v>
      </c>
      <c r="H196" s="159" cm="1">
        <f t="array" aca="1" ref="H196" ca="1">INDEX($E$8:$N$166,MATCH($B196,$B$8:$B$166,0)+12,MATCH(H$170,$E$4:$N$4,0))</f>
        <v>0.41058537537109918</v>
      </c>
      <c r="I196" s="159" cm="1">
        <f t="array" aca="1" ref="I196" ca="1">INDEX($E$8:$N$166,MATCH($B196,$B$8:$B$166,0)+12,MATCH(I$170,$E$4:$N$4,0))</f>
        <v>0.3512286166837657</v>
      </c>
      <c r="J196" s="159" cm="1">
        <f t="array" aca="1" ref="J196" ca="1">INDEX($E$8:$N$166,MATCH($B196,$B$8:$B$166,0)+12,MATCH(J$170,$E$4:$N$4,0))</f>
        <v>0.32712726129496428</v>
      </c>
      <c r="K196" s="160" cm="1">
        <f t="array" aca="1" ref="K196" ca="1">INDEX($E$8:$N$166,MATCH($B196,$B$8:$B$166,0)+12,MATCH(K$170,$E$4:$N$4,0))</f>
        <v>0.27366342598931798</v>
      </c>
    </row>
    <row r="197" spans="2:21" ht="5.15" customHeight="1" outlineLevel="1" x14ac:dyDescent="0.3">
      <c r="B197" s="37"/>
      <c r="E197" s="88"/>
      <c r="F197" s="88"/>
      <c r="G197" s="88"/>
      <c r="H197" s="88"/>
      <c r="I197" s="88"/>
      <c r="J197" s="88"/>
      <c r="K197" s="88"/>
    </row>
    <row r="198" spans="2:21" outlineLevel="1" x14ac:dyDescent="0.3">
      <c r="B198" s="32" t="s">
        <v>172</v>
      </c>
      <c r="C198" s="32"/>
      <c r="D198" s="32"/>
      <c r="E198" s="32"/>
      <c r="F198" s="32"/>
      <c r="G198" s="32"/>
      <c r="H198" s="32"/>
      <c r="I198" s="32"/>
      <c r="J198" s="32"/>
      <c r="K198" s="32"/>
    </row>
    <row r="199" spans="2:21" ht="5.15" customHeight="1" outlineLevel="1" x14ac:dyDescent="0.3">
      <c r="E199" s="91"/>
      <c r="F199" s="91"/>
      <c r="G199" s="91"/>
      <c r="H199" s="91"/>
      <c r="I199" s="91"/>
      <c r="J199" s="91"/>
      <c r="K199" s="91"/>
    </row>
    <row r="200" spans="2:21" outlineLevel="1" x14ac:dyDescent="0.3">
      <c r="B200" s="34" t="s">
        <v>198</v>
      </c>
      <c r="E200" s="90"/>
      <c r="F200" s="90"/>
      <c r="G200" s="90"/>
      <c r="H200" s="37"/>
      <c r="I200" s="90"/>
      <c r="J200" s="90"/>
      <c r="K200" s="90"/>
      <c r="P200" t="s">
        <v>119</v>
      </c>
      <c r="Q200" t="s">
        <v>202</v>
      </c>
      <c r="R200" t="s">
        <v>203</v>
      </c>
      <c r="S200" t="s">
        <v>199</v>
      </c>
      <c r="T200" t="s">
        <v>204</v>
      </c>
      <c r="U200" t="s">
        <v>205</v>
      </c>
    </row>
    <row r="201" spans="2:21" outlineLevel="1" x14ac:dyDescent="0.3">
      <c r="B201" s="37" t="s">
        <v>173</v>
      </c>
      <c r="E201" s="152" cm="1">
        <f t="array" aca="1" ref="E201" ca="1">INDEX($E$8:$N$166,MATCH($B201,$B$8:$B$166,0)+11,MATCH(E$170,$E$4:$N$4,0))</f>
        <v>1.1422437127124716</v>
      </c>
      <c r="F201" s="153" cm="1">
        <f t="array" aca="1" ref="F201" ca="1">INDEX($E$8:$N$166,MATCH($B201,$B$8:$B$166,0)+11,MATCH(F$170,$E$4:$N$4,0))</f>
        <v>0.91228857062520885</v>
      </c>
      <c r="G201" s="153" cm="1">
        <f t="array" aca="1" ref="G201" ca="1">INDEX($E$8:$N$166,MATCH($B201,$B$8:$B$166,0)+11,MATCH(G$170,$E$4:$N$4,0))</f>
        <v>0.86987944273430662</v>
      </c>
      <c r="H201" s="153" cm="1">
        <f t="array" aca="1" ref="H201" ca="1">INDEX($E$8:$N$166,MATCH($B201,$B$8:$B$166,0)+11,MATCH(H$170,$E$4:$N$4,0))</f>
        <v>19.447363823384038</v>
      </c>
      <c r="I201" s="153" cm="1">
        <f t="array" aca="1" ref="I201" ca="1">INDEX($E$8:$N$166,MATCH($B201,$B$8:$B$166,0)+11,MATCH(I$170,$E$4:$N$4,0))</f>
        <v>0.81687935731906325</v>
      </c>
      <c r="J201" s="153" cm="1">
        <f t="array" aca="1" ref="J201" ca="1">INDEX($E$8:$N$166,MATCH($B201,$B$8:$B$166,0)+11,MATCH(J$170,$E$4:$N$4,0))</f>
        <v>0.73989578102045195</v>
      </c>
      <c r="K201" s="154" cm="1">
        <f t="array" aca="1" ref="K201" ca="1">INDEX($E$8:$N$166,MATCH($B201,$B$8:$B$166,0)+11,MATCH(K$170,$E$4:$N$4,0))</f>
        <v>0.81329778794617957</v>
      </c>
      <c r="Q201" s="180"/>
      <c r="R201" s="180"/>
      <c r="S201" s="180"/>
      <c r="T201" s="180"/>
      <c r="U201" s="180"/>
    </row>
    <row r="202" spans="2:21" outlineLevel="1" x14ac:dyDescent="0.3">
      <c r="B202" s="37" t="s">
        <v>174</v>
      </c>
      <c r="E202" s="161" cm="1">
        <f t="array" aca="1" ref="E202" ca="1">INDEX($E$8:$N$166,MATCH($B202,$B$8:$B$166,0)+11,MATCH(E$170,$E$4:$N$4,0))</f>
        <v>1692.8760364298951</v>
      </c>
      <c r="F202" s="162" cm="1">
        <f t="array" aca="1" ref="F202" ca="1">INDEX($E$8:$N$166,MATCH($B202,$B$8:$B$166,0)+11,MATCH(F$170,$E$4:$N$4,0))</f>
        <v>1775.5167226817289</v>
      </c>
      <c r="G202" s="162" cm="1">
        <f t="array" aca="1" ref="G202" ca="1">INDEX($E$8:$N$166,MATCH($B202,$B$8:$B$166,0)+11,MATCH(G$170,$E$4:$N$4,0))</f>
        <v>1729.4114825025244</v>
      </c>
      <c r="H202" s="217" cm="1">
        <f t="array" aca="1" ref="H202" ca="1">INDEX($E$8:$N$166,MATCH($B202,$B$8:$B$166,0)+11,MATCH(H$170,$E$4:$N$4,0))</f>
        <v>2149.0349965776813</v>
      </c>
      <c r="I202" s="162" cm="1">
        <f t="array" aca="1" ref="I202" ca="1">INDEX($E$8:$N$166,MATCH($B202,$B$8:$B$166,0)+11,MATCH(I$170,$E$4:$N$4,0))</f>
        <v>2616.8416884078533</v>
      </c>
      <c r="J202" s="162" cm="1">
        <f t="array" aca="1" ref="J202" ca="1">INDEX($E$8:$N$166,MATCH($B202,$B$8:$B$166,0)+11,MATCH(J$170,$E$4:$N$4,0))</f>
        <v>3295.603274039906</v>
      </c>
      <c r="K202" s="163" cm="1">
        <f t="array" aca="1" ref="K202" ca="1">INDEX($E$8:$N$166,MATCH($B202,$B$8:$B$166,0)+11,MATCH(K$170,$E$4:$N$4,0))</f>
        <v>3201.757530843056</v>
      </c>
      <c r="P202" s="180"/>
    </row>
    <row r="203" spans="2:21" outlineLevel="1" x14ac:dyDescent="0.3">
      <c r="B203" s="37" t="s">
        <v>175</v>
      </c>
      <c r="E203" s="158" cm="1">
        <f t="array" aca="1" ref="E203" ca="1">INDEX($E$8:$N$166,MATCH($B203,$B$8:$B$166,0)+11,MATCH(E$170,$E$4:$N$4,0))</f>
        <v>1.1862264547415138</v>
      </c>
      <c r="F203" s="159" cm="1">
        <f t="array" aca="1" ref="F203" ca="1">INDEX($E$8:$N$166,MATCH($B203,$B$8:$B$166,0)+11,MATCH(F$170,$E$4:$N$4,0))</f>
        <v>0.93121813586904612</v>
      </c>
      <c r="G203" s="159" cm="1">
        <f t="array" aca="1" ref="G203" ca="1">INDEX($E$8:$N$166,MATCH($B203,$B$8:$B$166,0)+11,MATCH(G$170,$E$4:$N$4,0))</f>
        <v>-1.0716045104374161</v>
      </c>
      <c r="H203" s="159" cm="1">
        <f t="array" aca="1" ref="H203" ca="1">INDEX($E$8:$N$166,MATCH($B203,$B$8:$B$166,0)+11,MATCH(H$170,$E$4:$N$4,0))</f>
        <v>1.2253223196223917</v>
      </c>
      <c r="I203" s="159" cm="1">
        <f t="array" aca="1" ref="I203" ca="1">INDEX($E$8:$N$166,MATCH($B203,$B$8:$B$166,0)+11,MATCH(I$170,$E$4:$N$4,0))</f>
        <v>3.4876647472839952</v>
      </c>
      <c r="J203" s="159" cm="1">
        <f t="array" aca="1" ref="J203" ca="1">INDEX($E$8:$N$166,MATCH($B203,$B$8:$B$166,0)+11,MATCH(J$170,$E$4:$N$4,0))</f>
        <v>4.8365656983268668</v>
      </c>
      <c r="K203" s="160" cm="1">
        <f t="array" aca="1" ref="K203" ca="1">INDEX($E$8:$N$166,MATCH($B203,$B$8:$B$166,0)+11,MATCH(K$170,$E$4:$N$4,0))</f>
        <v>23.446642538723964</v>
      </c>
      <c r="Q203" s="180"/>
      <c r="R203" s="180"/>
      <c r="S203" s="180"/>
      <c r="T203" s="180"/>
      <c r="U203" s="180"/>
    </row>
    <row r="204" spans="2:21" outlineLevel="1" x14ac:dyDescent="0.3">
      <c r="B204" s="37"/>
      <c r="E204" s="90"/>
      <c r="F204" s="90"/>
      <c r="G204" s="90"/>
      <c r="H204" s="90"/>
      <c r="I204" s="90"/>
      <c r="J204" s="90"/>
      <c r="K204" s="90"/>
      <c r="P204" s="180"/>
    </row>
    <row r="205" spans="2:21" outlineLevel="1" x14ac:dyDescent="0.3">
      <c r="B205" s="34" t="s">
        <v>199</v>
      </c>
      <c r="E205" s="90"/>
      <c r="F205" s="90"/>
      <c r="G205" s="90"/>
      <c r="H205" s="90"/>
      <c r="I205" s="90"/>
      <c r="J205" s="90"/>
      <c r="K205" s="90"/>
    </row>
    <row r="206" spans="2:21" outlineLevel="1" x14ac:dyDescent="0.3">
      <c r="B206" s="37" t="s">
        <v>173</v>
      </c>
      <c r="E206" s="152" cm="1">
        <f t="array" aca="1" ref="E206" ca="1">INDEX($E$8:$N$166,MATCH($B206,$B$8:$B$166,0)+12,MATCH(E$170,$E$4:$N$4,0))</f>
        <v>0.67481168473268371</v>
      </c>
      <c r="F206" s="153" cm="1">
        <f t="array" aca="1" ref="F206" ca="1">INDEX($E$8:$N$166,MATCH($B206,$B$8:$B$166,0)+12,MATCH(F$170,$E$4:$N$4,0))</f>
        <v>0.5500096431621555</v>
      </c>
      <c r="G206" s="153" cm="1">
        <f t="array" aca="1" ref="G206" ca="1">INDEX($E$8:$N$166,MATCH($B206,$B$8:$B$166,0)+12,MATCH(G$170,$E$4:$N$4,0))</f>
        <v>0.38774289406704415</v>
      </c>
      <c r="H206" s="153" cm="1">
        <f t="array" aca="1" ref="H206" ca="1">INDEX($E$8:$N$166,MATCH($B206,$B$8:$B$166,0)+12,MATCH(H$170,$E$4:$N$4,0))</f>
        <v>0.47950834624132244</v>
      </c>
      <c r="I206" s="153" cm="1">
        <f t="array" aca="1" ref="I206" ca="1">INDEX($E$8:$N$166,MATCH($B206,$B$8:$B$166,0)+12,MATCH(I$170,$E$4:$N$4,0))</f>
        <v>0.4732440861551569</v>
      </c>
      <c r="J206" s="153" cm="1">
        <f t="array" aca="1" ref="J206" ca="1">INDEX($E$8:$N$166,MATCH($B206,$B$8:$B$166,0)+12,MATCH(J$170,$E$4:$N$4,0))</f>
        <v>0.45799522159323275</v>
      </c>
      <c r="K206" s="154" cm="1">
        <f t="array" aca="1" ref="K206" ca="1">INDEX($E$8:$N$166,MATCH($B206,$B$8:$B$166,0)+12,MATCH(K$170,$E$4:$N$4,0))</f>
        <v>0.41794742125965312</v>
      </c>
    </row>
    <row r="207" spans="2:21" outlineLevel="1" x14ac:dyDescent="0.3">
      <c r="B207" s="37" t="s">
        <v>174</v>
      </c>
      <c r="E207" s="161" cm="1">
        <f t="array" aca="1" ref="E207" ca="1">INDEX($E$8:$N$166,MATCH($B207,$B$8:$B$166,0)+12,MATCH(E$170,$E$4:$N$4,0))</f>
        <v>209.48499999999999</v>
      </c>
      <c r="F207" s="162" cm="1">
        <f t="array" aca="1" ref="F207" ca="1">INDEX($E$8:$N$166,MATCH($B207,$B$8:$B$166,0)+12,MATCH(F$170,$E$4:$N$4,0))</f>
        <v>115.47566951739802</v>
      </c>
      <c r="G207" s="162" cm="1">
        <f t="array" aca="1" ref="G207" ca="1">INDEX($E$8:$N$166,MATCH($B207,$B$8:$B$166,0)+12,MATCH(G$170,$E$4:$N$4,0))</f>
        <v>3.0230000000000246</v>
      </c>
      <c r="H207" s="217" cm="1">
        <f t="array" aca="1" ref="H207" ca="1">INDEX($E$8:$N$166,MATCH($B207,$B$8:$B$166,0)+12,MATCH(H$170,$E$4:$N$4,0))</f>
        <v>234.411</v>
      </c>
      <c r="I207" s="162" cm="1">
        <f t="array" aca="1" ref="I207" ca="1">INDEX($E$8:$N$166,MATCH($B207,$B$8:$B$166,0)+12,MATCH(I$170,$E$4:$N$4,0))</f>
        <v>429.5828735136987</v>
      </c>
      <c r="J207" s="162" cm="1">
        <f t="array" aca="1" ref="J207" ca="1">INDEX($E$8:$N$166,MATCH($B207,$B$8:$B$166,0)+12,MATCH(J$170,$E$4:$N$4,0))</f>
        <v>398.49700000000001</v>
      </c>
      <c r="K207" s="163" cm="1">
        <f t="array" aca="1" ref="K207" ca="1">INDEX($E$8:$N$166,MATCH($B207,$B$8:$B$166,0)+12,MATCH(K$170,$E$4:$N$4,0))</f>
        <v>337.19100000000003</v>
      </c>
    </row>
    <row r="208" spans="2:21" outlineLevel="1" x14ac:dyDescent="0.3">
      <c r="B208" s="37" t="s">
        <v>175</v>
      </c>
      <c r="E208" s="158" cm="1">
        <f t="array" aca="1" ref="E208" ca="1">INDEX($E$8:$N$166,MATCH($B208,$B$8:$B$166,0)+12,MATCH(E$170,$E$4:$N$4,0))</f>
        <v>0.74542816373772702</v>
      </c>
      <c r="F208" s="159" cm="1">
        <f t="array" aca="1" ref="F208" ca="1">INDEX($E$8:$N$166,MATCH($B208,$B$8:$B$166,0)+12,MATCH(F$170,$E$4:$N$4,0))</f>
        <v>0.71749284056759943</v>
      </c>
      <c r="G208" s="159" cm="1">
        <f t="array" aca="1" ref="G208" ca="1">INDEX($E$8:$N$166,MATCH($B208,$B$8:$B$166,0)+12,MATCH(G$170,$E$4:$N$4,0))</f>
        <v>1.7060685926486248E-2</v>
      </c>
      <c r="H208" s="159" cm="1">
        <f t="array" aca="1" ref="H208" ca="1">INDEX($E$8:$N$166,MATCH($B208,$B$8:$B$166,0)+12,MATCH(H$170,$E$4:$N$4,0))</f>
        <v>1.6748667457380071</v>
      </c>
      <c r="I208" s="159" cm="1">
        <f t="array" aca="1" ref="I208" ca="1">INDEX($E$8:$N$166,MATCH($B208,$B$8:$B$166,0)+12,MATCH(I$170,$E$4:$N$4,0))</f>
        <v>1.8535584519172783</v>
      </c>
      <c r="J208" s="159" cm="1">
        <f t="array" aca="1" ref="J208" ca="1">INDEX($E$8:$N$166,MATCH($B208,$B$8:$B$166,0)+12,MATCH(J$170,$E$4:$N$4,0))</f>
        <v>2.4142637447928621</v>
      </c>
      <c r="K208" s="160" cm="1">
        <f t="array" aca="1" ref="K208" ca="1">INDEX($E$8:$N$166,MATCH($B208,$B$8:$B$166,0)+12,MATCH(K$170,$E$4:$N$4,0))</f>
        <v>2.0810733975900493</v>
      </c>
    </row>
    <row r="209" spans="1:16" ht="5.15" customHeight="1" outlineLevel="1" x14ac:dyDescent="0.3">
      <c r="B209" s="37"/>
      <c r="E209" s="91"/>
      <c r="F209" s="91"/>
      <c r="G209" s="91"/>
      <c r="H209" s="91"/>
      <c r="I209" s="91"/>
      <c r="J209" s="91"/>
      <c r="K209" s="91"/>
    </row>
    <row r="210" spans="1:16" outlineLevel="1" x14ac:dyDescent="0.3">
      <c r="B210" s="32" t="s">
        <v>178</v>
      </c>
      <c r="C210" s="32"/>
      <c r="D210" s="32"/>
      <c r="E210" s="32"/>
      <c r="F210" s="32"/>
      <c r="G210" s="32"/>
      <c r="H210" s="32"/>
      <c r="I210" s="32"/>
      <c r="J210" s="32"/>
      <c r="K210" s="32"/>
    </row>
    <row r="211" spans="1:16" ht="5.15" customHeight="1" outlineLevel="1" x14ac:dyDescent="0.3"/>
    <row r="212" spans="1:16" outlineLevel="1" x14ac:dyDescent="0.3">
      <c r="B212" s="34" t="s">
        <v>198</v>
      </c>
    </row>
    <row r="213" spans="1:16" ht="12.75" customHeight="1" outlineLevel="1" x14ac:dyDescent="0.3">
      <c r="B213" s="37" t="s">
        <v>179</v>
      </c>
      <c r="E213" s="214" cm="1">
        <f t="array" aca="1" ref="E213" ca="1">INDEX($E$8:$N$166,MATCH($B213,$B$8:$B$166,0)+11,MATCH(E$170,$E$4:$N$4,0))</f>
        <v>16.380996866962214</v>
      </c>
      <c r="F213" s="215" cm="1">
        <f t="array" aca="1" ref="F213" ca="1">INDEX($E$8:$N$166,MATCH($B213,$B$8:$B$166,0)+11,MATCH(F$170,$E$4:$N$4,0))</f>
        <v>19.439772809506337</v>
      </c>
      <c r="G213" s="215" cm="1">
        <f t="array" aca="1" ref="G213" ca="1">INDEX($E$8:$N$166,MATCH($B213,$B$8:$B$166,0)+11,MATCH(G$170,$E$4:$N$4,0))</f>
        <v>30.85587138260566</v>
      </c>
      <c r="H213" s="215" cm="1">
        <f t="array" aca="1" ref="H213" ca="1">INDEX($E$8:$N$166,MATCH($B213,$B$8:$B$166,0)+11,MATCH(H$170,$E$4:$N$4,0))</f>
        <v>34.408109811180019</v>
      </c>
      <c r="I213" s="215" cm="1">
        <f t="array" aca="1" ref="I213" ca="1">INDEX($E$8:$N$166,MATCH($B213,$B$8:$B$166,0)+11,MATCH(I$170,$E$4:$N$4,0))</f>
        <v>4.7811304228300466</v>
      </c>
      <c r="J213" s="215" cm="1">
        <f t="array" aca="1" ref="J213" ca="1">INDEX($E$8:$N$166,MATCH($B213,$B$8:$B$166,0)+11,MATCH(J$170,$E$4:$N$4,0))</f>
        <v>62.340681117216121</v>
      </c>
      <c r="K213" s="216" cm="1">
        <f t="array" aca="1" ref="K213" ca="1">INDEX($E$8:$N$166,MATCH($B213,$B$8:$B$166,0)+11,MATCH(K$170,$E$4:$N$4,0))</f>
        <v>1.7995754081361997</v>
      </c>
    </row>
    <row r="214" spans="1:16" ht="12.75" customHeight="1" x14ac:dyDescent="0.3">
      <c r="B214" s="37"/>
    </row>
    <row r="215" spans="1:16" ht="17.600000000000001" x14ac:dyDescent="0.4">
      <c r="A215" t="s">
        <v>1</v>
      </c>
      <c r="B215" s="2" t="s">
        <v>201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6" ht="5.15" customHeight="1" x14ac:dyDescent="0.3"/>
    <row r="217" spans="1:16" outlineLevel="1" x14ac:dyDescent="0.3">
      <c r="B217" s="32" t="s">
        <v>164</v>
      </c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</row>
    <row r="218" spans="1:16" ht="5.15" customHeight="1" outlineLevel="1" x14ac:dyDescent="0.3"/>
    <row r="219" spans="1:16" outlineLevel="1" x14ac:dyDescent="0.3">
      <c r="B219" s="34"/>
      <c r="E219" s="166" t="s">
        <v>202</v>
      </c>
      <c r="F219" s="166" t="s">
        <v>203</v>
      </c>
      <c r="G219" s="166" t="s">
        <v>199</v>
      </c>
      <c r="H219" s="166" t="s">
        <v>204</v>
      </c>
      <c r="I219" s="166" t="s">
        <v>205</v>
      </c>
      <c r="K219" s="166" t="s">
        <v>206</v>
      </c>
      <c r="L219" s="34"/>
      <c r="M219" s="166" t="s">
        <v>207</v>
      </c>
    </row>
    <row r="220" spans="1:16" ht="5.15" customHeight="1" outlineLevel="1" x14ac:dyDescent="0.3">
      <c r="B220" s="34"/>
      <c r="F220" s="164">
        <v>1</v>
      </c>
      <c r="G220" s="164">
        <f>F220+1</f>
        <v>2</v>
      </c>
      <c r="H220" s="164">
        <f>G220+1</f>
        <v>3</v>
      </c>
      <c r="K220" s="34"/>
      <c r="L220" s="34"/>
      <c r="M220" s="34"/>
    </row>
    <row r="221" spans="1:16" outlineLevel="1" x14ac:dyDescent="0.3">
      <c r="B221" s="37" t="s">
        <v>165</v>
      </c>
      <c r="D221" t="s">
        <v>1</v>
      </c>
      <c r="E221" s="165">
        <f ca="1">MIN($E$9:$K$17)</f>
        <v>9.5067994156130237E-2</v>
      </c>
      <c r="F221" s="165">
        <f ca="1">_xlfn.QUARTILE.INC($E$9:$K$17,F$220)</f>
        <v>0.17404071187108799</v>
      </c>
      <c r="G221" s="165">
        <f ca="1">_xlfn.QUARTILE.INC($E$9:$K$17,G$220)</f>
        <v>0.21957755603550078</v>
      </c>
      <c r="H221" s="165">
        <f ca="1">_xlfn.QUARTILE.INC($E$9:$K$17,H$220)</f>
        <v>0.24157756232295458</v>
      </c>
      <c r="I221" s="165">
        <f ca="1">MAX($E$9:$K$17)</f>
        <v>0.39004556989658057</v>
      </c>
      <c r="J221" s="98"/>
      <c r="K221" s="167">
        <f>AVERAGE(Financials!E82:N82)</f>
        <v>0.24780800089104765</v>
      </c>
      <c r="L221" s="167"/>
      <c r="M221" s="167">
        <f>Financials!N82</f>
        <v>0.25882363168509626</v>
      </c>
      <c r="P221" s="37"/>
    </row>
    <row r="222" spans="1:16" outlineLevel="1" x14ac:dyDescent="0.3">
      <c r="B222" s="37" t="s">
        <v>121</v>
      </c>
      <c r="E222" s="165">
        <f ca="1">MIN($E$23:$K$31)</f>
        <v>-0.22650139687400425</v>
      </c>
      <c r="F222" s="165">
        <f ca="1">_xlfn.QUARTILE.INC($E$23:$K$31,F$220)</f>
        <v>6.2747428732795069E-2</v>
      </c>
      <c r="G222" s="165">
        <f t="shared" ref="G222:H222" ca="1" si="50">_xlfn.QUARTILE.INC($E$23:$K$31,G$220)</f>
        <v>9.5572337663061349E-2</v>
      </c>
      <c r="H222" s="165">
        <f t="shared" ca="1" si="50"/>
        <v>0.15549981613333738</v>
      </c>
      <c r="I222" s="165">
        <f ca="1">MAX($E$23:$K$31)</f>
        <v>0.24692334997055967</v>
      </c>
      <c r="J222" s="98"/>
      <c r="K222" s="167">
        <f>AVERAGE(Financials!E83:N83)</f>
        <v>0.17388695987461925</v>
      </c>
      <c r="L222" s="167"/>
      <c r="M222" s="167">
        <f>Financials!N83</f>
        <v>0.17712462619097288</v>
      </c>
      <c r="P222" s="37"/>
    </row>
    <row r="223" spans="1:16" outlineLevel="1" x14ac:dyDescent="0.3">
      <c r="B223" s="37" t="s">
        <v>166</v>
      </c>
      <c r="E223" s="165">
        <f ca="1">MIN($E$37:$K$45)</f>
        <v>-0.23659558354288288</v>
      </c>
      <c r="F223" s="165">
        <f ca="1">_xlfn.QUARTILE.INC($E$37:$K$45,F$220)</f>
        <v>2.2863802205965771E-2</v>
      </c>
      <c r="G223" s="165">
        <f t="shared" ref="G223:H223" ca="1" si="51">_xlfn.QUARTILE.INC($E$37:$K$45,G$220)</f>
        <v>5.8965611677355978E-2</v>
      </c>
      <c r="H223" s="165">
        <f t="shared" ca="1" si="51"/>
        <v>7.9941235397501545E-2</v>
      </c>
      <c r="I223" s="165">
        <f ca="1">MAX($E$37:$K$45)</f>
        <v>0.2148334107289871</v>
      </c>
      <c r="J223" s="98"/>
      <c r="K223" s="167">
        <f>AVERAGE(Financials!E84:N84)</f>
        <v>7.7677502471750079E-2</v>
      </c>
      <c r="L223" s="167"/>
      <c r="M223" s="167">
        <f>Financials!N84</f>
        <v>8.0560191946588713E-2</v>
      </c>
      <c r="P223" s="37"/>
    </row>
    <row r="224" spans="1:16" outlineLevel="1" x14ac:dyDescent="0.3">
      <c r="B224" s="37" t="s">
        <v>167</v>
      </c>
      <c r="E224" s="165">
        <f ca="1">MIN($E$51:$K$59)</f>
        <v>-6.839980565403303E-2</v>
      </c>
      <c r="F224" s="165">
        <f ca="1">_xlfn.QUARTILE.INC($E$51:$K$59,F$220)</f>
        <v>8.5417792216764109E-3</v>
      </c>
      <c r="G224" s="165">
        <f t="shared" ref="G224:H224" ca="1" si="52">_xlfn.QUARTILE.INC($E$51:$K$59,G$220)</f>
        <v>4.6084525248003508E-2</v>
      </c>
      <c r="H224" s="165">
        <f t="shared" ca="1" si="52"/>
        <v>6.6785510885651558E-2</v>
      </c>
      <c r="I224" s="165">
        <f ca="1">MAX($E$51:$K$59)</f>
        <v>0.16735683539475851</v>
      </c>
      <c r="J224" s="98"/>
      <c r="K224" s="167">
        <f>AVERAGE(Financials!E85:N85)</f>
        <v>3.915652229983492E-2</v>
      </c>
      <c r="L224" s="167"/>
      <c r="M224" s="167">
        <f>Financials!N85</f>
        <v>3.1330412406982353E-2</v>
      </c>
    </row>
    <row r="225" spans="2:16" ht="5.15" customHeight="1" outlineLevel="1" x14ac:dyDescent="0.3"/>
    <row r="226" spans="2:16" outlineLevel="1" x14ac:dyDescent="0.3">
      <c r="B226" s="32" t="s">
        <v>168</v>
      </c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</row>
    <row r="227" spans="2:16" ht="5.15" customHeight="1" outlineLevel="1" x14ac:dyDescent="0.3">
      <c r="E227" s="88"/>
      <c r="G227" s="88"/>
      <c r="H227" s="88"/>
      <c r="I227" s="88"/>
      <c r="J227" s="88"/>
      <c r="K227" s="88"/>
      <c r="L227" s="88"/>
      <c r="M227" s="88"/>
      <c r="N227" s="88"/>
    </row>
    <row r="228" spans="2:16" outlineLevel="1" x14ac:dyDescent="0.3">
      <c r="B228" s="34"/>
      <c r="E228" s="166" t="s">
        <v>202</v>
      </c>
      <c r="F228" s="166" t="s">
        <v>203</v>
      </c>
      <c r="G228" s="166" t="s">
        <v>199</v>
      </c>
      <c r="H228" s="166" t="s">
        <v>204</v>
      </c>
      <c r="I228" s="166" t="s">
        <v>205</v>
      </c>
      <c r="K228" s="166" t="s">
        <v>206</v>
      </c>
      <c r="L228" s="34"/>
      <c r="M228" s="166" t="s">
        <v>207</v>
      </c>
    </row>
    <row r="229" spans="2:16" ht="5.15" customHeight="1" outlineLevel="1" x14ac:dyDescent="0.3">
      <c r="B229" s="34"/>
      <c r="F229" s="164">
        <v>1</v>
      </c>
      <c r="G229" s="164">
        <f>F229+1</f>
        <v>2</v>
      </c>
      <c r="H229" s="164">
        <f>G229+1</f>
        <v>3</v>
      </c>
      <c r="K229" s="34"/>
      <c r="L229" s="34"/>
      <c r="M229" s="34"/>
    </row>
    <row r="230" spans="2:16" outlineLevel="1" x14ac:dyDescent="0.3">
      <c r="B230" s="37" t="s">
        <v>169</v>
      </c>
      <c r="D230" t="s">
        <v>1</v>
      </c>
      <c r="E230" s="169">
        <f ca="1">MIN($E$67:$K$75)</f>
        <v>4.8552268244575709E-2</v>
      </c>
      <c r="F230" s="169">
        <f ca="1">_xlfn.QUARTILE.INC($E$67:$K$75,F$220)</f>
        <v>1.2676070509656971</v>
      </c>
      <c r="G230" s="169">
        <f ca="1">_xlfn.QUARTILE.INC($E$67:$K$75,G$220)</f>
        <v>1.4295946527914067</v>
      </c>
      <c r="H230" s="169">
        <f t="shared" ref="G230:H230" ca="1" si="53">_xlfn.QUARTILE.INC($E$67:$K$75,H$220)</f>
        <v>1.7292142954949943</v>
      </c>
      <c r="I230" s="169">
        <f ca="1">MAX($E$67:$K$75)</f>
        <v>2.5950980345307193</v>
      </c>
      <c r="J230" s="98"/>
      <c r="K230" s="168">
        <f>AVERAGE(Financials!E88:N88)</f>
        <v>0.91605509838838761</v>
      </c>
      <c r="L230" s="168"/>
      <c r="M230" s="168">
        <f>Financials!N88</f>
        <v>1.0106711190156437</v>
      </c>
    </row>
    <row r="231" spans="2:16" outlineLevel="1" x14ac:dyDescent="0.3">
      <c r="B231" s="37" t="s">
        <v>170</v>
      </c>
      <c r="E231" s="169">
        <f ca="1">MIN($E$81:$K$89)</f>
        <v>4.8552268244575709E-2</v>
      </c>
      <c r="F231" s="169">
        <f ca="1">_xlfn.QUARTILE.INC($E$81:$K$89,F$220)</f>
        <v>0.77949021604391544</v>
      </c>
      <c r="G231" s="169">
        <f t="shared" ref="G231:H231" ca="1" si="54">_xlfn.QUARTILE.INC($E$81:$K$89,G$220)</f>
        <v>0.9675714630084814</v>
      </c>
      <c r="H231" s="169">
        <f t="shared" ca="1" si="54"/>
        <v>1.2272997190177186</v>
      </c>
      <c r="I231" s="169">
        <f ca="1">MAX($E$81:$K$89)</f>
        <v>2.3145515451847753</v>
      </c>
      <c r="J231" s="98"/>
      <c r="K231" s="168">
        <f>AVERAGE(Financials!E89:N89)</f>
        <v>0.61112892833221744</v>
      </c>
      <c r="L231" s="168"/>
      <c r="M231" s="168">
        <f>Financials!N89</f>
        <v>0.69333236543138177</v>
      </c>
    </row>
    <row r="232" spans="2:16" outlineLevel="1" x14ac:dyDescent="0.3">
      <c r="B232" s="37" t="s">
        <v>171</v>
      </c>
      <c r="E232" s="169">
        <f ca="1">MIN($E$95:$K$103)</f>
        <v>0</v>
      </c>
      <c r="F232" s="169">
        <f ca="1">_xlfn.QUARTILE.INC($E$95:$K$103,F$220)</f>
        <v>9.4510109010470217E-2</v>
      </c>
      <c r="G232" s="169">
        <f t="shared" ref="G232:H232" ca="1" si="55">_xlfn.QUARTILE.INC($E$95:$K$103,G$220)</f>
        <v>0.36285528876044565</v>
      </c>
      <c r="H232" s="169">
        <f t="shared" ca="1" si="55"/>
        <v>0.54742105727722312</v>
      </c>
      <c r="I232" s="169">
        <f ca="1">MAX($E$95:$K$103)</f>
        <v>1.0883003684358932</v>
      </c>
      <c r="J232" s="98"/>
      <c r="K232" s="168">
        <f>AVERAGE(Financials!E90:N90)</f>
        <v>8.9785834762000305E-2</v>
      </c>
      <c r="L232" s="168"/>
      <c r="M232" s="168">
        <f>Financials!N90</f>
        <v>0.1524082610431563</v>
      </c>
    </row>
    <row r="233" spans="2:16" ht="5.15" customHeight="1" outlineLevel="1" x14ac:dyDescent="0.3"/>
    <row r="234" spans="2:16" ht="5.15" customHeight="1" outlineLevel="1" x14ac:dyDescent="0.3">
      <c r="B234" s="37"/>
      <c r="E234" s="88"/>
      <c r="F234" s="88"/>
      <c r="G234" s="88"/>
      <c r="H234" s="88"/>
      <c r="I234" s="88"/>
      <c r="J234" s="88"/>
      <c r="K234" s="88"/>
      <c r="L234" s="88"/>
      <c r="M234" s="88"/>
      <c r="N234" s="88"/>
    </row>
    <row r="235" spans="2:16" outlineLevel="1" x14ac:dyDescent="0.3">
      <c r="B235" s="32" t="s">
        <v>172</v>
      </c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</row>
    <row r="236" spans="2:16" ht="5.15" customHeight="1" outlineLevel="1" x14ac:dyDescent="0.3">
      <c r="E236" s="91"/>
      <c r="F236" s="91"/>
      <c r="G236" s="91"/>
      <c r="H236" s="91"/>
      <c r="I236" s="91"/>
      <c r="J236" s="91"/>
      <c r="K236" s="91"/>
      <c r="L236" s="91"/>
      <c r="M236" s="91"/>
      <c r="N236" s="91"/>
    </row>
    <row r="237" spans="2:16" outlineLevel="1" x14ac:dyDescent="0.3">
      <c r="B237" s="34"/>
      <c r="E237" s="166" t="s">
        <v>202</v>
      </c>
      <c r="F237" s="166" t="s">
        <v>203</v>
      </c>
      <c r="G237" s="166" t="s">
        <v>199</v>
      </c>
      <c r="H237" s="166" t="s">
        <v>204</v>
      </c>
      <c r="I237" s="166" t="s">
        <v>205</v>
      </c>
      <c r="K237" s="166" t="s">
        <v>206</v>
      </c>
      <c r="L237" s="34"/>
      <c r="M237" s="166" t="s">
        <v>207</v>
      </c>
    </row>
    <row r="238" spans="2:16" ht="5.15" customHeight="1" outlineLevel="1" x14ac:dyDescent="0.3">
      <c r="B238" s="34"/>
      <c r="F238" s="164">
        <v>1</v>
      </c>
      <c r="G238" s="164">
        <f>F238+1</f>
        <v>2</v>
      </c>
      <c r="H238" s="164">
        <f>G238+1</f>
        <v>3</v>
      </c>
      <c r="K238" s="34"/>
      <c r="L238" s="34"/>
      <c r="M238" s="34"/>
    </row>
    <row r="239" spans="2:16" outlineLevel="1" x14ac:dyDescent="0.3">
      <c r="B239" s="37" t="s">
        <v>173</v>
      </c>
      <c r="D239" t="s">
        <v>1</v>
      </c>
      <c r="E239" s="172">
        <f ca="1">MIN($E$111:$K$119)</f>
        <v>0</v>
      </c>
      <c r="F239" s="172">
        <f ca="1">_xlfn.QUARTILE.INC($E$111:$K$119,F$220)</f>
        <v>0.29586527086225911</v>
      </c>
      <c r="G239" s="172">
        <f t="shared" ref="G239:H239" ca="1" si="56">_xlfn.QUARTILE.INC($E$111:$K$119,G$220)</f>
        <v>0.50916177295099296</v>
      </c>
      <c r="H239" s="172">
        <f t="shared" ca="1" si="56"/>
        <v>1.3226964499401608</v>
      </c>
      <c r="I239" s="172">
        <f ca="1">MAX($E$111:$K$119)</f>
        <v>166.31707317073105</v>
      </c>
      <c r="J239" s="98"/>
      <c r="K239" s="168">
        <f>AVERAGE(Financials!E93:N93)</f>
        <v>1.286281353175097</v>
      </c>
      <c r="L239" s="168"/>
      <c r="M239" s="168">
        <f>Financials!N93</f>
        <v>1.2392421581737045</v>
      </c>
      <c r="P239" s="37"/>
    </row>
    <row r="240" spans="2:16" outlineLevel="1" x14ac:dyDescent="0.3">
      <c r="B240" s="37" t="s">
        <v>174</v>
      </c>
      <c r="E240" s="171">
        <f ca="1">MIN($E$125:$K$133)</f>
        <v>-1032.6068300524955</v>
      </c>
      <c r="F240" s="171">
        <f ca="1">_xlfn.QUARTILE.INC($E$125:$K$133,F$220)</f>
        <v>-46.266000384880812</v>
      </c>
      <c r="G240" s="171">
        <f t="shared" ref="G240:H240" ca="1" si="57">_xlfn.QUARTILE.INC($E$125:$K$133,G$220)</f>
        <v>269.66592648625351</v>
      </c>
      <c r="H240" s="171">
        <f t="shared" ca="1" si="57"/>
        <v>1420.7247937098139</v>
      </c>
      <c r="I240" s="171">
        <f ca="1">MAX($E$125:$K$133)</f>
        <v>21154.042994499199</v>
      </c>
      <c r="J240" s="98"/>
      <c r="K240" s="170">
        <f>AVERAGE(Financials!E94:N94)</f>
        <v>4815.95</v>
      </c>
      <c r="L240" s="170"/>
      <c r="M240" s="170">
        <f>Financials!N94</f>
        <v>6852.3</v>
      </c>
      <c r="P240" s="37"/>
    </row>
    <row r="241" spans="2:19" outlineLevel="1" x14ac:dyDescent="0.3">
      <c r="B241" s="37" t="s">
        <v>175</v>
      </c>
      <c r="E241" s="172">
        <f ca="1">MIN($E$139:$K$147)</f>
        <v>-17.131815153275607</v>
      </c>
      <c r="F241" s="172">
        <f ca="1">_xlfn.QUARTILE.INC($E$139:$K$147,F$220)</f>
        <v>3.9379840383736354E-2</v>
      </c>
      <c r="G241" s="172">
        <f ca="1">_xlfn.QUARTILE.INC($E$139:$K$147,G$220)</f>
        <v>1.5276055222034715</v>
      </c>
      <c r="H241" s="172">
        <f ca="1">_xlfn.QUARTILE.INC($E$139:$K$147,H$220)</f>
        <v>2.7946824041519802</v>
      </c>
      <c r="I241" s="172">
        <f ca="1">MAX($E$139:$K$147)</f>
        <v>177.4641113702379</v>
      </c>
      <c r="J241" s="98"/>
      <c r="K241" s="168">
        <f>AVERAGE(Financials!E95:N95)</f>
        <v>3.2041781788928541</v>
      </c>
      <c r="L241" s="168"/>
      <c r="M241" s="168">
        <f>Financials!N95</f>
        <v>3.3630920245398785</v>
      </c>
      <c r="P241" s="37"/>
    </row>
    <row r="242" spans="2:19" ht="5.15" customHeight="1" outlineLevel="1" x14ac:dyDescent="0.3"/>
    <row r="243" spans="2:19" outlineLevel="1" x14ac:dyDescent="0.3">
      <c r="B243" s="32" t="s">
        <v>178</v>
      </c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</row>
    <row r="244" spans="2:19" ht="5.15" customHeight="1" outlineLevel="1" x14ac:dyDescent="0.3"/>
    <row r="245" spans="2:19" outlineLevel="1" x14ac:dyDescent="0.3">
      <c r="B245" s="34"/>
      <c r="E245" s="166" t="s">
        <v>202</v>
      </c>
      <c r="F245" s="166" t="s">
        <v>203</v>
      </c>
      <c r="G245" s="166" t="s">
        <v>199</v>
      </c>
      <c r="H245" s="166" t="s">
        <v>204</v>
      </c>
      <c r="I245" s="166" t="s">
        <v>205</v>
      </c>
      <c r="K245" s="166" t="s">
        <v>206</v>
      </c>
      <c r="L245" s="34"/>
      <c r="M245" s="166" t="s">
        <v>207</v>
      </c>
    </row>
    <row r="246" spans="2:19" ht="5.15" customHeight="1" outlineLevel="1" x14ac:dyDescent="0.3">
      <c r="B246" s="34"/>
      <c r="F246" s="164">
        <v>1</v>
      </c>
      <c r="G246" s="164">
        <f>F246+1</f>
        <v>2</v>
      </c>
      <c r="H246" s="164">
        <f>G246+1</f>
        <v>3</v>
      </c>
      <c r="K246" s="34"/>
      <c r="L246" s="34"/>
      <c r="M246" s="34"/>
    </row>
    <row r="247" spans="2:19" outlineLevel="1" x14ac:dyDescent="0.3">
      <c r="B247" s="37" t="s">
        <v>179</v>
      </c>
      <c r="D247" t="s">
        <v>1</v>
      </c>
      <c r="E247" s="172">
        <f ca="1">MIN($E$155:$K$163)</f>
        <v>-24.437580853547352</v>
      </c>
      <c r="F247" s="172">
        <f ca="1">_xlfn.QUARTILE.INC($E$155:$K$163,F$220)</f>
        <v>4.314102497176445</v>
      </c>
      <c r="G247" s="172">
        <f t="shared" ref="G247:H247" ca="1" si="58">_xlfn.QUARTILE.INC($E$155:$K$163,G$220)</f>
        <v>12.087298788971932</v>
      </c>
      <c r="H247" s="172">
        <f t="shared" ca="1" si="58"/>
        <v>19.3104548087687</v>
      </c>
      <c r="I247" s="172">
        <f ca="1">MAX($E$155:$K$163)</f>
        <v>418.40351204457716</v>
      </c>
      <c r="J247" s="98"/>
      <c r="K247" s="168">
        <f>AVERAGE(Financials!E98:N98)</f>
        <v>14.887343271687943</v>
      </c>
      <c r="L247" s="168"/>
      <c r="M247" s="168">
        <f>Financials!N98</f>
        <v>5.3566473988439274</v>
      </c>
      <c r="P247" s="37"/>
    </row>
    <row r="248" spans="2:19" outlineLevel="1" x14ac:dyDescent="0.3">
      <c r="B248" s="37"/>
      <c r="E248" s="172"/>
      <c r="F248" s="172"/>
      <c r="G248" s="172"/>
      <c r="H248" s="172"/>
      <c r="I248" s="172"/>
      <c r="J248" s="98"/>
      <c r="K248" s="168"/>
      <c r="L248" s="168"/>
      <c r="M248" s="168"/>
      <c r="P248" s="37"/>
    </row>
    <row r="249" spans="2:19" outlineLevel="1" x14ac:dyDescent="0.3">
      <c r="B249" s="32" t="s">
        <v>783</v>
      </c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</row>
    <row r="250" spans="2:19" outlineLevel="1" x14ac:dyDescent="0.3">
      <c r="E250" s="91"/>
      <c r="F250" s="91"/>
      <c r="G250" s="91"/>
      <c r="H250" s="91"/>
      <c r="I250" s="91"/>
      <c r="J250" s="91"/>
      <c r="K250" s="91"/>
      <c r="L250" s="91"/>
      <c r="M250" s="91"/>
      <c r="N250" s="91"/>
    </row>
    <row r="251" spans="2:19" outlineLevel="1" x14ac:dyDescent="0.3">
      <c r="B251" s="34"/>
      <c r="E251" s="166" t="s">
        <v>202</v>
      </c>
      <c r="F251" s="166" t="s">
        <v>203</v>
      </c>
      <c r="G251" s="166" t="s">
        <v>199</v>
      </c>
      <c r="H251" s="166" t="s">
        <v>204</v>
      </c>
      <c r="I251" s="166" t="s">
        <v>205</v>
      </c>
      <c r="K251" s="166" t="s">
        <v>206</v>
      </c>
      <c r="L251" s="34"/>
      <c r="M251" s="166" t="s">
        <v>207</v>
      </c>
      <c r="Q251" t="s">
        <v>787</v>
      </c>
      <c r="R251" t="s">
        <v>175</v>
      </c>
      <c r="S251" t="s">
        <v>179</v>
      </c>
    </row>
    <row r="252" spans="2:19" outlineLevel="1" x14ac:dyDescent="0.3">
      <c r="B252" s="34"/>
      <c r="F252" s="164">
        <v>1</v>
      </c>
      <c r="G252" s="164">
        <f>F252+1</f>
        <v>2</v>
      </c>
      <c r="H252" s="164">
        <f>G252+1</f>
        <v>3</v>
      </c>
      <c r="K252" s="34"/>
      <c r="L252" s="34"/>
      <c r="M252" s="34"/>
      <c r="P252" t="s">
        <v>788</v>
      </c>
      <c r="Q252" s="180">
        <f ca="1">G239</f>
        <v>0.50916177295099296</v>
      </c>
      <c r="R252" s="180">
        <f ca="1">G241</f>
        <v>1.5276055222034715</v>
      </c>
      <c r="S252" s="180">
        <f ca="1">G247</f>
        <v>12.087298788971932</v>
      </c>
    </row>
    <row r="253" spans="2:19" outlineLevel="1" x14ac:dyDescent="0.3">
      <c r="B253" s="37" t="s">
        <v>173</v>
      </c>
      <c r="D253" t="s">
        <v>1</v>
      </c>
      <c r="E253" s="239">
        <f ca="1">MIN($H$111:$K$119)</f>
        <v>5.3225068067368764E-2</v>
      </c>
      <c r="F253" s="239">
        <f ca="1">_xlfn.QUARTILE.INC($H$111:$K$119,F$220)</f>
        <v>0.28838143380893733</v>
      </c>
      <c r="G253" s="239">
        <f ca="1">_xlfn.QUARTILE.INC($H$111:$K$119,G$220)</f>
        <v>0.45799522159323275</v>
      </c>
      <c r="H253" s="239">
        <f ca="1">_xlfn.QUARTILE.INC($H$111:$K$119,H$220)</f>
        <v>1.412505185810534</v>
      </c>
      <c r="I253" s="239">
        <f ca="1">MAX($H$111:$K$119)</f>
        <v>166.31707317073105</v>
      </c>
      <c r="J253" s="98"/>
      <c r="K253" s="168">
        <f>AVERAGE(Financials!E93:N93)</f>
        <v>1.286281353175097</v>
      </c>
      <c r="L253" s="168"/>
      <c r="M253" s="168">
        <f>Financials!N93</f>
        <v>1.2392421581737045</v>
      </c>
      <c r="P253" t="s">
        <v>789</v>
      </c>
      <c r="Q253" s="180">
        <f ca="1">G253</f>
        <v>0.45799522159323275</v>
      </c>
      <c r="R253" s="180">
        <f ca="1">G255</f>
        <v>1.9595238839061513</v>
      </c>
      <c r="S253" s="180">
        <f ca="1">G257</f>
        <v>8.5603422244589833</v>
      </c>
    </row>
    <row r="254" spans="2:19" ht="12.75" customHeight="1" outlineLevel="1" x14ac:dyDescent="0.3">
      <c r="B254" s="37" t="s">
        <v>174</v>
      </c>
      <c r="E254" s="240">
        <f ca="1">MIN($H$125:$K$133)</f>
        <v>-1032.6068300524955</v>
      </c>
      <c r="F254" s="240">
        <f ca="1">_xlfn.QUARTILE.INC($H$125:$K$133,F$220)</f>
        <v>-68.237000339208606</v>
      </c>
      <c r="G254" s="240">
        <f ca="1">_xlfn.QUARTILE.INC($H$125:$K$133,G$220)</f>
        <v>337.61702831983541</v>
      </c>
      <c r="H254" s="240">
        <f ca="1">_xlfn.QUARTILE.INC($H$125:$K$133,H$220)</f>
        <v>1423.7998277982692</v>
      </c>
      <c r="I254" s="240">
        <f ca="1">MAX($H$125:$K$133)</f>
        <v>21154.042994499199</v>
      </c>
      <c r="J254" s="98"/>
      <c r="K254" s="170">
        <f>AVERAGE(Financials!E94:N94)</f>
        <v>4815.95</v>
      </c>
      <c r="L254" s="170"/>
      <c r="M254" s="170">
        <f>Financials!N94</f>
        <v>6852.3</v>
      </c>
      <c r="P254" t="s">
        <v>207</v>
      </c>
      <c r="Q254" s="180">
        <f>M253</f>
        <v>1.2392421581737045</v>
      </c>
      <c r="R254" s="180">
        <f>M255</f>
        <v>3.3630920245398785</v>
      </c>
      <c r="S254" s="180">
        <f>M247</f>
        <v>5.3566473988439274</v>
      </c>
    </row>
    <row r="255" spans="2:19" outlineLevel="1" x14ac:dyDescent="0.3">
      <c r="B255" s="37" t="s">
        <v>175</v>
      </c>
      <c r="E255" s="239">
        <f ca="1">MIN($H$139:$K$147)</f>
        <v>-8.0826999946286957</v>
      </c>
      <c r="F255" s="239">
        <f ca="1">_xlfn.QUARTILE.INC($H$139:$K$147,F$220)</f>
        <v>1.2369648857037789</v>
      </c>
      <c r="G255" s="239">
        <f ca="1">_xlfn.QUARTILE.INC($H$139:$K$147,G$220)</f>
        <v>1.9595238839061513</v>
      </c>
      <c r="H255" s="239">
        <f ca="1">_xlfn.QUARTILE.INC($H$139:$K$147,H$220)</f>
        <v>3.3233189980853082</v>
      </c>
      <c r="I255" s="239">
        <f ca="1">MAX($H$139:$K$147)</f>
        <v>177.4641113702379</v>
      </c>
      <c r="J255" s="98"/>
      <c r="K255" s="168">
        <f>AVERAGE(Financials!E95:N95)</f>
        <v>3.2041781788928541</v>
      </c>
      <c r="L255" s="168"/>
      <c r="M255" s="168">
        <f>Financials!N95</f>
        <v>3.3630920245398785</v>
      </c>
      <c r="P255" t="s">
        <v>206</v>
      </c>
      <c r="Q255" s="180">
        <f>K253</f>
        <v>1.286281353175097</v>
      </c>
      <c r="R255" s="180">
        <f>K255</f>
        <v>3.2041781788928541</v>
      </c>
      <c r="S255" s="180">
        <f>K257</f>
        <v>14.887343271687943</v>
      </c>
    </row>
    <row r="256" spans="2:19" x14ac:dyDescent="0.3">
      <c r="B256" s="37"/>
      <c r="E256" s="239"/>
      <c r="F256" s="239"/>
      <c r="G256" s="239"/>
      <c r="H256" s="239"/>
      <c r="I256" s="239"/>
      <c r="J256" s="98"/>
      <c r="K256" s="168"/>
      <c r="L256" s="168"/>
      <c r="M256" s="168"/>
      <c r="P256" s="37"/>
    </row>
    <row r="257" spans="2:16" outlineLevel="1" x14ac:dyDescent="0.3">
      <c r="B257" s="37" t="s">
        <v>179</v>
      </c>
      <c r="D257" t="s">
        <v>1</v>
      </c>
      <c r="E257" s="239">
        <f ca="1">MIN($H$155:$K$163)</f>
        <v>-24.437580853547352</v>
      </c>
      <c r="F257" s="239">
        <f ca="1">_xlfn.QUARTILE.INC($H$155:$K$163,F$220)</f>
        <v>3.7978310377637641</v>
      </c>
      <c r="G257" s="239">
        <f ca="1">_xlfn.QUARTILE.INC($H$155:$K$163,G$220)</f>
        <v>8.5603422244589833</v>
      </c>
      <c r="H257" s="239">
        <f ca="1">_xlfn.QUARTILE.INC($H$155:$K$163,H$220)</f>
        <v>13.489452552418584</v>
      </c>
      <c r="I257" s="239">
        <f ca="1">MAX($H$155:$K$163)</f>
        <v>418.40351204457716</v>
      </c>
      <c r="J257" s="98"/>
      <c r="K257" s="168">
        <f>AVERAGE(Financials!E98:N98)</f>
        <v>14.887343271687943</v>
      </c>
      <c r="L257" s="168"/>
      <c r="M257" s="168">
        <f>Financials!N98</f>
        <v>5.3566473988439274</v>
      </c>
      <c r="P257" s="37"/>
    </row>
    <row r="258" spans="2:16" outlineLevel="1" x14ac:dyDescent="0.3">
      <c r="B258" s="37"/>
      <c r="E258" s="239"/>
      <c r="F258" s="239"/>
      <c r="G258" s="239"/>
      <c r="H258" s="239"/>
      <c r="I258" s="239"/>
      <c r="J258" s="98"/>
      <c r="K258" s="168"/>
      <c r="L258" s="168"/>
      <c r="M258" s="168"/>
      <c r="P258" s="37"/>
    </row>
    <row r="259" spans="2:16" x14ac:dyDescent="0.3">
      <c r="B259" s="37"/>
      <c r="E259" s="239"/>
      <c r="F259" s="239"/>
      <c r="G259" s="239"/>
      <c r="H259" s="239"/>
      <c r="I259" s="239"/>
      <c r="J259" s="98"/>
      <c r="K259" s="168"/>
      <c r="L259" s="168"/>
      <c r="M259" s="168"/>
    </row>
    <row r="260" spans="2:16" x14ac:dyDescent="0.3">
      <c r="B260" s="37"/>
      <c r="E260" s="239"/>
      <c r="F260" s="239"/>
      <c r="G260" s="239"/>
      <c r="H260" s="239"/>
      <c r="I260" s="239"/>
      <c r="J260" s="98"/>
      <c r="K260" s="168"/>
      <c r="L260" s="168"/>
      <c r="M260" s="168"/>
    </row>
    <row r="265" spans="2:16" x14ac:dyDescent="0.3">
      <c r="B265" s="34"/>
      <c r="F265" s="164">
        <v>1</v>
      </c>
      <c r="G265" s="164">
        <f>F265+1</f>
        <v>2</v>
      </c>
      <c r="H265" s="164">
        <f>G265+1</f>
        <v>3</v>
      </c>
      <c r="K265" s="34"/>
      <c r="L265" s="34"/>
      <c r="M265" s="3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C5057-42FC-4D4B-85BE-F1FCE8CE15BE}">
  <sheetPr>
    <tabColor theme="9"/>
  </sheetPr>
  <dimension ref="A2:W104"/>
  <sheetViews>
    <sheetView showGridLines="0" zoomScale="99" workbookViewId="0">
      <selection activeCell="E45" sqref="E45"/>
    </sheetView>
  </sheetViews>
  <sheetFormatPr defaultRowHeight="12.45" x14ac:dyDescent="0.3"/>
  <cols>
    <col min="1" max="1" width="2.84375" customWidth="1"/>
    <col min="2" max="2" width="25.84375" bestFit="1" customWidth="1"/>
    <col min="5" max="5" width="9.84375" bestFit="1" customWidth="1"/>
  </cols>
  <sheetData>
    <row r="2" spans="1:23" ht="17.600000000000001" x14ac:dyDescent="0.4">
      <c r="A2" t="s">
        <v>1</v>
      </c>
      <c r="B2" s="2" t="s">
        <v>90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P2" t="s">
        <v>91</v>
      </c>
      <c r="Q2" s="34">
        <v>2019</v>
      </c>
      <c r="R2" s="34">
        <v>2020</v>
      </c>
      <c r="S2" s="34">
        <v>2021</v>
      </c>
      <c r="T2" s="34">
        <v>2022</v>
      </c>
      <c r="U2" s="34">
        <v>2023</v>
      </c>
      <c r="V2" s="34">
        <v>2024</v>
      </c>
    </row>
    <row r="3" spans="1:23" x14ac:dyDescent="0.3">
      <c r="P3" t="s">
        <v>57</v>
      </c>
      <c r="Q3" s="36">
        <f t="shared" ref="Q3:V3" si="0">I5</f>
        <v>8806.5</v>
      </c>
      <c r="R3" s="36">
        <f t="shared" si="0"/>
        <v>8341.6</v>
      </c>
      <c r="S3" s="36">
        <f t="shared" si="0"/>
        <v>10294.299999999999</v>
      </c>
      <c r="T3" s="36">
        <f t="shared" si="0"/>
        <v>11135.6</v>
      </c>
      <c r="U3" s="36">
        <f t="shared" si="0"/>
        <v>11433.7</v>
      </c>
      <c r="V3" s="36">
        <f t="shared" si="0"/>
        <v>11503.2</v>
      </c>
      <c r="W3" s="166" t="s">
        <v>92</v>
      </c>
    </row>
    <row r="4" spans="1:23" x14ac:dyDescent="0.3">
      <c r="B4" s="31" t="s">
        <v>93</v>
      </c>
      <c r="C4" s="31"/>
      <c r="D4" s="31"/>
      <c r="E4" s="35">
        <v>2015</v>
      </c>
      <c r="F4" s="35">
        <f>+E4+1</f>
        <v>2016</v>
      </c>
      <c r="G4" s="35">
        <f t="shared" ref="G4:N4" si="1">+F4+1</f>
        <v>2017</v>
      </c>
      <c r="H4" s="35">
        <f t="shared" si="1"/>
        <v>2018</v>
      </c>
      <c r="I4" s="35">
        <f t="shared" si="1"/>
        <v>2019</v>
      </c>
      <c r="J4" s="35">
        <f t="shared" si="1"/>
        <v>2020</v>
      </c>
      <c r="K4" s="35">
        <f t="shared" si="1"/>
        <v>2021</v>
      </c>
      <c r="L4" s="35">
        <f t="shared" si="1"/>
        <v>2022</v>
      </c>
      <c r="M4" s="35">
        <f t="shared" si="1"/>
        <v>2023</v>
      </c>
      <c r="N4" s="35">
        <f t="shared" si="1"/>
        <v>2024</v>
      </c>
      <c r="P4" t="s">
        <v>94</v>
      </c>
      <c r="Q4" s="125">
        <f t="shared" ref="Q4:V4" si="2">I5/H5-1</f>
        <v>0.10140450492139519</v>
      </c>
      <c r="R4" s="125">
        <f t="shared" si="2"/>
        <v>-5.2790552432862015E-2</v>
      </c>
      <c r="S4" s="125">
        <f t="shared" si="2"/>
        <v>0.23409178095329408</v>
      </c>
      <c r="T4" s="125">
        <f t="shared" si="2"/>
        <v>8.1724838017155133E-2</v>
      </c>
      <c r="U4" s="125">
        <f t="shared" si="2"/>
        <v>2.6769998922375082E-2</v>
      </c>
      <c r="V4" s="125">
        <f t="shared" si="2"/>
        <v>6.0785222631343228E-3</v>
      </c>
      <c r="W4" s="165">
        <f>(V3/Q3)^(1/(V2-Q2))-1</f>
        <v>5.4880019077909736E-2</v>
      </c>
    </row>
    <row r="5" spans="1:23" x14ac:dyDescent="0.3">
      <c r="B5" s="37" t="s">
        <v>95</v>
      </c>
      <c r="E5" s="86">
        <f>IS!B19</f>
        <v>5097.8999999999996</v>
      </c>
      <c r="F5" s="86">
        <f>IS!C19</f>
        <v>5587.2</v>
      </c>
      <c r="G5" s="86">
        <f>IS!D19</f>
        <v>7653.6</v>
      </c>
      <c r="H5" s="86">
        <f>IS!E19</f>
        <v>7995.7</v>
      </c>
      <c r="I5" s="86">
        <f>IS!F19</f>
        <v>8806.5</v>
      </c>
      <c r="J5" s="86">
        <f>IS!G19</f>
        <v>8341.6</v>
      </c>
      <c r="K5" s="86">
        <f>IS!H19</f>
        <v>10294.299999999999</v>
      </c>
      <c r="L5" s="86">
        <f>IS!I19</f>
        <v>11135.6</v>
      </c>
      <c r="M5" s="86">
        <f>IS!J19</f>
        <v>11433.7</v>
      </c>
      <c r="N5" s="86">
        <f>IS!K19</f>
        <v>11503.2</v>
      </c>
    </row>
    <row r="6" spans="1:23" x14ac:dyDescent="0.3">
      <c r="B6" s="37" t="s">
        <v>96</v>
      </c>
      <c r="E6" s="86">
        <f>-IS!B22-IS!B24</f>
        <v>-3601.7</v>
      </c>
      <c r="F6" s="86">
        <f>-IS!C22-IS!C24</f>
        <v>-4091.6</v>
      </c>
      <c r="G6" s="86">
        <f>-IS!D22-IS!D24</f>
        <v>-5768.1</v>
      </c>
      <c r="H6" s="86">
        <f>-IS!E22-IS!E24</f>
        <v>-5974.7000000000007</v>
      </c>
      <c r="I6" s="86">
        <f>-IS!F22-IS!F24</f>
        <v>-6474.6</v>
      </c>
      <c r="J6" s="86">
        <f>-IS!G22-IS!G24</f>
        <v>-6296.8</v>
      </c>
      <c r="K6" s="86">
        <f>-IS!H22-IS!H24</f>
        <v>-7870.5999999999995</v>
      </c>
      <c r="L6" s="86">
        <f>-IS!I22-IS!I24</f>
        <v>-9124.1</v>
      </c>
      <c r="M6" s="86">
        <f>-IS!J22-IS!J24</f>
        <v>-8770.1</v>
      </c>
      <c r="N6" s="86">
        <f>-IS!K22-IS!K24</f>
        <v>-8525.9000000000015</v>
      </c>
    </row>
    <row r="7" spans="1:23" x14ac:dyDescent="0.3">
      <c r="B7" s="83" t="s">
        <v>97</v>
      </c>
      <c r="C7" s="85"/>
      <c r="D7" s="85"/>
      <c r="E7" s="84">
        <f t="shared" ref="E7:N7" si="3">E5+E6</f>
        <v>1496.1999999999998</v>
      </c>
      <c r="F7" s="84">
        <f t="shared" si="3"/>
        <v>1495.6</v>
      </c>
      <c r="G7" s="84">
        <f t="shared" si="3"/>
        <v>1885.5</v>
      </c>
      <c r="H7" s="84">
        <f t="shared" si="3"/>
        <v>2020.9999999999991</v>
      </c>
      <c r="I7" s="84">
        <f t="shared" si="3"/>
        <v>2331.8999999999996</v>
      </c>
      <c r="J7" s="84">
        <f t="shared" si="3"/>
        <v>2044.8000000000002</v>
      </c>
      <c r="K7" s="84">
        <f t="shared" si="3"/>
        <v>2423.6999999999998</v>
      </c>
      <c r="L7" s="84">
        <f t="shared" si="3"/>
        <v>2011.5</v>
      </c>
      <c r="M7" s="84">
        <f t="shared" si="3"/>
        <v>2663.6000000000004</v>
      </c>
      <c r="N7" s="84">
        <f t="shared" si="3"/>
        <v>2977.2999999999993</v>
      </c>
    </row>
    <row r="8" spans="1:23" x14ac:dyDescent="0.3">
      <c r="B8" s="37" t="s">
        <v>98</v>
      </c>
      <c r="E8" s="86">
        <f>-IS!B26+IS!B129+IS!B24</f>
        <v>-719.60000000000014</v>
      </c>
      <c r="F8" s="86">
        <f>-IS!C26+IS!C129+IS!C24</f>
        <v>-580.5</v>
      </c>
      <c r="G8" s="86">
        <f>-IS!D26+IS!D129+IS!D24</f>
        <v>-664.00000000000011</v>
      </c>
      <c r="H8" s="86">
        <f>-IS!E26+IS!E129+IS!E24</f>
        <v>-445.59999999999991</v>
      </c>
      <c r="I8" s="86">
        <f>-IS!F26+IS!F129+IS!F24</f>
        <v>-751.40000000000009</v>
      </c>
      <c r="J8" s="86">
        <f>-IS!G26+IS!G129+IS!G24</f>
        <v>-710.9</v>
      </c>
      <c r="K8" s="86">
        <f>-IS!H26+IS!H129+IS!H24</f>
        <v>-721.10000000000014</v>
      </c>
      <c r="L8" s="86">
        <f>-IS!I26+IS!I129+IS!I24</f>
        <v>-852.00000000000011</v>
      </c>
      <c r="M8" s="86">
        <f>-IS!J26+IS!J129+IS!J24</f>
        <v>-975.20000000000016</v>
      </c>
      <c r="N8" s="86">
        <f>-IS!K26+IS!K129+IS!K24</f>
        <v>-1074</v>
      </c>
    </row>
    <row r="9" spans="1:23" x14ac:dyDescent="0.3">
      <c r="B9" s="37" t="s">
        <v>99</v>
      </c>
      <c r="E9" s="86">
        <f>-IS!B29</f>
        <v>72.400000000000006</v>
      </c>
      <c r="F9" s="86">
        <f>-IS!C29</f>
        <v>130</v>
      </c>
      <c r="G9" s="86">
        <f>-IS!D29</f>
        <v>240.2</v>
      </c>
      <c r="H9" s="86">
        <f>-IS!E29</f>
        <v>54.1</v>
      </c>
      <c r="I9" s="86">
        <f>-IS!F29</f>
        <v>66.2</v>
      </c>
      <c r="J9" s="86">
        <f>-IS!G29</f>
        <v>79.900000000000006</v>
      </c>
      <c r="K9" s="86">
        <f>-IS!H29</f>
        <v>143.1</v>
      </c>
      <c r="L9" s="86">
        <f>-IS!I29</f>
        <v>146.6</v>
      </c>
      <c r="M9" s="86">
        <f>-IS!J29</f>
        <v>144.6</v>
      </c>
      <c r="N9" s="86">
        <f>-IS!K29</f>
        <v>134.19999999999999</v>
      </c>
    </row>
    <row r="10" spans="1:23" x14ac:dyDescent="0.3">
      <c r="B10" s="83" t="s">
        <v>64</v>
      </c>
      <c r="C10" s="83"/>
      <c r="D10" s="83"/>
      <c r="E10" s="84">
        <f t="shared" ref="E10:N10" si="4">E7+E8+E9</f>
        <v>848.99999999999966</v>
      </c>
      <c r="F10" s="84">
        <f t="shared" si="4"/>
        <v>1045.0999999999999</v>
      </c>
      <c r="G10" s="84">
        <f t="shared" si="4"/>
        <v>1461.7</v>
      </c>
      <c r="H10" s="84">
        <f t="shared" si="4"/>
        <v>1629.4999999999991</v>
      </c>
      <c r="I10" s="84">
        <f t="shared" si="4"/>
        <v>1646.6999999999996</v>
      </c>
      <c r="J10" s="84">
        <f t="shared" si="4"/>
        <v>1413.8000000000002</v>
      </c>
      <c r="K10" s="84">
        <f t="shared" si="4"/>
        <v>1845.6999999999996</v>
      </c>
      <c r="L10" s="84">
        <f t="shared" si="4"/>
        <v>1306.0999999999999</v>
      </c>
      <c r="M10" s="84">
        <f t="shared" si="4"/>
        <v>1833</v>
      </c>
      <c r="N10" s="84">
        <f t="shared" si="4"/>
        <v>2037.4999999999993</v>
      </c>
    </row>
    <row r="11" spans="1:23" x14ac:dyDescent="0.3">
      <c r="B11" s="37" t="s">
        <v>100</v>
      </c>
      <c r="E11" s="86">
        <f>-IS!B130</f>
        <v>-310.39999999999998</v>
      </c>
      <c r="F11" s="86">
        <f>-IS!C130</f>
        <v>-339.5</v>
      </c>
      <c r="G11" s="86">
        <f>-IS!D130</f>
        <v>-404</v>
      </c>
      <c r="H11" s="86">
        <f>-IS!E130</f>
        <v>-708.7</v>
      </c>
      <c r="I11" s="86">
        <f>-IS!F130</f>
        <v>-733.2</v>
      </c>
      <c r="J11" s="86">
        <f>-IS!G130</f>
        <v>-743.7</v>
      </c>
      <c r="K11" s="86">
        <f>-IS!H130</f>
        <v>-768.4</v>
      </c>
      <c r="L11" s="86">
        <f>-IS!I130</f>
        <v>-824.4</v>
      </c>
      <c r="M11" s="86">
        <f>-IS!J130</f>
        <v>-854.3</v>
      </c>
      <c r="N11" s="86">
        <f>-IS!K130</f>
        <v>-917.5</v>
      </c>
    </row>
    <row r="12" spans="1:23" x14ac:dyDescent="0.3">
      <c r="B12" s="83" t="s">
        <v>101</v>
      </c>
      <c r="C12" s="83"/>
      <c r="D12" s="83"/>
      <c r="E12" s="84">
        <f t="shared" ref="E12:N12" si="5">E10+E11</f>
        <v>538.59999999999968</v>
      </c>
      <c r="F12" s="84">
        <f t="shared" si="5"/>
        <v>705.59999999999991</v>
      </c>
      <c r="G12" s="84">
        <f t="shared" si="5"/>
        <v>1057.7</v>
      </c>
      <c r="H12" s="84">
        <f t="shared" si="5"/>
        <v>920.79999999999905</v>
      </c>
      <c r="I12" s="84">
        <f t="shared" si="5"/>
        <v>913.49999999999955</v>
      </c>
      <c r="J12" s="84">
        <f t="shared" si="5"/>
        <v>670.10000000000014</v>
      </c>
      <c r="K12" s="84">
        <f t="shared" si="5"/>
        <v>1077.2999999999997</v>
      </c>
      <c r="L12" s="84">
        <f t="shared" si="5"/>
        <v>481.69999999999993</v>
      </c>
      <c r="M12" s="84">
        <f t="shared" si="5"/>
        <v>978.7</v>
      </c>
      <c r="N12" s="84">
        <f t="shared" si="5"/>
        <v>1119.9999999999993</v>
      </c>
    </row>
    <row r="13" spans="1:23" x14ac:dyDescent="0.3">
      <c r="B13" s="37" t="s">
        <v>102</v>
      </c>
      <c r="E13" s="86">
        <f>-IS!B132</f>
        <v>-86.9</v>
      </c>
      <c r="F13" s="86">
        <f>-IS!C132</f>
        <v>-172.2</v>
      </c>
      <c r="G13" s="86">
        <f>-IS!D132</f>
        <v>-286.39999999999998</v>
      </c>
      <c r="H13" s="86">
        <f>-IS!E132</f>
        <v>-259.39999999999998</v>
      </c>
      <c r="I13" s="86">
        <f>-IS!F132</f>
        <v>-157.80000000000001</v>
      </c>
      <c r="J13" s="86">
        <f>-IS!G132</f>
        <v>-172.4</v>
      </c>
      <c r="K13" s="86">
        <f>-IS!H132</f>
        <v>-170.5</v>
      </c>
      <c r="L13" s="86">
        <f>-IS!I132</f>
        <v>-188.9</v>
      </c>
      <c r="M13" s="86">
        <f>-IS!J132</f>
        <v>-192.2</v>
      </c>
      <c r="N13" s="86">
        <f>-IS!K132</f>
        <v>-193.3</v>
      </c>
    </row>
    <row r="14" spans="1:23" x14ac:dyDescent="0.3">
      <c r="B14" s="83" t="s">
        <v>67</v>
      </c>
      <c r="C14" s="83"/>
      <c r="D14" s="83"/>
      <c r="E14" s="84">
        <f t="shared" ref="E14:N14" si="6">E12+E13</f>
        <v>451.6999999999997</v>
      </c>
      <c r="F14" s="84">
        <f t="shared" si="6"/>
        <v>533.39999999999986</v>
      </c>
      <c r="G14" s="84">
        <f t="shared" si="6"/>
        <v>771.30000000000007</v>
      </c>
      <c r="H14" s="84">
        <f t="shared" si="6"/>
        <v>661.39999999999907</v>
      </c>
      <c r="I14" s="84">
        <f t="shared" si="6"/>
        <v>755.69999999999959</v>
      </c>
      <c r="J14" s="84">
        <f t="shared" si="6"/>
        <v>497.70000000000016</v>
      </c>
      <c r="K14" s="84">
        <f t="shared" si="6"/>
        <v>906.79999999999973</v>
      </c>
      <c r="L14" s="84">
        <f t="shared" si="6"/>
        <v>292.79999999999995</v>
      </c>
      <c r="M14" s="84">
        <f t="shared" si="6"/>
        <v>786.5</v>
      </c>
      <c r="N14" s="84">
        <f t="shared" si="6"/>
        <v>926.69999999999936</v>
      </c>
    </row>
    <row r="15" spans="1:23" x14ac:dyDescent="0.3">
      <c r="B15" s="37" t="s">
        <v>103</v>
      </c>
      <c r="E15" s="86">
        <f>-IS!B39</f>
        <v>-45.7</v>
      </c>
      <c r="F15" s="86">
        <f>-IS!C39</f>
        <v>-50.9</v>
      </c>
      <c r="G15" s="86">
        <f>-IS!D39</f>
        <v>-53.2</v>
      </c>
      <c r="H15" s="86">
        <f>-IS!E39</f>
        <v>-63.6</v>
      </c>
      <c r="I15" s="86">
        <f>-IS!F39</f>
        <v>-53.8</v>
      </c>
      <c r="J15" s="86">
        <f>-IS!G39</f>
        <v>-40.799999999999997</v>
      </c>
      <c r="K15" s="86">
        <f>-IS!H39</f>
        <v>-15.7</v>
      </c>
      <c r="L15" s="86">
        <f>-IS!I39</f>
        <v>-34.1</v>
      </c>
      <c r="M15" s="86">
        <f>-IS!J39</f>
        <v>-138.80000000000001</v>
      </c>
      <c r="N15" s="86">
        <f>-IS!K39</f>
        <v>-173</v>
      </c>
      <c r="P15" t="s">
        <v>104</v>
      </c>
      <c r="Q15" s="125">
        <f>ABS(N6)/N5</f>
        <v>0.74117636831490374</v>
      </c>
    </row>
    <row r="16" spans="1:23" x14ac:dyDescent="0.3">
      <c r="B16" s="83" t="s">
        <v>105</v>
      </c>
      <c r="C16" s="83"/>
      <c r="D16" s="83"/>
      <c r="E16" s="84">
        <f t="shared" ref="E16:N16" si="7">SUM(E14:E15)</f>
        <v>405.99999999999972</v>
      </c>
      <c r="F16" s="84">
        <f t="shared" si="7"/>
        <v>482.49999999999989</v>
      </c>
      <c r="G16" s="84">
        <f t="shared" si="7"/>
        <v>718.1</v>
      </c>
      <c r="H16" s="84">
        <f t="shared" si="7"/>
        <v>597.79999999999905</v>
      </c>
      <c r="I16" s="84">
        <f t="shared" si="7"/>
        <v>701.89999999999964</v>
      </c>
      <c r="J16" s="84">
        <f t="shared" si="7"/>
        <v>456.90000000000015</v>
      </c>
      <c r="K16" s="84">
        <f t="shared" si="7"/>
        <v>891.09999999999968</v>
      </c>
      <c r="L16" s="84">
        <f t="shared" si="7"/>
        <v>258.69999999999993</v>
      </c>
      <c r="M16" s="84">
        <f t="shared" si="7"/>
        <v>647.70000000000005</v>
      </c>
      <c r="N16" s="84">
        <f t="shared" si="7"/>
        <v>753.69999999999936</v>
      </c>
      <c r="P16" t="s">
        <v>106</v>
      </c>
      <c r="Q16" s="125">
        <f>ABS(SUM(N8:N9))/N5</f>
        <v>8.1699005494123358E-2</v>
      </c>
    </row>
    <row r="17" spans="1:23" x14ac:dyDescent="0.3">
      <c r="B17" s="37" t="s">
        <v>70</v>
      </c>
      <c r="E17" s="86">
        <f>-IS!B63</f>
        <v>-109.2</v>
      </c>
      <c r="F17" s="86">
        <f>-IS!C63</f>
        <v>-93.1</v>
      </c>
      <c r="G17" s="86">
        <f>-IS!D63</f>
        <v>-41.9</v>
      </c>
      <c r="H17" s="86">
        <f>-IS!E63</f>
        <v>-143.69999999999999</v>
      </c>
      <c r="I17" s="86">
        <f>-IS!F63</f>
        <v>-176.8</v>
      </c>
      <c r="J17" s="86">
        <f>-IS!G63</f>
        <v>-90.7</v>
      </c>
      <c r="K17" s="86">
        <f>-IS!H63</f>
        <v>-191.7</v>
      </c>
      <c r="L17" s="86">
        <f>-IS!I63</f>
        <v>-32.200000000000003</v>
      </c>
      <c r="M17" s="86">
        <f>-IS!J63</f>
        <v>-145.4</v>
      </c>
      <c r="N17" s="86">
        <f>-IS!K63</f>
        <v>-220.5</v>
      </c>
      <c r="P17" t="s">
        <v>107</v>
      </c>
      <c r="Q17" s="125">
        <f>ABS(N11)/N5</f>
        <v>7.976041449335837E-2</v>
      </c>
    </row>
    <row r="18" spans="1:23" x14ac:dyDescent="0.3">
      <c r="B18" s="83" t="s">
        <v>108</v>
      </c>
      <c r="C18" s="83"/>
      <c r="D18" s="83"/>
      <c r="E18" s="84">
        <f t="shared" ref="E18:N18" si="8">SUM(E16:E17)</f>
        <v>296.79999999999973</v>
      </c>
      <c r="F18" s="84">
        <f t="shared" si="8"/>
        <v>389.39999999999986</v>
      </c>
      <c r="G18" s="84">
        <f t="shared" si="8"/>
        <v>676.2</v>
      </c>
      <c r="H18" s="84">
        <f t="shared" si="8"/>
        <v>454.09999999999906</v>
      </c>
      <c r="I18" s="84">
        <f t="shared" si="8"/>
        <v>525.09999999999968</v>
      </c>
      <c r="J18" s="84">
        <f t="shared" si="8"/>
        <v>366.20000000000016</v>
      </c>
      <c r="K18" s="84">
        <f t="shared" si="8"/>
        <v>699.39999999999964</v>
      </c>
      <c r="L18" s="84">
        <f t="shared" si="8"/>
        <v>226.49999999999994</v>
      </c>
      <c r="M18" s="84">
        <f t="shared" si="8"/>
        <v>502.30000000000007</v>
      </c>
      <c r="N18" s="84">
        <f t="shared" si="8"/>
        <v>533.19999999999936</v>
      </c>
      <c r="P18" t="s">
        <v>109</v>
      </c>
      <c r="Q18" s="125">
        <f>ABS(N13)/N5</f>
        <v>1.68040197510258E-2</v>
      </c>
    </row>
    <row r="19" spans="1:23" x14ac:dyDescent="0.3">
      <c r="B19" s="37" t="s">
        <v>110</v>
      </c>
      <c r="E19" s="86">
        <f>IS!B37+IS!B52-E15-SUM(IS!B73,IS!B70)</f>
        <v>-79.8</v>
      </c>
      <c r="F19" s="86">
        <f>IS!C37+IS!C52-F15-SUM(IS!C73,IS!C70)</f>
        <v>-143.79999999999998</v>
      </c>
      <c r="G19" s="86">
        <f>IS!D37+IS!D52-G15-SUM(IS!D73,IS!D70)</f>
        <v>-251.4</v>
      </c>
      <c r="H19" s="86">
        <f>IS!E37+IS!E52-H15-SUM(IS!E73,IS!E70)</f>
        <v>-54.29999999999999</v>
      </c>
      <c r="I19" s="86">
        <f>IS!F37+IS!F52-I15-SUM(IS!F73,IS!F70)</f>
        <v>-70.300000000000026</v>
      </c>
      <c r="J19" s="86">
        <f>IS!G37+IS!G52-J15-SUM(IS!G73,IS!G70)</f>
        <v>-150.9</v>
      </c>
      <c r="K19" s="86">
        <f>IS!H37+IS!H52-K15-SUM(IS!H73,IS!H70)</f>
        <v>-131.1</v>
      </c>
      <c r="L19" s="86">
        <f>IS!I37+IS!I52-L15-SUM(IS!I73,IS!I70)</f>
        <v>-128.50000000000003</v>
      </c>
      <c r="M19" s="86">
        <f>IS!J37+IS!J52-M15-SUM(IS!J73,IS!J70)</f>
        <v>-196.49999999999997</v>
      </c>
      <c r="N19" s="86">
        <f>IS!K37+IS!K52-N15-SUM(IS!K73,IS!K70)</f>
        <v>-172.79999999999998</v>
      </c>
      <c r="P19" t="s">
        <v>111</v>
      </c>
      <c r="Q19" s="125">
        <f>ABS(N15)/N5</f>
        <v>1.5039293414006536E-2</v>
      </c>
    </row>
    <row r="20" spans="1:23" x14ac:dyDescent="0.3">
      <c r="B20" s="83" t="s">
        <v>112</v>
      </c>
      <c r="C20" s="83"/>
      <c r="D20" s="83"/>
      <c r="E20" s="84">
        <f t="shared" ref="E20:N20" si="9">SUM(E18:E19)</f>
        <v>216.99999999999972</v>
      </c>
      <c r="F20" s="84">
        <f t="shared" si="9"/>
        <v>245.59999999999988</v>
      </c>
      <c r="G20" s="84">
        <f t="shared" si="9"/>
        <v>424.80000000000007</v>
      </c>
      <c r="H20" s="84">
        <f t="shared" si="9"/>
        <v>399.79999999999905</v>
      </c>
      <c r="I20" s="84">
        <f t="shared" si="9"/>
        <v>454.79999999999967</v>
      </c>
      <c r="J20" s="84">
        <f t="shared" si="9"/>
        <v>215.30000000000015</v>
      </c>
      <c r="K20" s="84">
        <f t="shared" si="9"/>
        <v>568.29999999999961</v>
      </c>
      <c r="L20" s="84">
        <f t="shared" si="9"/>
        <v>97.999999999999915</v>
      </c>
      <c r="M20" s="84">
        <f t="shared" si="9"/>
        <v>305.80000000000007</v>
      </c>
      <c r="N20" s="84">
        <f t="shared" si="9"/>
        <v>360.39999999999941</v>
      </c>
      <c r="P20" t="s">
        <v>113</v>
      </c>
      <c r="Q20" s="125">
        <f>ABS(N17)/N5</f>
        <v>1.9168579177967868E-2</v>
      </c>
    </row>
    <row r="21" spans="1:23" x14ac:dyDescent="0.3">
      <c r="B21" s="34"/>
      <c r="C21" s="34"/>
      <c r="D21" s="34"/>
      <c r="E21" s="82"/>
      <c r="F21" s="82"/>
      <c r="G21" s="82"/>
      <c r="H21" s="82"/>
      <c r="I21" s="82"/>
      <c r="J21" s="82"/>
      <c r="K21" s="82"/>
      <c r="L21" s="82"/>
      <c r="M21" s="82"/>
      <c r="N21" s="82"/>
      <c r="P21" t="s">
        <v>114</v>
      </c>
      <c r="Q21" s="125">
        <f>ABS(N19)/N5</f>
        <v>1.5021906947631961E-2</v>
      </c>
    </row>
    <row r="22" spans="1:23" ht="17.600000000000001" x14ac:dyDescent="0.4">
      <c r="B22" s="2" t="s">
        <v>115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P22" t="s">
        <v>116</v>
      </c>
      <c r="Q22" s="125">
        <f>N20/N5</f>
        <v>3.1330412406982353E-2</v>
      </c>
    </row>
    <row r="23" spans="1:23" x14ac:dyDescent="0.3">
      <c r="P23" t="s">
        <v>57</v>
      </c>
      <c r="Q23" s="125">
        <f>SUM(Q15:Q22)</f>
        <v>0.99999999999999989</v>
      </c>
    </row>
    <row r="24" spans="1:23" x14ac:dyDescent="0.3">
      <c r="B24" s="31" t="s">
        <v>93</v>
      </c>
      <c r="C24" s="31"/>
      <c r="D24" s="31"/>
      <c r="E24" s="35">
        <v>2015</v>
      </c>
      <c r="F24" s="35">
        <f>+E24+1</f>
        <v>2016</v>
      </c>
      <c r="G24" s="35">
        <f t="shared" ref="G24" si="10">+F24+1</f>
        <v>2017</v>
      </c>
      <c r="H24" s="35">
        <f t="shared" ref="H24" si="11">+G24+1</f>
        <v>2018</v>
      </c>
      <c r="I24" s="35">
        <f t="shared" ref="I24" si="12">+H24+1</f>
        <v>2019</v>
      </c>
      <c r="J24" s="35">
        <f t="shared" ref="J24" si="13">+I24+1</f>
        <v>2020</v>
      </c>
      <c r="K24" s="35">
        <f t="shared" ref="K24" si="14">+J24+1</f>
        <v>2021</v>
      </c>
      <c r="L24" s="35">
        <f t="shared" ref="L24" si="15">+K24+1</f>
        <v>2022</v>
      </c>
      <c r="M24" s="35">
        <f t="shared" ref="M24" si="16">+L24+1</f>
        <v>2023</v>
      </c>
      <c r="N24" s="35">
        <f t="shared" ref="N24" si="17">+M24+1</f>
        <v>2024</v>
      </c>
    </row>
    <row r="25" spans="1:23" x14ac:dyDescent="0.3">
      <c r="B25" t="s">
        <v>117</v>
      </c>
      <c r="E25" s="86">
        <f>CF!B32</f>
        <v>424.3</v>
      </c>
      <c r="F25" s="86">
        <f>CF!C32</f>
        <v>332.4</v>
      </c>
      <c r="G25" s="86">
        <f>CF!D32</f>
        <v>554.20000000000005</v>
      </c>
      <c r="H25" s="86">
        <f>CF!E32</f>
        <v>620.29999999999995</v>
      </c>
      <c r="I25" s="86">
        <f>CF!F32</f>
        <v>694.6</v>
      </c>
      <c r="J25" s="86">
        <f>CF!G32</f>
        <v>349.2</v>
      </c>
      <c r="K25" s="86">
        <f>CF!H32</f>
        <v>710.2</v>
      </c>
      <c r="L25" s="86">
        <f>CF!I32</f>
        <v>-518.4</v>
      </c>
      <c r="M25" s="86">
        <f>CF!J32</f>
        <v>928.6</v>
      </c>
      <c r="N25" s="86">
        <f>CF!K32</f>
        <v>1089.5999999999999</v>
      </c>
      <c r="Q25" s="34"/>
      <c r="R25" s="34"/>
      <c r="S25" s="34"/>
      <c r="T25" s="34"/>
      <c r="U25" s="34"/>
      <c r="V25" s="34"/>
    </row>
    <row r="26" spans="1:23" x14ac:dyDescent="0.3">
      <c r="B26" t="s">
        <v>118</v>
      </c>
      <c r="E26" s="86">
        <f>-CF!B34</f>
        <v>-128.5</v>
      </c>
      <c r="F26" s="86">
        <f>-CF!C34</f>
        <v>-160.30000000000001</v>
      </c>
      <c r="G26" s="86">
        <f>-CF!D34</f>
        <v>-214.3</v>
      </c>
      <c r="H26" s="86">
        <f>-CF!E34</f>
        <v>-253.4</v>
      </c>
      <c r="I26" s="86">
        <f>-CF!F34</f>
        <v>-283.8</v>
      </c>
      <c r="J26" s="86">
        <f>-CF!G34</f>
        <v>-278.10000000000002</v>
      </c>
      <c r="K26" s="86">
        <f>-CF!H34</f>
        <v>-317</v>
      </c>
      <c r="L26" s="86">
        <f>-CF!I34</f>
        <v>-375.2</v>
      </c>
      <c r="M26" s="86">
        <f>-CF!J34</f>
        <v>-427.6</v>
      </c>
      <c r="N26" s="86">
        <f>-CF!K34</f>
        <v>-453.7</v>
      </c>
      <c r="P26" t="s">
        <v>64</v>
      </c>
      <c r="Q26" s="36">
        <f>I10</f>
        <v>1646.6999999999996</v>
      </c>
      <c r="R26" s="36">
        <f t="shared" ref="R26:V26" si="18">J10</f>
        <v>1413.8000000000002</v>
      </c>
      <c r="S26" s="36">
        <f t="shared" si="18"/>
        <v>1845.6999999999996</v>
      </c>
      <c r="T26" s="36">
        <f t="shared" si="18"/>
        <v>1306.0999999999999</v>
      </c>
      <c r="U26" s="36">
        <f t="shared" si="18"/>
        <v>1833</v>
      </c>
      <c r="V26" s="36">
        <f t="shared" si="18"/>
        <v>2037.4999999999993</v>
      </c>
      <c r="W26" s="166" t="s">
        <v>119</v>
      </c>
    </row>
    <row r="27" spans="1:23" x14ac:dyDescent="0.3">
      <c r="B27" s="177" t="s">
        <v>120</v>
      </c>
      <c r="C27" s="177"/>
      <c r="D27" s="177"/>
      <c r="E27" s="178">
        <f>CF!B51</f>
        <v>-223.9</v>
      </c>
      <c r="F27" s="178">
        <f>CF!C51</f>
        <v>1744</v>
      </c>
      <c r="G27" s="178">
        <f>CF!D51</f>
        <v>-914.7</v>
      </c>
      <c r="H27" s="178">
        <f>CF!E51</f>
        <v>-230.9</v>
      </c>
      <c r="I27" s="178">
        <f>CF!F51</f>
        <v>-226.1</v>
      </c>
      <c r="J27" s="178">
        <f>CF!G51</f>
        <v>-609.5</v>
      </c>
      <c r="K27" s="178">
        <f>CF!H51</f>
        <v>-148.80000000000001</v>
      </c>
      <c r="L27" s="178">
        <f>CF!I51</f>
        <v>942.4</v>
      </c>
      <c r="M27" s="178">
        <f>CF!J51</f>
        <v>-474.2</v>
      </c>
      <c r="N27" s="178">
        <f>CF!K51</f>
        <v>23.6</v>
      </c>
      <c r="P27" t="s">
        <v>121</v>
      </c>
      <c r="Q27" s="125">
        <f t="shared" ref="Q27:V27" si="19">Q26/Q3</f>
        <v>0.18698688468744673</v>
      </c>
      <c r="R27" s="125">
        <f t="shared" si="19"/>
        <v>0.16948786803490939</v>
      </c>
      <c r="S27" s="125">
        <f t="shared" si="19"/>
        <v>0.17929339537413905</v>
      </c>
      <c r="T27" s="125">
        <f t="shared" si="19"/>
        <v>0.11729049175616939</v>
      </c>
      <c r="U27" s="125">
        <f t="shared" si="19"/>
        <v>0.16031555839317105</v>
      </c>
      <c r="V27" s="125">
        <f t="shared" si="19"/>
        <v>0.17712462619097288</v>
      </c>
      <c r="W27" s="165">
        <f>AVERAGE(Q27:V27)</f>
        <v>0.16508313740613476</v>
      </c>
    </row>
    <row r="28" spans="1:23" x14ac:dyDescent="0.3">
      <c r="B28" s="34" t="s">
        <v>122</v>
      </c>
      <c r="C28" s="34"/>
      <c r="D28" s="34"/>
      <c r="E28" s="82">
        <f>E25+E26+E27</f>
        <v>71.900000000000006</v>
      </c>
      <c r="F28" s="82">
        <f t="shared" ref="F28:N28" si="20">F25+F26+F27</f>
        <v>1916.1</v>
      </c>
      <c r="G28" s="82">
        <f t="shared" si="20"/>
        <v>-574.79999999999995</v>
      </c>
      <c r="H28" s="82">
        <f t="shared" si="20"/>
        <v>135.99999999999997</v>
      </c>
      <c r="I28" s="82">
        <f t="shared" si="20"/>
        <v>184.70000000000002</v>
      </c>
      <c r="J28" s="82">
        <f t="shared" si="20"/>
        <v>-538.40000000000009</v>
      </c>
      <c r="K28" s="82">
        <f t="shared" si="20"/>
        <v>244.40000000000003</v>
      </c>
      <c r="L28" s="82">
        <f t="shared" si="20"/>
        <v>48.800000000000068</v>
      </c>
      <c r="M28" s="82">
        <f t="shared" si="20"/>
        <v>26.800000000000011</v>
      </c>
      <c r="N28" s="82">
        <f t="shared" si="20"/>
        <v>659.49999999999989</v>
      </c>
    </row>
    <row r="29" spans="1:23" x14ac:dyDescent="0.3">
      <c r="B29" s="34"/>
      <c r="C29" s="34"/>
      <c r="D29" s="34"/>
      <c r="E29" s="82"/>
      <c r="F29" s="82"/>
      <c r="G29" s="82"/>
      <c r="H29" s="82"/>
      <c r="I29" s="82"/>
      <c r="J29" s="82"/>
      <c r="K29" s="82"/>
      <c r="L29" s="82"/>
      <c r="M29" s="82"/>
      <c r="N29" s="82"/>
    </row>
    <row r="30" spans="1:23" ht="17.600000000000001" x14ac:dyDescent="0.4">
      <c r="A30" t="s">
        <v>1</v>
      </c>
      <c r="B30" s="2" t="s">
        <v>123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2" spans="1:23" x14ac:dyDescent="0.3">
      <c r="B32" s="31" t="s">
        <v>93</v>
      </c>
      <c r="C32" s="31"/>
      <c r="D32" s="31"/>
      <c r="E32" s="35">
        <v>2015</v>
      </c>
      <c r="F32" s="35">
        <f>+E32+1</f>
        <v>2016</v>
      </c>
      <c r="G32" s="35">
        <f t="shared" ref="G32:N32" si="21">+F32+1</f>
        <v>2017</v>
      </c>
      <c r="H32" s="35">
        <f t="shared" si="21"/>
        <v>2018</v>
      </c>
      <c r="I32" s="35">
        <f t="shared" si="21"/>
        <v>2019</v>
      </c>
      <c r="J32" s="35">
        <f t="shared" si="21"/>
        <v>2020</v>
      </c>
      <c r="K32" s="35">
        <f t="shared" si="21"/>
        <v>2021</v>
      </c>
      <c r="L32" s="35">
        <f t="shared" si="21"/>
        <v>2022</v>
      </c>
      <c r="M32" s="35">
        <f t="shared" si="21"/>
        <v>2023</v>
      </c>
      <c r="N32" s="35">
        <f t="shared" si="21"/>
        <v>2024</v>
      </c>
    </row>
    <row r="33" spans="2:23" x14ac:dyDescent="0.3">
      <c r="B33" s="32" t="s">
        <v>124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</row>
    <row r="34" spans="2:23" x14ac:dyDescent="0.3">
      <c r="B34" s="37" t="s">
        <v>125</v>
      </c>
      <c r="E34" s="86">
        <f>BS!D17</f>
        <v>140.5</v>
      </c>
      <c r="F34" s="86">
        <f>BS!E17</f>
        <v>326.5</v>
      </c>
      <c r="G34" s="86">
        <f>BS!F17</f>
        <v>231.5</v>
      </c>
      <c r="H34" s="86">
        <f>BS!G17</f>
        <v>211.4</v>
      </c>
      <c r="I34" s="86">
        <f>BS!H17</f>
        <v>249</v>
      </c>
      <c r="J34" s="86">
        <f>BS!I17</f>
        <v>359.8</v>
      </c>
      <c r="K34" s="86">
        <f>BS!J17</f>
        <v>517.6</v>
      </c>
      <c r="L34" s="86">
        <f>BS!K17</f>
        <v>355.9</v>
      </c>
      <c r="M34" s="86">
        <f>BS!L17</f>
        <v>354.5</v>
      </c>
      <c r="N34" s="86">
        <f>BS!M17</f>
        <v>839.8</v>
      </c>
    </row>
    <row r="35" spans="2:23" x14ac:dyDescent="0.3">
      <c r="B35" s="37" t="s">
        <v>126</v>
      </c>
      <c r="E35" s="86">
        <f>BS!D21</f>
        <v>5.3</v>
      </c>
      <c r="F35" s="86">
        <f>BS!E21</f>
        <v>10.3</v>
      </c>
      <c r="G35" s="86">
        <f>BS!F21</f>
        <v>30</v>
      </c>
      <c r="H35" s="86">
        <f>BS!G21</f>
        <v>8.9</v>
      </c>
      <c r="I35" s="86">
        <f>BS!H21</f>
        <v>9.4</v>
      </c>
      <c r="J35" s="86">
        <f>BS!I21</f>
        <v>15</v>
      </c>
      <c r="K35" s="86">
        <f>BS!J21</f>
        <v>8.9</v>
      </c>
      <c r="L35" s="86">
        <f>BS!K21</f>
        <v>20.5</v>
      </c>
      <c r="M35" s="86">
        <f>BS!L21</f>
        <v>10.199999999999999</v>
      </c>
      <c r="N35" s="86">
        <f>BS!M21</f>
        <v>12.7</v>
      </c>
    </row>
    <row r="36" spans="2:23" x14ac:dyDescent="0.3">
      <c r="B36" s="37" t="s">
        <v>127</v>
      </c>
      <c r="E36" s="86">
        <f>BS!D22</f>
        <v>898.3</v>
      </c>
      <c r="F36" s="86">
        <f>BS!E22</f>
        <v>1292.3</v>
      </c>
      <c r="G36" s="86">
        <f>BS!F22</f>
        <v>1410.8</v>
      </c>
      <c r="H36" s="86">
        <f>BS!G22</f>
        <v>1550.3</v>
      </c>
      <c r="I36" s="86">
        <f>BS!H22</f>
        <v>1666.3</v>
      </c>
      <c r="J36" s="86">
        <f>BS!I22</f>
        <v>1861.7</v>
      </c>
      <c r="K36" s="86">
        <f>BS!J22</f>
        <v>2481.6</v>
      </c>
      <c r="L36" s="86">
        <f>BS!K22</f>
        <v>2846.3</v>
      </c>
      <c r="M36" s="86">
        <f>BS!L22</f>
        <v>2923.8</v>
      </c>
      <c r="N36" s="86">
        <f>BS!M22</f>
        <v>2884.9</v>
      </c>
    </row>
    <row r="37" spans="2:23" x14ac:dyDescent="0.3">
      <c r="B37" s="37" t="s">
        <v>128</v>
      </c>
      <c r="E37" s="86">
        <f>BS!D29</f>
        <v>553.5</v>
      </c>
      <c r="F37" s="86">
        <f>BS!E29</f>
        <v>672.4</v>
      </c>
      <c r="G37" s="86">
        <f>BS!F29</f>
        <v>768.6</v>
      </c>
      <c r="H37" s="86">
        <f>BS!G29</f>
        <v>994.8</v>
      </c>
      <c r="I37" s="86">
        <f>BS!H29</f>
        <v>1085.3</v>
      </c>
      <c r="J37" s="86">
        <f>BS!I29</f>
        <v>1101</v>
      </c>
      <c r="K37" s="86">
        <f>BS!J29</f>
        <v>1632.1</v>
      </c>
      <c r="L37" s="86">
        <f>BS!K29</f>
        <v>1804.6</v>
      </c>
      <c r="M37" s="86">
        <f>BS!L29</f>
        <v>1817.1</v>
      </c>
      <c r="N37" s="86">
        <f>BS!M29</f>
        <v>1748.6</v>
      </c>
    </row>
    <row r="38" spans="2:23" x14ac:dyDescent="0.3">
      <c r="B38" s="37" t="s">
        <v>129</v>
      </c>
      <c r="E38" s="86">
        <f>BS!D34</f>
        <v>0</v>
      </c>
      <c r="F38" s="86">
        <f>BS!E34</f>
        <v>0</v>
      </c>
      <c r="G38" s="86">
        <f>BS!F34</f>
        <v>0</v>
      </c>
      <c r="H38" s="86">
        <f>BS!G34</f>
        <v>0</v>
      </c>
      <c r="I38" s="86">
        <f>BS!H34</f>
        <v>0</v>
      </c>
      <c r="J38" s="86">
        <f>BS!I34</f>
        <v>0</v>
      </c>
      <c r="K38" s="86">
        <f>BS!J34</f>
        <v>0</v>
      </c>
      <c r="L38" s="86">
        <f>BS!K34</f>
        <v>27.4</v>
      </c>
      <c r="M38" s="86">
        <f>BS!L34</f>
        <v>55.2</v>
      </c>
      <c r="N38" s="86">
        <f>BS!M34</f>
        <v>0</v>
      </c>
    </row>
    <row r="39" spans="2:23" x14ac:dyDescent="0.3">
      <c r="B39" s="37" t="s">
        <v>130</v>
      </c>
      <c r="E39" s="86">
        <f>BS!D35</f>
        <v>32.299999999999997</v>
      </c>
      <c r="F39" s="86">
        <f>BS!E35</f>
        <v>53.1</v>
      </c>
      <c r="G39" s="86">
        <f>BS!F35</f>
        <v>40.6</v>
      </c>
      <c r="H39" s="86">
        <f>BS!G35</f>
        <v>52.8</v>
      </c>
      <c r="I39" s="86">
        <f>BS!H35</f>
        <v>58.8</v>
      </c>
      <c r="J39" s="86">
        <f>BS!I35</f>
        <v>51.9</v>
      </c>
      <c r="K39" s="86">
        <f>BS!J35</f>
        <v>57.7</v>
      </c>
      <c r="L39" s="86">
        <f>BS!K35</f>
        <v>61.1</v>
      </c>
      <c r="M39" s="86">
        <f>BS!L35</f>
        <v>62.5</v>
      </c>
      <c r="N39" s="86">
        <f>BS!M35</f>
        <v>83</v>
      </c>
      <c r="P39" t="s">
        <v>131</v>
      </c>
      <c r="Q39" s="36">
        <f t="shared" ref="Q39:V39" si="22">I20</f>
        <v>454.79999999999967</v>
      </c>
      <c r="R39" s="36">
        <f t="shared" si="22"/>
        <v>215.30000000000015</v>
      </c>
      <c r="S39" s="36">
        <f t="shared" si="22"/>
        <v>568.29999999999961</v>
      </c>
      <c r="T39" s="36">
        <f t="shared" si="22"/>
        <v>97.999999999999915</v>
      </c>
      <c r="U39" s="36">
        <f t="shared" si="22"/>
        <v>305.80000000000007</v>
      </c>
      <c r="V39" s="36">
        <f t="shared" si="22"/>
        <v>360.39999999999941</v>
      </c>
      <c r="W39" s="166" t="s">
        <v>119</v>
      </c>
    </row>
    <row r="40" spans="2:23" x14ac:dyDescent="0.3">
      <c r="B40" s="83" t="s">
        <v>132</v>
      </c>
      <c r="C40" s="85"/>
      <c r="D40" s="85"/>
      <c r="E40" s="84">
        <f>SUM(E34:E39)</f>
        <v>1629.8999999999999</v>
      </c>
      <c r="F40" s="84">
        <f t="shared" ref="F40:N40" si="23">SUM(F34:F39)</f>
        <v>2354.6</v>
      </c>
      <c r="G40" s="84">
        <f t="shared" si="23"/>
        <v>2481.5</v>
      </c>
      <c r="H40" s="84">
        <f t="shared" si="23"/>
        <v>2818.2</v>
      </c>
      <c r="I40" s="84">
        <f t="shared" si="23"/>
        <v>3068.8</v>
      </c>
      <c r="J40" s="84">
        <f t="shared" si="23"/>
        <v>3389.4</v>
      </c>
      <c r="K40" s="84">
        <f t="shared" si="23"/>
        <v>4697.8999999999996</v>
      </c>
      <c r="L40" s="84">
        <f t="shared" si="23"/>
        <v>5115.8</v>
      </c>
      <c r="M40" s="84">
        <f t="shared" si="23"/>
        <v>5223.3</v>
      </c>
      <c r="N40" s="84">
        <f t="shared" si="23"/>
        <v>5569</v>
      </c>
      <c r="P40" t="s">
        <v>133</v>
      </c>
      <c r="Q40" s="125">
        <f t="shared" ref="Q40:V40" si="24">Q39/Q3</f>
        <v>5.1643672287514868E-2</v>
      </c>
      <c r="R40" s="125">
        <f t="shared" si="24"/>
        <v>2.5810396087081633E-2</v>
      </c>
      <c r="S40" s="125">
        <f t="shared" si="24"/>
        <v>5.5205307791690514E-2</v>
      </c>
      <c r="T40" s="125">
        <f t="shared" si="24"/>
        <v>8.8006034699522166E-3</v>
      </c>
      <c r="U40" s="125">
        <f t="shared" si="24"/>
        <v>2.6745497957791447E-2</v>
      </c>
      <c r="V40" s="125">
        <f t="shared" si="24"/>
        <v>3.1330412406982353E-2</v>
      </c>
      <c r="W40" s="165">
        <f>AVERAGE(Q40:V40)</f>
        <v>3.32559816668355E-2</v>
      </c>
    </row>
    <row r="42" spans="2:23" x14ac:dyDescent="0.3">
      <c r="B42" s="32" t="s">
        <v>134</v>
      </c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</row>
    <row r="43" spans="2:23" x14ac:dyDescent="0.3">
      <c r="B43" s="37" t="s">
        <v>135</v>
      </c>
      <c r="E43" s="86">
        <f>BS!D41</f>
        <v>43.2</v>
      </c>
      <c r="F43" s="86">
        <f>BS!E41</f>
        <v>42.9</v>
      </c>
      <c r="G43" s="86">
        <f>BS!F41</f>
        <v>54.9</v>
      </c>
      <c r="H43" s="86">
        <f>BS!G41</f>
        <v>51.8</v>
      </c>
      <c r="I43" s="86">
        <f>BS!H41</f>
        <v>60.8</v>
      </c>
      <c r="J43" s="86">
        <f>BS!I41</f>
        <v>80</v>
      </c>
      <c r="K43" s="86">
        <f>BS!J41</f>
        <v>95</v>
      </c>
      <c r="L43" s="86">
        <f>BS!K41</f>
        <v>106.3</v>
      </c>
      <c r="M43" s="86">
        <f>BS!L41</f>
        <v>123.3</v>
      </c>
      <c r="N43" s="86">
        <f>BS!M41</f>
        <v>161.5</v>
      </c>
    </row>
    <row r="44" spans="2:23" x14ac:dyDescent="0.3">
      <c r="B44" s="37" t="s">
        <v>136</v>
      </c>
      <c r="E44" s="86">
        <f>BS!D43</f>
        <v>73.599999999999994</v>
      </c>
      <c r="F44" s="86">
        <f>BS!E43</f>
        <v>72.7</v>
      </c>
      <c r="G44" s="86">
        <f>BS!F43</f>
        <v>80.3</v>
      </c>
      <c r="H44" s="86">
        <f>BS!G43</f>
        <v>82.3</v>
      </c>
      <c r="I44" s="86">
        <f>BS!H43</f>
        <v>84.5</v>
      </c>
      <c r="J44" s="86">
        <f>BS!I43</f>
        <v>78.8</v>
      </c>
      <c r="K44" s="86">
        <f>BS!J43</f>
        <v>84.3</v>
      </c>
      <c r="L44" s="86">
        <f>BS!K43</f>
        <v>94.7</v>
      </c>
      <c r="M44" s="86">
        <f>BS!L43</f>
        <v>103.6</v>
      </c>
      <c r="N44" s="86">
        <f>BS!M43</f>
        <v>110.3</v>
      </c>
    </row>
    <row r="45" spans="2:23" x14ac:dyDescent="0.3">
      <c r="B45" s="37" t="s">
        <v>137</v>
      </c>
      <c r="E45" s="86">
        <f>BS!D44</f>
        <v>474.7</v>
      </c>
      <c r="F45" s="86">
        <f>BS!E44</f>
        <v>535.9</v>
      </c>
      <c r="G45" s="86">
        <f>BS!F44</f>
        <v>650</v>
      </c>
      <c r="H45" s="86">
        <f>BS!G44</f>
        <v>826.2</v>
      </c>
      <c r="I45" s="86">
        <f>BS!H44</f>
        <v>1080.9000000000001</v>
      </c>
      <c r="J45" s="86">
        <f>BS!I44</f>
        <v>1208.7</v>
      </c>
      <c r="K45" s="86">
        <f>BS!J44</f>
        <v>1326.9</v>
      </c>
      <c r="L45" s="86">
        <f>BS!K44</f>
        <v>1383.8</v>
      </c>
      <c r="M45" s="86">
        <f>BS!L44</f>
        <v>1705.5</v>
      </c>
      <c r="N45" s="86">
        <f>BS!M44</f>
        <v>2090.1</v>
      </c>
    </row>
    <row r="46" spans="2:23" x14ac:dyDescent="0.3">
      <c r="B46" s="37" t="s">
        <v>138</v>
      </c>
      <c r="E46" s="86">
        <f>BS!D48</f>
        <v>0</v>
      </c>
      <c r="F46" s="86">
        <f>BS!E48</f>
        <v>0</v>
      </c>
      <c r="G46" s="86">
        <f>BS!F48</f>
        <v>0</v>
      </c>
      <c r="H46" s="86">
        <f>BS!G48</f>
        <v>1</v>
      </c>
      <c r="I46" s="86">
        <f>BS!H48</f>
        <v>2.6</v>
      </c>
      <c r="J46" s="86">
        <f>BS!I48</f>
        <v>2.5</v>
      </c>
      <c r="K46" s="86">
        <f>BS!J48</f>
        <v>4.2</v>
      </c>
      <c r="L46" s="86">
        <f>BS!K48</f>
        <v>78.099999999999994</v>
      </c>
      <c r="M46" s="86">
        <f>BS!L48</f>
        <v>36.9</v>
      </c>
      <c r="N46" s="86">
        <f>BS!M48</f>
        <v>17.600000000000001</v>
      </c>
    </row>
    <row r="47" spans="2:23" x14ac:dyDescent="0.3">
      <c r="B47" s="37" t="s">
        <v>139</v>
      </c>
      <c r="E47" s="86">
        <f>BS!D49</f>
        <v>1387.2</v>
      </c>
      <c r="F47" s="86">
        <f>BS!E49</f>
        <v>1684.1</v>
      </c>
      <c r="G47" s="86">
        <f>BS!F49</f>
        <v>1850.6</v>
      </c>
      <c r="H47" s="86">
        <f>BS!G49</f>
        <v>3010.1</v>
      </c>
      <c r="I47" s="86">
        <f>BS!H49</f>
        <v>3230.4</v>
      </c>
      <c r="J47" s="86">
        <f>BS!I49</f>
        <v>3179.5</v>
      </c>
      <c r="K47" s="86">
        <f>BS!J49</f>
        <v>3381.8</v>
      </c>
      <c r="L47" s="86">
        <f>BS!K49</f>
        <v>3555</v>
      </c>
      <c r="M47" s="86">
        <f>BS!L49</f>
        <v>3942.6</v>
      </c>
      <c r="N47" s="86">
        <f>BS!M49</f>
        <v>4422.8</v>
      </c>
    </row>
    <row r="48" spans="2:23" x14ac:dyDescent="0.3">
      <c r="B48" s="37" t="s">
        <v>140</v>
      </c>
      <c r="E48" s="86">
        <f>BS!D78</f>
        <v>379.1</v>
      </c>
      <c r="F48" s="86">
        <f>BS!E78</f>
        <v>432.3</v>
      </c>
      <c r="G48" s="86">
        <f>BS!F78</f>
        <v>394.7</v>
      </c>
      <c r="H48" s="86">
        <f>BS!G78</f>
        <v>457.6</v>
      </c>
      <c r="I48" s="86">
        <f>BS!H78</f>
        <v>504.8</v>
      </c>
      <c r="J48" s="86">
        <f>BS!I78</f>
        <v>557.20000000000005</v>
      </c>
      <c r="K48" s="86">
        <f>BS!J78</f>
        <v>550.1</v>
      </c>
      <c r="L48" s="86">
        <f>BS!K78</f>
        <v>413.2</v>
      </c>
      <c r="M48" s="86">
        <f>BS!L78</f>
        <v>588.29999999999995</v>
      </c>
      <c r="N48" s="86">
        <f>BS!M78</f>
        <v>619.20000000000005</v>
      </c>
    </row>
    <row r="49" spans="2:14" x14ac:dyDescent="0.3">
      <c r="B49" s="37" t="s">
        <v>141</v>
      </c>
      <c r="E49" s="86">
        <f>BS!D82</f>
        <v>2452.5</v>
      </c>
      <c r="F49" s="86">
        <f>BS!E82</f>
        <v>6236.7</v>
      </c>
      <c r="G49" s="86">
        <f>BS!F82</f>
        <v>5716.4</v>
      </c>
      <c r="H49" s="86">
        <f>BS!G82</f>
        <v>5721.6</v>
      </c>
      <c r="I49" s="86">
        <f>BS!H82</f>
        <v>5732.4</v>
      </c>
      <c r="J49" s="86">
        <f>BS!I82</f>
        <v>5559.6</v>
      </c>
      <c r="K49" s="86">
        <f>BS!J82</f>
        <v>5710.7</v>
      </c>
      <c r="L49" s="86">
        <f>BS!K82</f>
        <v>5781.5</v>
      </c>
      <c r="M49" s="86">
        <f>BS!L82</f>
        <v>5664.9</v>
      </c>
      <c r="N49" s="86">
        <f>BS!M82</f>
        <v>5814.9</v>
      </c>
    </row>
    <row r="50" spans="2:14" x14ac:dyDescent="0.3">
      <c r="B50" s="83" t="s">
        <v>142</v>
      </c>
      <c r="C50" s="85"/>
      <c r="D50" s="85"/>
      <c r="E50" s="84">
        <f t="shared" ref="E50:N50" si="25">SUM(E43:E49)</f>
        <v>4810.3</v>
      </c>
      <c r="F50" s="84">
        <f t="shared" si="25"/>
        <v>9004.6</v>
      </c>
      <c r="G50" s="84">
        <f t="shared" si="25"/>
        <v>8746.9</v>
      </c>
      <c r="H50" s="84">
        <f t="shared" si="25"/>
        <v>10150.6</v>
      </c>
      <c r="I50" s="84">
        <f t="shared" si="25"/>
        <v>10696.4</v>
      </c>
      <c r="J50" s="84">
        <f t="shared" si="25"/>
        <v>10666.3</v>
      </c>
      <c r="K50" s="84">
        <f t="shared" si="25"/>
        <v>11153</v>
      </c>
      <c r="L50" s="84">
        <f t="shared" si="25"/>
        <v>11412.599999999999</v>
      </c>
      <c r="M50" s="84">
        <f t="shared" si="25"/>
        <v>12165.099999999999</v>
      </c>
      <c r="N50" s="84">
        <f t="shared" si="25"/>
        <v>13236.4</v>
      </c>
    </row>
    <row r="52" spans="2:14" x14ac:dyDescent="0.3">
      <c r="B52" s="34" t="s">
        <v>143</v>
      </c>
      <c r="E52" s="82">
        <f t="shared" ref="E52:N52" si="26">E40+E50</f>
        <v>6440.2</v>
      </c>
      <c r="F52" s="82">
        <f t="shared" si="26"/>
        <v>11359.2</v>
      </c>
      <c r="G52" s="82">
        <f t="shared" si="26"/>
        <v>11228.4</v>
      </c>
      <c r="H52" s="82">
        <f t="shared" si="26"/>
        <v>12968.8</v>
      </c>
      <c r="I52" s="82">
        <f t="shared" si="26"/>
        <v>13765.2</v>
      </c>
      <c r="J52" s="82">
        <f t="shared" si="26"/>
        <v>14055.699999999999</v>
      </c>
      <c r="K52" s="82">
        <f t="shared" si="26"/>
        <v>15850.9</v>
      </c>
      <c r="L52" s="82">
        <f t="shared" si="26"/>
        <v>16528.399999999998</v>
      </c>
      <c r="M52" s="82">
        <f t="shared" si="26"/>
        <v>17388.399999999998</v>
      </c>
      <c r="N52" s="82">
        <f t="shared" si="26"/>
        <v>18805.400000000001</v>
      </c>
    </row>
    <row r="54" spans="2:14" x14ac:dyDescent="0.3">
      <c r="B54" s="32" t="s">
        <v>144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</row>
    <row r="55" spans="2:14" x14ac:dyDescent="0.3">
      <c r="B55" t="s">
        <v>145</v>
      </c>
      <c r="E55" s="86">
        <f>BS!D104</f>
        <v>797.4</v>
      </c>
      <c r="F55" s="86">
        <f>BS!E104</f>
        <v>1103.4000000000001</v>
      </c>
      <c r="G55" s="86">
        <f>BS!F104</f>
        <v>1225.0999999999999</v>
      </c>
      <c r="H55" s="86">
        <f>BS!G104</f>
        <v>1222.5999999999999</v>
      </c>
      <c r="I55" s="86">
        <f>BS!H104</f>
        <v>1325.6</v>
      </c>
      <c r="J55" s="86">
        <f>BS!I104</f>
        <v>1234.2</v>
      </c>
      <c r="K55" s="86">
        <f>BS!J104</f>
        <v>1858.3</v>
      </c>
      <c r="L55" s="86">
        <f>BS!K104</f>
        <v>1533.9</v>
      </c>
      <c r="M55" s="86">
        <f>BS!L104</f>
        <v>1700.5</v>
      </c>
      <c r="N55" s="86">
        <f>BS!M104</f>
        <v>1686.7</v>
      </c>
    </row>
    <row r="56" spans="2:14" x14ac:dyDescent="0.3">
      <c r="B56" t="s">
        <v>146</v>
      </c>
      <c r="E56" s="86">
        <f>BS!D107</f>
        <v>484.6</v>
      </c>
      <c r="F56" s="86">
        <f>BS!E107</f>
        <v>715.1</v>
      </c>
      <c r="G56" s="86">
        <f>BS!F107</f>
        <v>735.9</v>
      </c>
      <c r="H56" s="86">
        <f>BS!G107</f>
        <v>1224.9000000000001</v>
      </c>
      <c r="I56" s="86">
        <f>BS!H107</f>
        <v>1407.6</v>
      </c>
      <c r="J56" s="86">
        <f>BS!I107</f>
        <v>1362.5</v>
      </c>
      <c r="K56" s="86">
        <f>BS!J107</f>
        <v>1712.9</v>
      </c>
      <c r="L56" s="86">
        <f>BS!K107</f>
        <v>1835.1</v>
      </c>
      <c r="M56" s="86">
        <f>BS!L107</f>
        <v>1607.4</v>
      </c>
      <c r="N56" s="86">
        <f>BS!M107</f>
        <v>2258.1</v>
      </c>
    </row>
    <row r="57" spans="2:14" x14ac:dyDescent="0.3">
      <c r="B57" t="s">
        <v>147</v>
      </c>
      <c r="E57" s="86">
        <f>BS!D111</f>
        <v>12.4</v>
      </c>
      <c r="F57" s="86">
        <f>BS!E111</f>
        <v>22.4</v>
      </c>
      <c r="G57" s="86">
        <f>BS!F111</f>
        <v>3.3</v>
      </c>
      <c r="H57" s="86">
        <f>BS!G111</f>
        <v>6.4</v>
      </c>
      <c r="I57" s="86">
        <f>BS!H111</f>
        <v>12.8</v>
      </c>
      <c r="J57" s="86">
        <f>BS!I111</f>
        <v>6.9</v>
      </c>
      <c r="K57" s="86">
        <f>BS!J111</f>
        <v>15.2</v>
      </c>
      <c r="L57" s="86">
        <f>BS!K111</f>
        <v>11.5</v>
      </c>
      <c r="M57" s="86">
        <f>BS!L111</f>
        <v>21.2</v>
      </c>
      <c r="N57" s="86">
        <f>BS!M111</f>
        <v>41</v>
      </c>
    </row>
    <row r="58" spans="2:14" x14ac:dyDescent="0.3">
      <c r="B58" t="s">
        <v>148</v>
      </c>
      <c r="E58" s="86">
        <f>BS!D112</f>
        <v>0</v>
      </c>
      <c r="F58" s="86">
        <f>BS!E112</f>
        <v>0</v>
      </c>
      <c r="G58" s="86">
        <f>BS!F112</f>
        <v>0</v>
      </c>
      <c r="H58" s="86">
        <f>BS!G112</f>
        <v>0</v>
      </c>
      <c r="I58" s="86">
        <f>BS!H112</f>
        <v>0</v>
      </c>
      <c r="J58" s="86">
        <f>BS!I112</f>
        <v>0</v>
      </c>
      <c r="K58" s="86">
        <f>BS!J112</f>
        <v>0</v>
      </c>
      <c r="L58" s="86">
        <f>BS!K112</f>
        <v>27.2</v>
      </c>
      <c r="M58" s="86">
        <f>BS!L112</f>
        <v>45.2</v>
      </c>
      <c r="N58" s="86">
        <f>BS!M112</f>
        <v>0</v>
      </c>
    </row>
    <row r="59" spans="2:14" x14ac:dyDescent="0.3">
      <c r="B59" t="s">
        <v>149</v>
      </c>
      <c r="E59" s="86">
        <f>BS!D113</f>
        <v>144.5</v>
      </c>
      <c r="F59" s="86">
        <f>BS!E113</f>
        <v>155.69999999999999</v>
      </c>
      <c r="G59" s="86">
        <f>BS!F113</f>
        <v>193.4</v>
      </c>
      <c r="H59" s="86">
        <f>BS!G113</f>
        <v>180.2</v>
      </c>
      <c r="I59" s="86">
        <f>BS!H113</f>
        <v>195.9</v>
      </c>
      <c r="J59" s="86">
        <f>BS!I113</f>
        <v>168.9</v>
      </c>
      <c r="K59" s="86">
        <f>BS!J113</f>
        <v>170.2</v>
      </c>
      <c r="L59" s="86">
        <f>BS!K113</f>
        <v>181.3</v>
      </c>
      <c r="M59" s="86">
        <f>BS!L113</f>
        <v>220.5</v>
      </c>
      <c r="N59" s="86">
        <f>BS!M113</f>
        <v>210.5</v>
      </c>
    </row>
    <row r="60" spans="2:14" x14ac:dyDescent="0.3">
      <c r="B60" t="s">
        <v>150</v>
      </c>
      <c r="E60" s="86">
        <f>BS!D114</f>
        <v>292.60000000000002</v>
      </c>
      <c r="F60" s="86">
        <f>BS!E114</f>
        <v>675.9</v>
      </c>
      <c r="G60" s="86">
        <f>BS!F114</f>
        <v>691.9</v>
      </c>
      <c r="H60" s="86">
        <f>BS!G114</f>
        <v>1030.5</v>
      </c>
      <c r="I60" s="86">
        <f>BS!H114</f>
        <v>987.1</v>
      </c>
      <c r="J60" s="86">
        <f>BS!I114</f>
        <v>1045.8</v>
      </c>
      <c r="K60" s="86">
        <f>BS!J114</f>
        <v>1348.7</v>
      </c>
      <c r="L60" s="86">
        <f>BS!K114</f>
        <v>1290.9000000000001</v>
      </c>
      <c r="M60" s="86">
        <f>BS!L114</f>
        <v>1378</v>
      </c>
      <c r="N60" s="86">
        <f>BS!M114</f>
        <v>1313.9</v>
      </c>
    </row>
    <row r="61" spans="2:14" x14ac:dyDescent="0.3">
      <c r="B61" s="83" t="s">
        <v>151</v>
      </c>
      <c r="C61" s="85"/>
      <c r="D61" s="85"/>
      <c r="E61" s="84">
        <f>SUM(E55:E60)</f>
        <v>1731.5</v>
      </c>
      <c r="F61" s="84">
        <f t="shared" ref="F61:N61" si="27">SUM(F55:F60)</f>
        <v>2672.5</v>
      </c>
      <c r="G61" s="84">
        <f t="shared" si="27"/>
        <v>2849.6</v>
      </c>
      <c r="H61" s="84">
        <f t="shared" si="27"/>
        <v>3664.6</v>
      </c>
      <c r="I61" s="84">
        <f t="shared" si="27"/>
        <v>3929</v>
      </c>
      <c r="J61" s="84">
        <f t="shared" si="27"/>
        <v>3818.3</v>
      </c>
      <c r="K61" s="84">
        <f t="shared" si="27"/>
        <v>5105.2999999999993</v>
      </c>
      <c r="L61" s="84">
        <f t="shared" si="27"/>
        <v>4879.8999999999996</v>
      </c>
      <c r="M61" s="84">
        <f t="shared" si="27"/>
        <v>4972.7999999999993</v>
      </c>
      <c r="N61" s="84">
        <f t="shared" si="27"/>
        <v>5510.2000000000007</v>
      </c>
    </row>
    <row r="63" spans="2:14" x14ac:dyDescent="0.3">
      <c r="B63" s="32" t="s">
        <v>152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</row>
    <row r="64" spans="2:14" x14ac:dyDescent="0.3">
      <c r="B64" t="s">
        <v>153</v>
      </c>
      <c r="E64" s="86">
        <f>BS!D121</f>
        <v>1486.5</v>
      </c>
      <c r="F64" s="86">
        <f>BS!E121</f>
        <v>3952.8</v>
      </c>
      <c r="G64" s="86">
        <f>BS!F121</f>
        <v>3205.3</v>
      </c>
      <c r="H64" s="86">
        <f>BS!G121</f>
        <v>3744.5</v>
      </c>
      <c r="I64" s="86">
        <f>BS!H121</f>
        <v>4009.8</v>
      </c>
      <c r="J64" s="86">
        <f>BS!I121</f>
        <v>3603.9</v>
      </c>
      <c r="K64" s="86">
        <f>BS!J121</f>
        <v>3441.1</v>
      </c>
      <c r="L64" s="86">
        <f>BS!K121</f>
        <v>4497.1000000000004</v>
      </c>
      <c r="M64" s="86">
        <f>BS!L121</f>
        <v>5026.8999999999996</v>
      </c>
      <c r="N64" s="86">
        <f>BS!M121</f>
        <v>5434</v>
      </c>
    </row>
    <row r="65" spans="1:14" x14ac:dyDescent="0.3">
      <c r="B65" t="s">
        <v>154</v>
      </c>
      <c r="E65" s="86">
        <f>BS!D125</f>
        <v>0</v>
      </c>
      <c r="F65" s="86">
        <f>BS!E125</f>
        <v>0</v>
      </c>
      <c r="G65" s="86">
        <f>BS!F125</f>
        <v>1.9</v>
      </c>
      <c r="H65" s="86">
        <f>BS!G125</f>
        <v>7.9</v>
      </c>
      <c r="I65" s="86">
        <f>BS!H125</f>
        <v>11.4</v>
      </c>
      <c r="J65" s="86">
        <f>BS!I125</f>
        <v>9.6999999999999993</v>
      </c>
      <c r="K65" s="86">
        <f>BS!J125</f>
        <v>1.4</v>
      </c>
      <c r="L65" s="86">
        <f>BS!K125</f>
        <v>5.4</v>
      </c>
      <c r="M65" s="86">
        <f>BS!L125</f>
        <v>6.5</v>
      </c>
      <c r="N65" s="86">
        <f>BS!M125</f>
        <v>7.1</v>
      </c>
    </row>
    <row r="66" spans="1:14" x14ac:dyDescent="0.3">
      <c r="B66" t="s">
        <v>155</v>
      </c>
      <c r="E66" s="86">
        <f>BS!D126</f>
        <v>302.7</v>
      </c>
      <c r="F66" s="86">
        <f>BS!E126</f>
        <v>905.3</v>
      </c>
      <c r="G66" s="86">
        <f>BS!F126</f>
        <v>665.2</v>
      </c>
      <c r="H66" s="86">
        <f>BS!G126</f>
        <v>626.70000000000005</v>
      </c>
      <c r="I66" s="86">
        <f>BS!H126</f>
        <v>570.9</v>
      </c>
      <c r="J66" s="86">
        <f>BS!I126</f>
        <v>511.1</v>
      </c>
      <c r="K66" s="86">
        <f>BS!J126</f>
        <v>523.5</v>
      </c>
      <c r="L66" s="86">
        <f>BS!K126</f>
        <v>492.8</v>
      </c>
      <c r="M66" s="86">
        <f>BS!L126</f>
        <v>448.9</v>
      </c>
      <c r="N66" s="86">
        <f>BS!M126</f>
        <v>446.7</v>
      </c>
    </row>
    <row r="67" spans="1:14" x14ac:dyDescent="0.3">
      <c r="B67" t="s">
        <v>156</v>
      </c>
      <c r="E67" s="86">
        <f>BS!D128</f>
        <v>1070.8</v>
      </c>
      <c r="F67" s="86">
        <f>BS!E128</f>
        <v>1293.5</v>
      </c>
      <c r="G67" s="86">
        <f>BS!F128</f>
        <v>1357.6</v>
      </c>
      <c r="H67" s="86">
        <f>BS!G128</f>
        <v>1620</v>
      </c>
      <c r="I67" s="86">
        <f>BS!H128</f>
        <v>1685.7</v>
      </c>
      <c r="J67" s="86">
        <f>BS!I128</f>
        <v>1841.9</v>
      </c>
      <c r="K67" s="86">
        <f>BS!J128</f>
        <v>1610.7</v>
      </c>
      <c r="L67" s="86">
        <f>BS!K128</f>
        <v>1045.4000000000001</v>
      </c>
      <c r="M67" s="86">
        <f>BS!L128</f>
        <v>1160.5999999999999</v>
      </c>
      <c r="N67" s="86">
        <f>BS!M128</f>
        <v>1200.3</v>
      </c>
    </row>
    <row r="68" spans="1:14" x14ac:dyDescent="0.3">
      <c r="B68" s="83" t="s">
        <v>157</v>
      </c>
      <c r="C68" s="85"/>
      <c r="D68" s="85"/>
      <c r="E68" s="84">
        <f>SUM(E64:E67)</f>
        <v>2860</v>
      </c>
      <c r="F68" s="84">
        <f t="shared" ref="F68:N68" si="28">SUM(F64:F67)</f>
        <v>6151.6</v>
      </c>
      <c r="G68" s="84">
        <f t="shared" si="28"/>
        <v>5230</v>
      </c>
      <c r="H68" s="84">
        <f t="shared" si="28"/>
        <v>5999.1</v>
      </c>
      <c r="I68" s="84">
        <f t="shared" si="28"/>
        <v>6277.8</v>
      </c>
      <c r="J68" s="84">
        <f t="shared" si="28"/>
        <v>5966.6</v>
      </c>
      <c r="K68" s="84">
        <f t="shared" si="28"/>
        <v>5576.7</v>
      </c>
      <c r="L68" s="84">
        <f t="shared" si="28"/>
        <v>6040.7000000000007</v>
      </c>
      <c r="M68" s="84">
        <f t="shared" si="28"/>
        <v>6642.9</v>
      </c>
      <c r="N68" s="84">
        <f t="shared" si="28"/>
        <v>7088.1</v>
      </c>
    </row>
    <row r="70" spans="1:14" x14ac:dyDescent="0.3">
      <c r="B70" s="32" t="s">
        <v>158</v>
      </c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</row>
    <row r="71" spans="1:14" x14ac:dyDescent="0.3">
      <c r="B71" t="s">
        <v>159</v>
      </c>
      <c r="E71" s="86">
        <f>BS!D152</f>
        <v>1841</v>
      </c>
      <c r="F71" s="86">
        <f>BS!E152</f>
        <v>2529.4</v>
      </c>
      <c r="G71" s="86">
        <f>BS!F152</f>
        <v>3144.4</v>
      </c>
      <c r="H71" s="86">
        <f>BS!G152</f>
        <v>3301.8</v>
      </c>
      <c r="I71" s="86">
        <f>BS!H152</f>
        <v>3567.6</v>
      </c>
      <c r="J71" s="86">
        <f>BS!I152</f>
        <v>4283.8999999999996</v>
      </c>
      <c r="K71" s="86">
        <f>BS!J152</f>
        <v>5177.2</v>
      </c>
      <c r="L71" s="86">
        <f>BS!K152</f>
        <v>5608.7</v>
      </c>
      <c r="M71" s="86">
        <f>BS!L152</f>
        <v>5766.8</v>
      </c>
      <c r="N71" s="86">
        <f>BS!M152</f>
        <v>6189.4</v>
      </c>
    </row>
    <row r="72" spans="1:14" x14ac:dyDescent="0.3">
      <c r="B72" t="s">
        <v>160</v>
      </c>
      <c r="E72" s="86">
        <f>BS!D153</f>
        <v>7.7</v>
      </c>
      <c r="F72" s="86">
        <f>BS!E153</f>
        <v>5.7</v>
      </c>
      <c r="G72" s="86">
        <f>BS!F153</f>
        <v>4.4000000000000004</v>
      </c>
      <c r="H72" s="86">
        <f>BS!G153</f>
        <v>3.3</v>
      </c>
      <c r="I72" s="86">
        <f>BS!H153</f>
        <v>-9.1999999999999993</v>
      </c>
      <c r="J72" s="86">
        <f>BS!I153</f>
        <v>-13.1</v>
      </c>
      <c r="K72" s="86">
        <f>BS!J153</f>
        <v>-8.3000000000000007</v>
      </c>
      <c r="L72" s="86">
        <f>BS!K153</f>
        <v>-0.9</v>
      </c>
      <c r="M72" s="86">
        <f>BS!L153</f>
        <v>5.9</v>
      </c>
      <c r="N72" s="86">
        <f>BS!M153</f>
        <v>17.7</v>
      </c>
    </row>
    <row r="74" spans="1:14" x14ac:dyDescent="0.3">
      <c r="B74" s="34" t="s">
        <v>161</v>
      </c>
      <c r="E74" s="82">
        <f>E68+E71+E72+E61</f>
        <v>6440.2</v>
      </c>
      <c r="F74" s="82">
        <f t="shared" ref="F74:N74" si="29">F68+F71+F72+F61</f>
        <v>11359.2</v>
      </c>
      <c r="G74" s="82">
        <f t="shared" si="29"/>
        <v>11228.4</v>
      </c>
      <c r="H74" s="82">
        <f t="shared" si="29"/>
        <v>12968.800000000001</v>
      </c>
      <c r="I74" s="82">
        <f t="shared" si="29"/>
        <v>13765.199999999999</v>
      </c>
      <c r="J74" s="82">
        <f t="shared" si="29"/>
        <v>14055.7</v>
      </c>
      <c r="K74" s="82">
        <f t="shared" si="29"/>
        <v>15850.9</v>
      </c>
      <c r="L74" s="82">
        <f t="shared" si="29"/>
        <v>16528.400000000001</v>
      </c>
      <c r="M74" s="82">
        <f t="shared" si="29"/>
        <v>17388.400000000001</v>
      </c>
      <c r="N74" s="82">
        <f t="shared" si="29"/>
        <v>18805.400000000001</v>
      </c>
    </row>
    <row r="75" spans="1:14" x14ac:dyDescent="0.3">
      <c r="B75" s="37" t="s">
        <v>162</v>
      </c>
      <c r="E75" s="36">
        <f>E74-E52</f>
        <v>0</v>
      </c>
      <c r="F75" s="36">
        <f t="shared" ref="F75:N75" si="30">F74-F52</f>
        <v>0</v>
      </c>
      <c r="G75" s="36">
        <f t="shared" si="30"/>
        <v>0</v>
      </c>
      <c r="H75" s="36">
        <f t="shared" si="30"/>
        <v>0</v>
      </c>
      <c r="I75" s="36">
        <f t="shared" si="30"/>
        <v>0</v>
      </c>
      <c r="J75" s="36">
        <f t="shared" si="30"/>
        <v>0</v>
      </c>
      <c r="K75" s="36">
        <f t="shared" si="30"/>
        <v>0</v>
      </c>
      <c r="L75" s="36">
        <f t="shared" si="30"/>
        <v>0</v>
      </c>
      <c r="M75" s="36">
        <f t="shared" si="30"/>
        <v>0</v>
      </c>
      <c r="N75" s="36">
        <f t="shared" si="30"/>
        <v>0</v>
      </c>
    </row>
    <row r="77" spans="1:14" ht="17.600000000000001" x14ac:dyDescent="0.4">
      <c r="A77" t="s">
        <v>1</v>
      </c>
      <c r="B77" s="2" t="s">
        <v>163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9" spans="1:14" x14ac:dyDescent="0.3">
      <c r="B79" s="31" t="s">
        <v>93</v>
      </c>
      <c r="C79" s="31"/>
      <c r="D79" s="31"/>
      <c r="E79" s="35">
        <v>2015</v>
      </c>
      <c r="F79" s="35">
        <f>+E79+1</f>
        <v>2016</v>
      </c>
      <c r="G79" s="35">
        <f t="shared" ref="G79" si="31">+F79+1</f>
        <v>2017</v>
      </c>
      <c r="H79" s="35">
        <f t="shared" ref="H79" si="32">+G79+1</f>
        <v>2018</v>
      </c>
      <c r="I79" s="35">
        <f t="shared" ref="I79" si="33">+H79+1</f>
        <v>2019</v>
      </c>
      <c r="J79" s="35">
        <f t="shared" ref="J79" si="34">+I79+1</f>
        <v>2020</v>
      </c>
      <c r="K79" s="35">
        <f t="shared" ref="K79" si="35">+J79+1</f>
        <v>2021</v>
      </c>
      <c r="L79" s="35">
        <f t="shared" ref="L79" si="36">+K79+1</f>
        <v>2022</v>
      </c>
      <c r="M79" s="35">
        <f t="shared" ref="M79" si="37">+L79+1</f>
        <v>2023</v>
      </c>
      <c r="N79" s="35">
        <f t="shared" ref="N79" si="38">+M79+1</f>
        <v>2024</v>
      </c>
    </row>
    <row r="81" spans="2:22" x14ac:dyDescent="0.3">
      <c r="B81" s="32" t="s">
        <v>164</v>
      </c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</row>
    <row r="82" spans="2:22" x14ac:dyDescent="0.3">
      <c r="B82" s="37" t="s">
        <v>165</v>
      </c>
      <c r="E82" s="88">
        <f t="shared" ref="E82:N82" si="39">E7/E5</f>
        <v>0.29349339924282547</v>
      </c>
      <c r="F82" s="88">
        <f t="shared" si="39"/>
        <v>0.26768327605956471</v>
      </c>
      <c r="G82" s="88">
        <f t="shared" si="39"/>
        <v>0.2463546566321731</v>
      </c>
      <c r="H82" s="88">
        <f t="shared" si="39"/>
        <v>0.25276085896169181</v>
      </c>
      <c r="I82" s="88">
        <f t="shared" si="39"/>
        <v>0.26479305058763408</v>
      </c>
      <c r="J82" s="88">
        <f t="shared" si="39"/>
        <v>0.2451328282343915</v>
      </c>
      <c r="K82" s="88">
        <f t="shared" si="39"/>
        <v>0.23544097218849266</v>
      </c>
      <c r="L82" s="88">
        <f t="shared" si="39"/>
        <v>0.18063687632458061</v>
      </c>
      <c r="M82" s="88">
        <f t="shared" si="39"/>
        <v>0.23296045899402645</v>
      </c>
      <c r="N82" s="88">
        <f t="shared" si="39"/>
        <v>0.25882363168509626</v>
      </c>
    </row>
    <row r="83" spans="2:22" x14ac:dyDescent="0.3">
      <c r="B83" s="37" t="s">
        <v>121</v>
      </c>
      <c r="E83" s="88">
        <f t="shared" ref="E83:N83" si="40">E10/E5</f>
        <v>0.16653916318484077</v>
      </c>
      <c r="F83" s="88">
        <f t="shared" si="40"/>
        <v>0.18705254868270332</v>
      </c>
      <c r="G83" s="88">
        <f t="shared" si="40"/>
        <v>0.19098202153235078</v>
      </c>
      <c r="H83" s="88">
        <f t="shared" si="40"/>
        <v>0.20379704090948875</v>
      </c>
      <c r="I83" s="88">
        <f t="shared" si="40"/>
        <v>0.18698688468744673</v>
      </c>
      <c r="J83" s="88">
        <f t="shared" si="40"/>
        <v>0.16948786803490939</v>
      </c>
      <c r="K83" s="88">
        <f t="shared" si="40"/>
        <v>0.17929339537413905</v>
      </c>
      <c r="L83" s="88">
        <f t="shared" si="40"/>
        <v>0.11729049175616939</v>
      </c>
      <c r="M83" s="88">
        <f t="shared" si="40"/>
        <v>0.16031555839317105</v>
      </c>
      <c r="N83" s="88">
        <f t="shared" si="40"/>
        <v>0.17712462619097288</v>
      </c>
    </row>
    <row r="84" spans="2:22" x14ac:dyDescent="0.3">
      <c r="B84" s="37" t="s">
        <v>166</v>
      </c>
      <c r="E84" s="88">
        <f t="shared" ref="E84:N84" si="41">E14/E5</f>
        <v>8.8605111908825154E-2</v>
      </c>
      <c r="F84" s="88">
        <f t="shared" si="41"/>
        <v>9.5468213058419224E-2</v>
      </c>
      <c r="G84" s="88">
        <f t="shared" si="41"/>
        <v>0.10077610536218251</v>
      </c>
      <c r="H84" s="88">
        <f t="shared" si="41"/>
        <v>8.2719461710669365E-2</v>
      </c>
      <c r="I84" s="88">
        <f t="shared" si="41"/>
        <v>8.5811616419689957E-2</v>
      </c>
      <c r="J84" s="88">
        <f t="shared" si="41"/>
        <v>5.9664812505994071E-2</v>
      </c>
      <c r="K84" s="88">
        <f t="shared" si="41"/>
        <v>8.8087582448539467E-2</v>
      </c>
      <c r="L84" s="88">
        <f t="shared" si="41"/>
        <v>2.6294047918387867E-2</v>
      </c>
      <c r="M84" s="88">
        <f t="shared" si="41"/>
        <v>6.8787881438204607E-2</v>
      </c>
      <c r="N84" s="88">
        <f t="shared" si="41"/>
        <v>8.0560191946588713E-2</v>
      </c>
    </row>
    <row r="85" spans="2:22" x14ac:dyDescent="0.3">
      <c r="B85" s="37" t="s">
        <v>167</v>
      </c>
      <c r="E85" s="89">
        <f t="shared" ref="E85:N85" si="42">E20/E5</f>
        <v>4.2566547009552903E-2</v>
      </c>
      <c r="F85" s="89">
        <f t="shared" si="42"/>
        <v>4.3957617411225641E-2</v>
      </c>
      <c r="G85" s="89">
        <f t="shared" si="42"/>
        <v>5.5503292568203202E-2</v>
      </c>
      <c r="H85" s="89">
        <f t="shared" si="42"/>
        <v>5.0001876008354373E-2</v>
      </c>
      <c r="I85" s="89">
        <f t="shared" si="42"/>
        <v>5.1643672287514868E-2</v>
      </c>
      <c r="J85" s="89">
        <f t="shared" si="42"/>
        <v>2.5810396087081633E-2</v>
      </c>
      <c r="K85" s="89">
        <f t="shared" si="42"/>
        <v>5.5205307791690514E-2</v>
      </c>
      <c r="L85" s="89">
        <f t="shared" si="42"/>
        <v>8.8006034699522166E-3</v>
      </c>
      <c r="M85" s="89">
        <f t="shared" si="42"/>
        <v>2.6745497957791447E-2</v>
      </c>
      <c r="N85" s="89">
        <f t="shared" si="42"/>
        <v>3.1330412406982353E-2</v>
      </c>
    </row>
    <row r="87" spans="2:22" x14ac:dyDescent="0.3">
      <c r="B87" s="32" t="s">
        <v>168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P87" t="s">
        <v>91</v>
      </c>
      <c r="Q87" s="34">
        <v>2019</v>
      </c>
      <c r="R87" s="34">
        <v>2020</v>
      </c>
      <c r="S87" s="34">
        <v>2021</v>
      </c>
      <c r="T87" s="34">
        <v>2022</v>
      </c>
      <c r="U87" s="34">
        <v>2023</v>
      </c>
      <c r="V87" s="34">
        <v>2024</v>
      </c>
    </row>
    <row r="88" spans="2:22" x14ac:dyDescent="0.3">
      <c r="B88" s="37" t="s">
        <v>169</v>
      </c>
      <c r="E88" s="130">
        <f t="shared" ref="E88:N88" si="43">E40/E61</f>
        <v>0.941322552699971</v>
      </c>
      <c r="F88" s="130">
        <f t="shared" si="43"/>
        <v>0.88104770813844713</v>
      </c>
      <c r="G88" s="130">
        <f t="shared" si="43"/>
        <v>0.87082397529477829</v>
      </c>
      <c r="H88" s="130">
        <f t="shared" si="43"/>
        <v>0.76903345522021505</v>
      </c>
      <c r="I88" s="130">
        <f t="shared" si="43"/>
        <v>0.78106388393993387</v>
      </c>
      <c r="J88" s="130">
        <f t="shared" si="43"/>
        <v>0.88767252442186306</v>
      </c>
      <c r="K88" s="130">
        <f t="shared" si="43"/>
        <v>0.92020057587213289</v>
      </c>
      <c r="L88" s="130">
        <f t="shared" si="43"/>
        <v>1.0483411545318553</v>
      </c>
      <c r="M88" s="130">
        <f t="shared" si="43"/>
        <v>1.0503740347490349</v>
      </c>
      <c r="N88" s="130">
        <f t="shared" si="43"/>
        <v>1.0106711190156437</v>
      </c>
      <c r="P88" s="130" t="str">
        <f>B88</f>
        <v>Current Ratio</v>
      </c>
      <c r="Q88" s="180">
        <f t="shared" ref="Q88:U90" si="44">I88</f>
        <v>0.78106388393993387</v>
      </c>
      <c r="R88" s="180">
        <f t="shared" si="44"/>
        <v>0.88767252442186306</v>
      </c>
      <c r="S88" s="180">
        <f t="shared" si="44"/>
        <v>0.92020057587213289</v>
      </c>
      <c r="T88" s="180">
        <f t="shared" si="44"/>
        <v>1.0483411545318553</v>
      </c>
      <c r="U88" s="180">
        <f t="shared" si="44"/>
        <v>1.0503740347490349</v>
      </c>
      <c r="V88" s="180">
        <f>N88</f>
        <v>1.0106711190156437</v>
      </c>
    </row>
    <row r="89" spans="2:22" x14ac:dyDescent="0.3">
      <c r="B89" s="37" t="s">
        <v>170</v>
      </c>
      <c r="E89" s="130">
        <f t="shared" ref="E89:N89" si="45">(E40-E37)/E61</f>
        <v>0.62165752237943972</v>
      </c>
      <c r="F89" s="130">
        <f t="shared" si="45"/>
        <v>0.62944808231992511</v>
      </c>
      <c r="G89" s="130">
        <f t="shared" si="45"/>
        <v>0.60110190903986527</v>
      </c>
      <c r="H89" s="130">
        <f t="shared" si="45"/>
        <v>0.49757135840200839</v>
      </c>
      <c r="I89" s="130">
        <f t="shared" si="45"/>
        <v>0.50483583609060834</v>
      </c>
      <c r="J89" s="130">
        <f t="shared" si="45"/>
        <v>0.59932430662860436</v>
      </c>
      <c r="K89" s="130">
        <f t="shared" si="45"/>
        <v>0.60051319217284005</v>
      </c>
      <c r="L89" s="130">
        <f t="shared" si="45"/>
        <v>0.67853849464128368</v>
      </c>
      <c r="M89" s="130">
        <f t="shared" si="45"/>
        <v>0.68496621621621634</v>
      </c>
      <c r="N89" s="130">
        <f t="shared" si="45"/>
        <v>0.69333236543138177</v>
      </c>
      <c r="P89" s="130" t="str">
        <f t="shared" ref="P89:P90" si="46">B89</f>
        <v>Quick Ratio</v>
      </c>
      <c r="Q89" s="180">
        <f t="shared" si="44"/>
        <v>0.50483583609060834</v>
      </c>
      <c r="R89" s="180">
        <f t="shared" si="44"/>
        <v>0.59932430662860436</v>
      </c>
      <c r="S89" s="180">
        <f t="shared" si="44"/>
        <v>0.60051319217284005</v>
      </c>
      <c r="T89" s="180">
        <f t="shared" si="44"/>
        <v>0.67853849464128368</v>
      </c>
      <c r="U89" s="180">
        <f t="shared" si="44"/>
        <v>0.68496621621621634</v>
      </c>
      <c r="V89" s="180">
        <f t="shared" ref="V89:V90" si="47">N89</f>
        <v>0.69333236543138177</v>
      </c>
    </row>
    <row r="90" spans="2:22" x14ac:dyDescent="0.3">
      <c r="B90" s="37" t="s">
        <v>171</v>
      </c>
      <c r="E90" s="130">
        <f>E34/E61</f>
        <v>8.1143517181634414E-2</v>
      </c>
      <c r="F90" s="130">
        <f t="shared" ref="E90:N90" si="48">F34/F61</f>
        <v>0.12217025257249767</v>
      </c>
      <c r="G90" s="130">
        <f t="shared" si="48"/>
        <v>8.1239472206625488E-2</v>
      </c>
      <c r="H90" s="130">
        <f t="shared" si="48"/>
        <v>5.7687059979261039E-2</v>
      </c>
      <c r="I90" s="130">
        <f t="shared" si="48"/>
        <v>6.3374904555866626E-2</v>
      </c>
      <c r="J90" s="130">
        <f t="shared" si="48"/>
        <v>9.4230416677579032E-2</v>
      </c>
      <c r="K90" s="130">
        <f t="shared" si="48"/>
        <v>0.10138483536716747</v>
      </c>
      <c r="L90" s="130">
        <f t="shared" si="48"/>
        <v>7.2931822373409297E-2</v>
      </c>
      <c r="M90" s="130">
        <f t="shared" si="48"/>
        <v>7.1287805662805667E-2</v>
      </c>
      <c r="N90" s="130">
        <f>N34/N61</f>
        <v>0.1524082610431563</v>
      </c>
      <c r="P90" s="130" t="str">
        <f t="shared" si="46"/>
        <v>Cash Ratio</v>
      </c>
      <c r="Q90" s="180">
        <f t="shared" si="44"/>
        <v>6.3374904555866626E-2</v>
      </c>
      <c r="R90" s="180">
        <f t="shared" si="44"/>
        <v>9.4230416677579032E-2</v>
      </c>
      <c r="S90" s="180">
        <f t="shared" si="44"/>
        <v>0.10138483536716747</v>
      </c>
      <c r="T90" s="180">
        <f t="shared" si="44"/>
        <v>7.2931822373409297E-2</v>
      </c>
      <c r="U90" s="180">
        <f t="shared" si="44"/>
        <v>7.1287805662805667E-2</v>
      </c>
      <c r="V90" s="180">
        <f t="shared" si="47"/>
        <v>0.1524082610431563</v>
      </c>
    </row>
    <row r="92" spans="2:22" x14ac:dyDescent="0.3">
      <c r="B92" s="32" t="s">
        <v>172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P92" t="s">
        <v>91</v>
      </c>
      <c r="Q92" s="34">
        <v>2019</v>
      </c>
      <c r="R92" s="34">
        <v>2020</v>
      </c>
      <c r="S92" s="34">
        <v>2021</v>
      </c>
      <c r="T92" s="34">
        <v>2022</v>
      </c>
      <c r="U92" s="34">
        <v>2023</v>
      </c>
      <c r="V92" s="34">
        <v>2024</v>
      </c>
    </row>
    <row r="93" spans="2:22" x14ac:dyDescent="0.3">
      <c r="B93" s="37" t="s">
        <v>173</v>
      </c>
      <c r="E93" s="130">
        <f t="shared" ref="E93:N93" si="49">(E64+E56)/(E71+E72)</f>
        <v>1.0662086871855898</v>
      </c>
      <c r="F93" s="130">
        <f t="shared" si="49"/>
        <v>1.841308035185989</v>
      </c>
      <c r="G93" s="130">
        <f t="shared" si="49"/>
        <v>1.2516514227642277</v>
      </c>
      <c r="H93" s="130">
        <f t="shared" si="49"/>
        <v>1.5035551117969197</v>
      </c>
      <c r="I93" s="130">
        <f t="shared" si="49"/>
        <v>1.5224258093525178</v>
      </c>
      <c r="J93" s="130">
        <f t="shared" si="49"/>
        <v>1.1628734663294935</v>
      </c>
      <c r="K93" s="130">
        <f t="shared" si="49"/>
        <v>0.9971173750701311</v>
      </c>
      <c r="L93" s="130">
        <f t="shared" si="49"/>
        <v>1.1291772174471273</v>
      </c>
      <c r="M93" s="130">
        <f t="shared" si="49"/>
        <v>1.1492542484452681</v>
      </c>
      <c r="N93" s="130">
        <f t="shared" si="49"/>
        <v>1.2392421581737045</v>
      </c>
      <c r="P93" t="s">
        <v>174</v>
      </c>
      <c r="Q93" s="179">
        <f t="shared" ref="Q93:U93" si="50">I94</f>
        <v>5168.3999999999996</v>
      </c>
      <c r="R93" s="179">
        <f t="shared" si="50"/>
        <v>4606.5999999999995</v>
      </c>
      <c r="S93" s="179">
        <f t="shared" si="50"/>
        <v>4636.3999999999996</v>
      </c>
      <c r="T93" s="179">
        <f t="shared" si="50"/>
        <v>5976.3000000000011</v>
      </c>
      <c r="U93" s="179">
        <f t="shared" si="50"/>
        <v>6279.7999999999993</v>
      </c>
      <c r="V93" s="179">
        <f>N94</f>
        <v>6852.3</v>
      </c>
    </row>
    <row r="94" spans="2:22" x14ac:dyDescent="0.3">
      <c r="B94" s="37" t="s">
        <v>174</v>
      </c>
      <c r="E94" s="90">
        <f>SUM(E56,E64)-E34</f>
        <v>1830.6</v>
      </c>
      <c r="F94" s="90">
        <f t="shared" ref="E94:N94" si="51">SUM(F56,F64)-F34</f>
        <v>4341.4000000000005</v>
      </c>
      <c r="G94" s="90">
        <f t="shared" si="51"/>
        <v>3709.7000000000003</v>
      </c>
      <c r="H94" s="90">
        <f t="shared" si="51"/>
        <v>4758</v>
      </c>
      <c r="I94" s="90">
        <f t="shared" si="51"/>
        <v>5168.3999999999996</v>
      </c>
      <c r="J94" s="90">
        <f t="shared" si="51"/>
        <v>4606.5999999999995</v>
      </c>
      <c r="K94" s="90">
        <f t="shared" si="51"/>
        <v>4636.3999999999996</v>
      </c>
      <c r="L94" s="90">
        <f t="shared" si="51"/>
        <v>5976.3000000000011</v>
      </c>
      <c r="M94" s="90">
        <f t="shared" si="51"/>
        <v>6279.7999999999993</v>
      </c>
      <c r="N94" s="90">
        <f t="shared" si="51"/>
        <v>6852.3</v>
      </c>
      <c r="P94" t="s">
        <v>173</v>
      </c>
      <c r="Q94" s="180">
        <f t="shared" ref="Q94:U94" si="52">I93</f>
        <v>1.5224258093525178</v>
      </c>
      <c r="R94" s="180">
        <f t="shared" si="52"/>
        <v>1.1628734663294935</v>
      </c>
      <c r="S94" s="180">
        <f t="shared" si="52"/>
        <v>0.9971173750701311</v>
      </c>
      <c r="T94" s="180">
        <f t="shared" si="52"/>
        <v>1.1291772174471273</v>
      </c>
      <c r="U94" s="180">
        <f t="shared" si="52"/>
        <v>1.1492542484452681</v>
      </c>
      <c r="V94" s="180">
        <f>N93</f>
        <v>1.2392421581737045</v>
      </c>
    </row>
    <row r="95" spans="2:22" x14ac:dyDescent="0.3">
      <c r="B95" s="37" t="s">
        <v>175</v>
      </c>
      <c r="E95" s="130">
        <f>E94/E10</f>
        <v>2.1561837455830397</v>
      </c>
      <c r="F95" s="130">
        <f t="shared" ref="E95:N95" si="53">F94/F10</f>
        <v>4.1540522438044212</v>
      </c>
      <c r="G95" s="130">
        <f t="shared" si="53"/>
        <v>2.5379352808373814</v>
      </c>
      <c r="H95" s="130">
        <f t="shared" si="53"/>
        <v>2.9199140840748714</v>
      </c>
      <c r="I95" s="130">
        <f t="shared" si="53"/>
        <v>3.138640918200037</v>
      </c>
      <c r="J95" s="130">
        <f t="shared" si="53"/>
        <v>3.2583109350686086</v>
      </c>
      <c r="K95" s="130">
        <f t="shared" si="53"/>
        <v>2.5120008668797751</v>
      </c>
      <c r="L95" s="130">
        <f t="shared" si="53"/>
        <v>4.5756833320572712</v>
      </c>
      <c r="M95" s="130">
        <f t="shared" si="53"/>
        <v>3.4259683578832512</v>
      </c>
      <c r="N95" s="130">
        <f t="shared" si="53"/>
        <v>3.3630920245398785</v>
      </c>
      <c r="P95" t="s">
        <v>176</v>
      </c>
      <c r="Q95" s="180">
        <f t="shared" ref="Q95:U95" si="54">I95</f>
        <v>3.138640918200037</v>
      </c>
      <c r="R95" s="180">
        <f t="shared" si="54"/>
        <v>3.2583109350686086</v>
      </c>
      <c r="S95" s="180">
        <f t="shared" si="54"/>
        <v>2.5120008668797751</v>
      </c>
      <c r="T95" s="180">
        <f t="shared" si="54"/>
        <v>4.5756833320572712</v>
      </c>
      <c r="U95" s="180">
        <f t="shared" si="54"/>
        <v>3.4259683578832512</v>
      </c>
      <c r="V95" s="180">
        <f>N95</f>
        <v>3.3630920245398785</v>
      </c>
    </row>
    <row r="96" spans="2:22" x14ac:dyDescent="0.3">
      <c r="P96" t="s">
        <v>177</v>
      </c>
      <c r="Q96" s="180">
        <f t="shared" ref="Q96:U96" si="55">I98</f>
        <v>14.046468401486981</v>
      </c>
      <c r="R96" s="180">
        <f t="shared" si="55"/>
        <v>12.19852941176471</v>
      </c>
      <c r="S96" s="180">
        <f t="shared" si="55"/>
        <v>57.757961783439477</v>
      </c>
      <c r="T96" s="180">
        <f t="shared" si="55"/>
        <v>8.5865102639296165</v>
      </c>
      <c r="U96" s="180">
        <f t="shared" si="55"/>
        <v>5.6664265129682994</v>
      </c>
      <c r="V96" s="180">
        <f>N98</f>
        <v>5.3566473988439274</v>
      </c>
    </row>
    <row r="97" spans="2:14" x14ac:dyDescent="0.3">
      <c r="B97" s="32" t="s">
        <v>178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</row>
    <row r="98" spans="2:14" x14ac:dyDescent="0.3">
      <c r="B98" s="37" t="s">
        <v>179</v>
      </c>
      <c r="E98" s="130">
        <f>E14/(-E15)</f>
        <v>9.884026258205683</v>
      </c>
      <c r="F98" s="130">
        <f t="shared" ref="E98:N98" si="56">F14/(-F15)</f>
        <v>10.47937131630648</v>
      </c>
      <c r="G98" s="130">
        <f t="shared" si="56"/>
        <v>14.49812030075188</v>
      </c>
      <c r="H98" s="130">
        <f t="shared" si="56"/>
        <v>10.399371069182376</v>
      </c>
      <c r="I98" s="130">
        <f t="shared" si="56"/>
        <v>14.046468401486981</v>
      </c>
      <c r="J98" s="130">
        <f t="shared" si="56"/>
        <v>12.19852941176471</v>
      </c>
      <c r="K98" s="130">
        <f t="shared" si="56"/>
        <v>57.757961783439477</v>
      </c>
      <c r="L98" s="130">
        <f t="shared" si="56"/>
        <v>8.5865102639296165</v>
      </c>
      <c r="M98" s="130">
        <f t="shared" si="56"/>
        <v>5.6664265129682994</v>
      </c>
      <c r="N98" s="130">
        <f t="shared" si="56"/>
        <v>5.3566473988439274</v>
      </c>
    </row>
    <row r="99" spans="2:14" x14ac:dyDescent="0.3">
      <c r="B99" s="37" t="s">
        <v>180</v>
      </c>
      <c r="E99" s="116" t="s">
        <v>181</v>
      </c>
      <c r="F99" s="116" t="s">
        <v>181</v>
      </c>
      <c r="G99" s="116" t="s">
        <v>181</v>
      </c>
      <c r="H99" s="116" t="s">
        <v>181</v>
      </c>
      <c r="I99" s="116" t="s">
        <v>181</v>
      </c>
      <c r="J99" s="116" t="s">
        <v>181</v>
      </c>
      <c r="K99" s="116" t="s">
        <v>181</v>
      </c>
      <c r="L99" s="116" t="s">
        <v>181</v>
      </c>
      <c r="M99" s="116" t="s">
        <v>181</v>
      </c>
      <c r="N99" s="116" t="s">
        <v>181</v>
      </c>
    </row>
    <row r="101" spans="2:14" x14ac:dyDescent="0.3">
      <c r="B101" s="32" t="s">
        <v>182</v>
      </c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</row>
    <row r="102" spans="2:14" x14ac:dyDescent="0.3">
      <c r="B102" s="37" t="s">
        <v>183</v>
      </c>
      <c r="E102" s="90">
        <f>E28</f>
        <v>71.900000000000006</v>
      </c>
      <c r="F102" s="90">
        <f t="shared" ref="F102:N102" si="57">F28</f>
        <v>1916.1</v>
      </c>
      <c r="G102" s="90">
        <f t="shared" si="57"/>
        <v>-574.79999999999995</v>
      </c>
      <c r="H102" s="90">
        <f t="shared" si="57"/>
        <v>135.99999999999997</v>
      </c>
      <c r="I102" s="90">
        <f t="shared" si="57"/>
        <v>184.70000000000002</v>
      </c>
      <c r="J102" s="90">
        <f t="shared" si="57"/>
        <v>-538.40000000000009</v>
      </c>
      <c r="K102" s="90">
        <f t="shared" si="57"/>
        <v>244.40000000000003</v>
      </c>
      <c r="L102" s="90">
        <f t="shared" si="57"/>
        <v>48.800000000000068</v>
      </c>
      <c r="M102" s="90">
        <f t="shared" si="57"/>
        <v>26.800000000000011</v>
      </c>
      <c r="N102" s="90">
        <f t="shared" si="57"/>
        <v>659.49999999999989</v>
      </c>
    </row>
    <row r="103" spans="2:14" x14ac:dyDescent="0.3">
      <c r="B103" s="37" t="s">
        <v>184</v>
      </c>
      <c r="E103" s="125">
        <f>IFERROR(CF!B$43/E$20,"-")</f>
        <v>0.25023041474654412</v>
      </c>
      <c r="F103" s="125">
        <f>IFERROR(CF!C$43/F$20,"-")</f>
        <v>0.30944625407166138</v>
      </c>
      <c r="G103" s="125">
        <f>IFERROR(CF!D$43/G$20,"-")</f>
        <v>0.20456685499058377</v>
      </c>
      <c r="H103" s="125">
        <f>IFERROR(CF!E$43/H$20,"-")</f>
        <v>0.29214607303651896</v>
      </c>
      <c r="I103" s="125">
        <f>IFERROR(CF!F$43/I$20,"-")</f>
        <v>0.31112576956904159</v>
      </c>
      <c r="J103" s="125">
        <f>IFERROR(CF!G$43/J$20,"-")</f>
        <v>2.1830004644681825E-2</v>
      </c>
      <c r="K103" s="125">
        <f>IFERROR(CF!H$43/K$20,"-")</f>
        <v>9.4492345592116903E-2</v>
      </c>
      <c r="L103" s="125">
        <f>IFERROR(CF!I$43/L$20,"-")</f>
        <v>2.0071428571428589</v>
      </c>
      <c r="M103" s="125">
        <f>IFERROR(CF!J$43/M$20,"-")</f>
        <v>8.142576847612816E-2</v>
      </c>
      <c r="N103" s="125">
        <f>IFERROR(CF!K$43/N$20,"-")</f>
        <v>0.25471698113207586</v>
      </c>
    </row>
    <row r="104" spans="2:14" x14ac:dyDescent="0.3">
      <c r="B104" s="37" t="s">
        <v>185</v>
      </c>
      <c r="E104" s="125">
        <f>IFERROR(CF!B$43/E102,"-")</f>
        <v>0.75521557719054233</v>
      </c>
      <c r="F104" s="125">
        <f>IFERROR(CF!C$43/F102,"-")</f>
        <v>3.9663900631491049E-2</v>
      </c>
      <c r="G104" s="125">
        <f>IFERROR(CF!D$43/G102,"-")</f>
        <v>-0.15118302018093252</v>
      </c>
      <c r="H104" s="125">
        <f>IFERROR(CF!E$43/H102,"-")</f>
        <v>0.85882352941176487</v>
      </c>
      <c r="I104" s="125">
        <f>IFERROR(CF!F$43/I102,"-")</f>
        <v>0.7661072008662696</v>
      </c>
      <c r="J104" s="125">
        <f>IFERROR(CF!G$43/J102,"-")</f>
        <v>-8.7295690936106968E-3</v>
      </c>
      <c r="K104" s="125">
        <f>IFERROR(CF!H$43/K102,"-")</f>
        <v>0.219721767594108</v>
      </c>
      <c r="L104" s="125">
        <f>IFERROR(CF!I$43/L102,"-")</f>
        <v>4.0307377049180273</v>
      </c>
      <c r="M104" s="125">
        <f>IFERROR(CF!J$43/M102,"-")</f>
        <v>0.92910447761193982</v>
      </c>
      <c r="N104" s="125">
        <f>IFERROR(CF!K$43/N102,"-")</f>
        <v>0.13919636087945414</v>
      </c>
    </row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D9AE8-5127-4CC3-9180-8F1666BF6375}">
  <sheetPr>
    <pageSetUpPr fitToPage="1"/>
  </sheetPr>
  <dimension ref="A1:W254"/>
  <sheetViews>
    <sheetView topLeftCell="B185" zoomScale="84" zoomScaleNormal="70" workbookViewId="0">
      <selection activeCell="M195" sqref="M195"/>
    </sheetView>
  </sheetViews>
  <sheetFormatPr defaultColWidth="9.15234375" defaultRowHeight="14.6" x14ac:dyDescent="0.4"/>
  <cols>
    <col min="1" max="1" width="85.53515625" style="44" customWidth="1"/>
    <col min="2" max="2" width="1.53515625" style="44" customWidth="1"/>
    <col min="3" max="3" width="10.53515625" style="44" customWidth="1"/>
    <col min="4" max="13" width="15.53515625" style="44" customWidth="1"/>
    <col min="14" max="16384" width="9.15234375" style="44"/>
  </cols>
  <sheetData>
    <row r="1" spans="1:13" ht="15" customHeight="1" thickBot="1" x14ac:dyDescent="0.45">
      <c r="A1" s="42" t="s">
        <v>208</v>
      </c>
      <c r="B1" s="42"/>
      <c r="C1" s="42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15" customHeight="1" thickTop="1" x14ac:dyDescent="0.4">
      <c r="A2" s="45" t="s">
        <v>209</v>
      </c>
      <c r="B2" s="45"/>
      <c r="C2" s="45"/>
      <c r="D2" s="46" t="s">
        <v>210</v>
      </c>
    </row>
    <row r="3" spans="1:13" x14ac:dyDescent="0.4">
      <c r="A3" s="45" t="s">
        <v>211</v>
      </c>
      <c r="B3" s="45"/>
      <c r="C3" s="45"/>
      <c r="D3" s="45" t="s">
        <v>212</v>
      </c>
    </row>
    <row r="4" spans="1:13" x14ac:dyDescent="0.4">
      <c r="A4" s="45" t="s">
        <v>213</v>
      </c>
      <c r="B4" s="45"/>
      <c r="C4" s="45"/>
      <c r="D4" s="45" t="s">
        <v>212</v>
      </c>
    </row>
    <row r="5" spans="1:13" x14ac:dyDescent="0.4">
      <c r="A5" s="45" t="s">
        <v>214</v>
      </c>
      <c r="B5" s="45"/>
      <c r="C5" s="45"/>
      <c r="D5" s="45" t="s">
        <v>215</v>
      </c>
    </row>
    <row r="6" spans="1:13" x14ac:dyDescent="0.4">
      <c r="A6" s="45" t="s">
        <v>216</v>
      </c>
      <c r="B6" s="45"/>
      <c r="C6" s="45"/>
      <c r="D6" s="45" t="s">
        <v>217</v>
      </c>
    </row>
    <row r="7" spans="1:13" x14ac:dyDescent="0.4">
      <c r="A7" s="45" t="s">
        <v>218</v>
      </c>
      <c r="B7" s="45"/>
      <c r="C7" s="45"/>
      <c r="D7" s="45" t="s">
        <v>219</v>
      </c>
    </row>
    <row r="8" spans="1:13" x14ac:dyDescent="0.4">
      <c r="A8" s="45" t="s">
        <v>220</v>
      </c>
      <c r="B8" s="45"/>
      <c r="C8" s="45"/>
      <c r="D8" s="45" t="s">
        <v>221</v>
      </c>
    </row>
    <row r="9" spans="1:13" x14ac:dyDescent="0.4">
      <c r="A9" s="45" t="s">
        <v>222</v>
      </c>
      <c r="B9" s="45"/>
      <c r="C9" s="45"/>
      <c r="D9" s="45" t="s">
        <v>223</v>
      </c>
    </row>
    <row r="10" spans="1:13" x14ac:dyDescent="0.4">
      <c r="A10" s="45" t="s">
        <v>224</v>
      </c>
      <c r="B10" s="45"/>
      <c r="C10" s="45"/>
      <c r="D10" s="47">
        <v>45993.357073171297</v>
      </c>
    </row>
    <row r="11" spans="1:13" x14ac:dyDescent="0.4">
      <c r="A11" s="72" t="s">
        <v>225</v>
      </c>
      <c r="B11" s="72"/>
      <c r="C11" s="72"/>
      <c r="D11" s="49" t="s">
        <v>226</v>
      </c>
      <c r="E11" s="49" t="s">
        <v>227</v>
      </c>
      <c r="F11" s="49" t="s">
        <v>228</v>
      </c>
      <c r="G11" s="49" t="s">
        <v>229</v>
      </c>
      <c r="H11" s="49" t="s">
        <v>230</v>
      </c>
      <c r="I11" s="49" t="s">
        <v>231</v>
      </c>
      <c r="J11" s="49" t="s">
        <v>232</v>
      </c>
      <c r="K11" s="49" t="s">
        <v>233</v>
      </c>
      <c r="L11" s="49" t="s">
        <v>234</v>
      </c>
      <c r="M11" s="49" t="s">
        <v>187</v>
      </c>
    </row>
    <row r="12" spans="1:13" ht="15" customHeight="1" x14ac:dyDescent="0.4">
      <c r="A12" s="73" t="s">
        <v>235</v>
      </c>
      <c r="B12" s="73"/>
      <c r="C12" s="73"/>
      <c r="D12" s="51">
        <v>42369</v>
      </c>
      <c r="E12" s="51">
        <v>42735</v>
      </c>
      <c r="F12" s="51">
        <v>43100</v>
      </c>
      <c r="G12" s="51">
        <v>43465</v>
      </c>
      <c r="H12" s="51">
        <v>43830</v>
      </c>
      <c r="I12" s="51">
        <v>44196</v>
      </c>
      <c r="J12" s="51">
        <v>44561</v>
      </c>
      <c r="K12" s="51">
        <v>44926</v>
      </c>
      <c r="L12" s="51">
        <v>45291</v>
      </c>
      <c r="M12" s="51">
        <v>45657</v>
      </c>
    </row>
    <row r="13" spans="1:13" ht="15" customHeight="1" x14ac:dyDescent="0.4">
      <c r="A13" s="73" t="s">
        <v>236</v>
      </c>
      <c r="B13" s="73"/>
      <c r="C13" s="73"/>
      <c r="D13" s="51" t="s">
        <v>237</v>
      </c>
      <c r="E13" s="51" t="s">
        <v>237</v>
      </c>
      <c r="F13" s="51" t="s">
        <v>237</v>
      </c>
      <c r="G13" s="51" t="s">
        <v>237</v>
      </c>
      <c r="H13" s="51" t="s">
        <v>237</v>
      </c>
      <c r="I13" s="51" t="s">
        <v>237</v>
      </c>
      <c r="J13" s="51" t="s">
        <v>237</v>
      </c>
      <c r="K13" s="51" t="s">
        <v>237</v>
      </c>
      <c r="L13" s="51" t="s">
        <v>237</v>
      </c>
      <c r="M13" s="51" t="s">
        <v>237</v>
      </c>
    </row>
    <row r="14" spans="1:13" x14ac:dyDescent="0.4">
      <c r="A14" s="74" t="s">
        <v>238</v>
      </c>
      <c r="B14" s="74"/>
      <c r="C14" s="74"/>
      <c r="D14" s="48"/>
      <c r="E14" s="48"/>
      <c r="F14" s="48"/>
      <c r="G14" s="48"/>
      <c r="H14" s="48"/>
      <c r="I14" s="48"/>
      <c r="J14" s="48"/>
      <c r="K14" s="48"/>
      <c r="L14" s="48"/>
      <c r="M14" s="48"/>
    </row>
    <row r="15" spans="1:13" x14ac:dyDescent="0.4">
      <c r="A15" s="74" t="s">
        <v>239</v>
      </c>
      <c r="B15" s="74"/>
      <c r="C15" s="74"/>
      <c r="D15" s="53" t="s">
        <v>240</v>
      </c>
      <c r="E15" s="53" t="s">
        <v>241</v>
      </c>
      <c r="F15" s="53" t="s">
        <v>242</v>
      </c>
      <c r="G15" s="53" t="s">
        <v>243</v>
      </c>
      <c r="H15" s="53" t="s">
        <v>244</v>
      </c>
      <c r="I15" s="53" t="s">
        <v>245</v>
      </c>
      <c r="J15" s="53" t="s">
        <v>246</v>
      </c>
      <c r="K15" s="53" t="s">
        <v>247</v>
      </c>
      <c r="L15" s="53" t="s">
        <v>248</v>
      </c>
      <c r="M15" s="53" t="s">
        <v>249</v>
      </c>
    </row>
    <row r="16" spans="1:13" ht="15" customHeight="1" x14ac:dyDescent="0.4">
      <c r="A16" s="75" t="s">
        <v>124</v>
      </c>
      <c r="B16" s="75"/>
      <c r="C16" s="75"/>
      <c r="D16" s="55"/>
      <c r="E16" s="55"/>
      <c r="F16" s="55"/>
      <c r="G16" s="55"/>
      <c r="H16" s="55"/>
      <c r="I16" s="55"/>
      <c r="J16" s="55"/>
      <c r="K16" s="55"/>
      <c r="L16" s="55"/>
      <c r="M16" s="55"/>
    </row>
    <row r="17" spans="1:13" ht="15" customHeight="1" x14ac:dyDescent="0.4">
      <c r="A17" s="76" t="s">
        <v>125</v>
      </c>
      <c r="B17" s="76"/>
      <c r="C17" s="76"/>
      <c r="D17" s="57">
        <v>140.5</v>
      </c>
      <c r="E17" s="57">
        <v>326.5</v>
      </c>
      <c r="F17" s="57">
        <v>231.5</v>
      </c>
      <c r="G17" s="57">
        <v>211.4</v>
      </c>
      <c r="H17" s="57">
        <v>249</v>
      </c>
      <c r="I17" s="57">
        <v>359.8</v>
      </c>
      <c r="J17" s="57">
        <v>517.6</v>
      </c>
      <c r="K17" s="57">
        <v>355.9</v>
      </c>
      <c r="L17" s="57">
        <v>354.5</v>
      </c>
      <c r="M17" s="57">
        <v>839.8</v>
      </c>
    </row>
    <row r="18" spans="1:13" ht="15" customHeight="1" x14ac:dyDescent="0.4">
      <c r="A18" s="77" t="s">
        <v>250</v>
      </c>
      <c r="B18" s="77"/>
      <c r="C18" s="77"/>
      <c r="D18" s="57">
        <v>102.8</v>
      </c>
      <c r="E18" s="57">
        <v>276.10000000000002</v>
      </c>
      <c r="F18" s="57">
        <v>172.8</v>
      </c>
      <c r="G18" s="57">
        <v>171.6</v>
      </c>
      <c r="H18" s="57">
        <v>207.4</v>
      </c>
      <c r="I18" s="57">
        <v>307.2</v>
      </c>
      <c r="J18" s="57">
        <v>473.7</v>
      </c>
      <c r="K18" s="57">
        <v>306.2</v>
      </c>
      <c r="L18" s="57">
        <v>309.7</v>
      </c>
      <c r="M18" s="57">
        <v>786.5</v>
      </c>
    </row>
    <row r="19" spans="1:13" ht="15" customHeight="1" x14ac:dyDescent="0.4">
      <c r="A19" s="77" t="s">
        <v>251</v>
      </c>
      <c r="B19" s="77"/>
      <c r="C19" s="77"/>
      <c r="D19" s="59">
        <v>37.700000000000003</v>
      </c>
      <c r="E19" s="59">
        <v>50.4</v>
      </c>
      <c r="F19" s="59">
        <v>58.7</v>
      </c>
      <c r="G19" s="59">
        <v>39.799999999999997</v>
      </c>
      <c r="H19" s="59">
        <v>41.6</v>
      </c>
      <c r="I19" s="59">
        <v>52.6</v>
      </c>
      <c r="J19" s="59">
        <v>43.9</v>
      </c>
      <c r="K19" s="59">
        <v>49.7</v>
      </c>
      <c r="L19" s="59">
        <v>44.8</v>
      </c>
      <c r="M19" s="59">
        <v>53.3</v>
      </c>
    </row>
    <row r="20" spans="1:13" ht="15" customHeight="1" x14ac:dyDescent="0.4">
      <c r="A20" s="77" t="s">
        <v>252</v>
      </c>
      <c r="B20" s="77"/>
      <c r="C20" s="77"/>
      <c r="D20" s="59">
        <v>37.700000000000003</v>
      </c>
      <c r="E20" s="59">
        <v>50.4</v>
      </c>
      <c r="F20" s="59">
        <v>58.7</v>
      </c>
      <c r="G20" s="59">
        <v>39.799999999999997</v>
      </c>
      <c r="H20" s="59">
        <v>41.6</v>
      </c>
      <c r="I20" s="59">
        <v>52.6</v>
      </c>
      <c r="J20" s="59">
        <v>43.9</v>
      </c>
      <c r="K20" s="59">
        <v>49.7</v>
      </c>
      <c r="L20" s="59">
        <v>44.8</v>
      </c>
      <c r="M20" s="59">
        <v>53.3</v>
      </c>
    </row>
    <row r="21" spans="1:13" ht="15" customHeight="1" x14ac:dyDescent="0.4">
      <c r="A21" s="76" t="s">
        <v>253</v>
      </c>
      <c r="B21" s="76"/>
      <c r="C21" s="76"/>
      <c r="D21" s="59">
        <v>5.3</v>
      </c>
      <c r="E21" s="59">
        <v>10.3</v>
      </c>
      <c r="F21" s="59">
        <v>30</v>
      </c>
      <c r="G21" s="59">
        <v>8.9</v>
      </c>
      <c r="H21" s="59">
        <v>9.4</v>
      </c>
      <c r="I21" s="59">
        <v>15</v>
      </c>
      <c r="J21" s="59">
        <v>8.9</v>
      </c>
      <c r="K21" s="59">
        <v>20.5</v>
      </c>
      <c r="L21" s="59">
        <v>10.199999999999999</v>
      </c>
      <c r="M21" s="59">
        <v>12.7</v>
      </c>
    </row>
    <row r="22" spans="1:13" ht="15" customHeight="1" x14ac:dyDescent="0.4">
      <c r="A22" s="76" t="s">
        <v>254</v>
      </c>
      <c r="B22" s="76"/>
      <c r="C22" s="76"/>
      <c r="D22" s="57">
        <v>898.3</v>
      </c>
      <c r="E22" s="57">
        <v>1292.3</v>
      </c>
      <c r="F22" s="57">
        <v>1410.8</v>
      </c>
      <c r="G22" s="57">
        <v>1550.3</v>
      </c>
      <c r="H22" s="57">
        <v>1666.3</v>
      </c>
      <c r="I22" s="57">
        <v>1861.7</v>
      </c>
      <c r="J22" s="57">
        <v>2481.6</v>
      </c>
      <c r="K22" s="57">
        <v>2846.3</v>
      </c>
      <c r="L22" s="57">
        <v>2923.8</v>
      </c>
      <c r="M22" s="57">
        <v>2884.9</v>
      </c>
    </row>
    <row r="23" spans="1:13" ht="15" customHeight="1" x14ac:dyDescent="0.4">
      <c r="A23" s="77" t="s">
        <v>255</v>
      </c>
      <c r="B23" s="77"/>
      <c r="C23" s="77"/>
      <c r="D23" s="57">
        <v>670.5</v>
      </c>
      <c r="E23" s="57">
        <v>998.9</v>
      </c>
      <c r="F23" s="57">
        <v>1094.0999999999999</v>
      </c>
      <c r="G23" s="57">
        <v>1036.4000000000001</v>
      </c>
      <c r="H23" s="57">
        <v>1074.2</v>
      </c>
      <c r="I23" s="57">
        <v>1172.7</v>
      </c>
      <c r="J23" s="57">
        <v>1339.2</v>
      </c>
      <c r="K23" s="57">
        <v>1596.4</v>
      </c>
      <c r="L23" s="57">
        <v>1755.8</v>
      </c>
      <c r="M23" s="57">
        <v>1695.6</v>
      </c>
    </row>
    <row r="24" spans="1:13" ht="15" customHeight="1" x14ac:dyDescent="0.4">
      <c r="A24" s="78" t="s">
        <v>256</v>
      </c>
      <c r="B24" s="78"/>
      <c r="C24" s="78"/>
      <c r="D24" s="57">
        <v>709</v>
      </c>
      <c r="E24" s="57">
        <v>1039.3</v>
      </c>
      <c r="F24" s="57">
        <v>1145.2</v>
      </c>
      <c r="G24" s="57">
        <v>1074.2</v>
      </c>
      <c r="H24" s="57">
        <v>1116.4000000000001</v>
      </c>
      <c r="I24" s="57">
        <v>1230.5999999999999</v>
      </c>
      <c r="J24" s="57">
        <v>1396.5</v>
      </c>
      <c r="K24" s="57">
        <v>1671.1</v>
      </c>
      <c r="L24" s="57">
        <v>1836.8</v>
      </c>
      <c r="M24" s="57">
        <v>1785.7</v>
      </c>
    </row>
    <row r="25" spans="1:13" ht="15" customHeight="1" x14ac:dyDescent="0.4">
      <c r="A25" s="78" t="s">
        <v>257</v>
      </c>
      <c r="B25" s="78"/>
      <c r="C25" s="78"/>
      <c r="D25" s="59">
        <v>38.5</v>
      </c>
      <c r="E25" s="59">
        <v>40.4</v>
      </c>
      <c r="F25" s="59">
        <v>51.1</v>
      </c>
      <c r="G25" s="59">
        <v>37.799999999999997</v>
      </c>
      <c r="H25" s="59">
        <v>42.2</v>
      </c>
      <c r="I25" s="59">
        <v>57.9</v>
      </c>
      <c r="J25" s="59">
        <v>57.3</v>
      </c>
      <c r="K25" s="59">
        <v>74.7</v>
      </c>
      <c r="L25" s="59">
        <v>81</v>
      </c>
      <c r="M25" s="59">
        <v>90.1</v>
      </c>
    </row>
    <row r="26" spans="1:13" ht="15" customHeight="1" x14ac:dyDescent="0.4">
      <c r="A26" s="77" t="s">
        <v>258</v>
      </c>
      <c r="B26" s="77"/>
      <c r="C26" s="77"/>
      <c r="D26" s="57">
        <v>197.1</v>
      </c>
      <c r="E26" s="57">
        <v>221.6</v>
      </c>
      <c r="F26" s="57">
        <v>258.3</v>
      </c>
      <c r="G26" s="57">
        <v>305.89999999999998</v>
      </c>
      <c r="H26" s="57">
        <v>363.2</v>
      </c>
      <c r="I26" s="57">
        <v>405.9</v>
      </c>
      <c r="J26" s="57">
        <v>475.1</v>
      </c>
      <c r="K26" s="57">
        <v>529.9</v>
      </c>
      <c r="L26" s="57">
        <v>623</v>
      </c>
      <c r="M26" s="57">
        <v>734</v>
      </c>
    </row>
    <row r="27" spans="1:13" ht="15" customHeight="1" x14ac:dyDescent="0.4">
      <c r="A27" s="77" t="s">
        <v>259</v>
      </c>
      <c r="B27" s="77"/>
      <c r="C27" s="77"/>
      <c r="D27" s="59">
        <v>7.9</v>
      </c>
      <c r="E27" s="59">
        <v>35.200000000000003</v>
      </c>
      <c r="F27" s="59">
        <v>14.4</v>
      </c>
      <c r="G27" s="59">
        <v>31.5</v>
      </c>
      <c r="H27" s="59">
        <v>78.7</v>
      </c>
      <c r="I27" s="57">
        <v>111</v>
      </c>
      <c r="J27" s="57">
        <v>148.19999999999999</v>
      </c>
      <c r="K27" s="57">
        <v>191.2</v>
      </c>
      <c r="L27" s="57">
        <v>141.69999999999999</v>
      </c>
      <c r="M27" s="57">
        <v>177.2</v>
      </c>
    </row>
    <row r="28" spans="1:13" ht="15" customHeight="1" x14ac:dyDescent="0.4">
      <c r="A28" s="77" t="s">
        <v>260</v>
      </c>
      <c r="B28" s="77"/>
      <c r="C28" s="77"/>
      <c r="D28" s="59">
        <v>22.8</v>
      </c>
      <c r="E28" s="59">
        <v>36.6</v>
      </c>
      <c r="F28" s="59">
        <v>44</v>
      </c>
      <c r="G28" s="57">
        <v>176.5</v>
      </c>
      <c r="H28" s="57">
        <v>150.19999999999999</v>
      </c>
      <c r="I28" s="57">
        <v>172.1</v>
      </c>
      <c r="J28" s="57">
        <v>519.1</v>
      </c>
      <c r="K28" s="57">
        <v>528.79999999999995</v>
      </c>
      <c r="L28" s="57">
        <v>403.3</v>
      </c>
      <c r="M28" s="57">
        <v>278.10000000000002</v>
      </c>
    </row>
    <row r="29" spans="1:13" ht="15" customHeight="1" x14ac:dyDescent="0.4">
      <c r="A29" s="76" t="s">
        <v>261</v>
      </c>
      <c r="B29" s="76"/>
      <c r="C29" s="76"/>
      <c r="D29" s="57">
        <v>553.5</v>
      </c>
      <c r="E29" s="57">
        <v>672.4</v>
      </c>
      <c r="F29" s="57">
        <v>768.6</v>
      </c>
      <c r="G29" s="57">
        <v>994.8</v>
      </c>
      <c r="H29" s="57">
        <v>1085.3</v>
      </c>
      <c r="I29" s="57">
        <v>1101</v>
      </c>
      <c r="J29" s="57">
        <v>1632.1</v>
      </c>
      <c r="K29" s="57">
        <v>1804.6</v>
      </c>
      <c r="L29" s="57">
        <v>1817.1</v>
      </c>
      <c r="M29" s="57">
        <v>1748.6</v>
      </c>
    </row>
    <row r="30" spans="1:13" ht="15" customHeight="1" x14ac:dyDescent="0.4">
      <c r="A30" s="77" t="s">
        <v>262</v>
      </c>
      <c r="B30" s="77"/>
      <c r="C30" s="77"/>
      <c r="D30" s="57">
        <v>115.9</v>
      </c>
      <c r="E30" s="57">
        <v>158</v>
      </c>
      <c r="F30" s="57">
        <v>185.2</v>
      </c>
      <c r="G30" s="57">
        <v>284.2</v>
      </c>
      <c r="H30" s="57">
        <v>276.60000000000002</v>
      </c>
      <c r="I30" s="57">
        <v>280.5</v>
      </c>
      <c r="J30" s="57">
        <v>442</v>
      </c>
      <c r="K30" s="57">
        <v>512.20000000000005</v>
      </c>
      <c r="L30" s="57">
        <v>465.8</v>
      </c>
      <c r="M30" s="57">
        <v>454.6</v>
      </c>
    </row>
    <row r="31" spans="1:13" ht="15" customHeight="1" x14ac:dyDescent="0.4">
      <c r="A31" s="77" t="s">
        <v>263</v>
      </c>
      <c r="B31" s="77"/>
      <c r="C31" s="77"/>
      <c r="D31" s="59">
        <v>75</v>
      </c>
      <c r="E31" s="57">
        <v>105.3</v>
      </c>
      <c r="F31" s="57">
        <v>109</v>
      </c>
      <c r="G31" s="57">
        <v>132.30000000000001</v>
      </c>
      <c r="H31" s="57">
        <v>143.30000000000001</v>
      </c>
      <c r="I31" s="57">
        <v>162.19999999999999</v>
      </c>
      <c r="J31" s="57">
        <v>363.2</v>
      </c>
      <c r="K31" s="57">
        <v>340.1</v>
      </c>
      <c r="L31" s="57">
        <v>318.10000000000002</v>
      </c>
      <c r="M31" s="57">
        <v>294.3</v>
      </c>
    </row>
    <row r="32" spans="1:13" ht="15" customHeight="1" x14ac:dyDescent="0.4">
      <c r="A32" s="77" t="s">
        <v>264</v>
      </c>
      <c r="B32" s="77"/>
      <c r="C32" s="77"/>
      <c r="D32" s="57">
        <v>359.5</v>
      </c>
      <c r="E32" s="57">
        <v>396.5</v>
      </c>
      <c r="F32" s="57">
        <v>459</v>
      </c>
      <c r="G32" s="57">
        <v>550.6</v>
      </c>
      <c r="H32" s="57">
        <v>638.5</v>
      </c>
      <c r="I32" s="57">
        <v>618.70000000000005</v>
      </c>
      <c r="J32" s="57">
        <v>761.6</v>
      </c>
      <c r="K32" s="57">
        <v>890.3</v>
      </c>
      <c r="L32" s="57">
        <v>959.6</v>
      </c>
      <c r="M32" s="57">
        <v>945.7</v>
      </c>
    </row>
    <row r="33" spans="1:13" ht="15" customHeight="1" x14ac:dyDescent="0.4">
      <c r="A33" s="77" t="s">
        <v>265</v>
      </c>
      <c r="B33" s="77"/>
      <c r="C33" s="77"/>
      <c r="D33" s="59">
        <v>3.1</v>
      </c>
      <c r="E33" s="59">
        <v>12.6</v>
      </c>
      <c r="F33" s="59">
        <v>15.4</v>
      </c>
      <c r="G33" s="59">
        <v>27.7</v>
      </c>
      <c r="H33" s="59">
        <v>26.9</v>
      </c>
      <c r="I33" s="59">
        <v>39.6</v>
      </c>
      <c r="J33" s="59">
        <v>65.3</v>
      </c>
      <c r="K33" s="59">
        <v>62</v>
      </c>
      <c r="L33" s="59">
        <v>73.599999999999994</v>
      </c>
      <c r="M33" s="59">
        <v>54</v>
      </c>
    </row>
    <row r="34" spans="1:13" ht="15" customHeight="1" x14ac:dyDescent="0.4">
      <c r="A34" s="76" t="s">
        <v>266</v>
      </c>
      <c r="B34" s="76"/>
      <c r="C34" s="76"/>
      <c r="D34" s="61"/>
      <c r="E34" s="61"/>
      <c r="F34" s="61"/>
      <c r="G34" s="61"/>
      <c r="H34" s="61"/>
      <c r="I34" s="61"/>
      <c r="J34" s="61"/>
      <c r="K34" s="59">
        <v>27.4</v>
      </c>
      <c r="L34" s="59">
        <v>55.2</v>
      </c>
      <c r="M34" s="61">
        <v>0</v>
      </c>
    </row>
    <row r="35" spans="1:13" ht="15" customHeight="1" x14ac:dyDescent="0.4">
      <c r="A35" s="76" t="s">
        <v>130</v>
      </c>
      <c r="B35" s="76"/>
      <c r="C35" s="76"/>
      <c r="D35" s="59">
        <v>32.299999999999997</v>
      </c>
      <c r="E35" s="59">
        <v>53.1</v>
      </c>
      <c r="F35" s="59">
        <v>40.6</v>
      </c>
      <c r="G35" s="59">
        <v>52.8</v>
      </c>
      <c r="H35" s="59">
        <v>58.8</v>
      </c>
      <c r="I35" s="59">
        <v>51.9</v>
      </c>
      <c r="J35" s="59">
        <v>57.7</v>
      </c>
      <c r="K35" s="59">
        <v>61.1</v>
      </c>
      <c r="L35" s="59">
        <v>62.5</v>
      </c>
      <c r="M35" s="59">
        <v>83</v>
      </c>
    </row>
    <row r="36" spans="1:13" ht="15" customHeight="1" x14ac:dyDescent="0.4">
      <c r="A36" s="77" t="s">
        <v>267</v>
      </c>
      <c r="B36" s="77"/>
      <c r="C36" s="77"/>
      <c r="D36" s="59">
        <v>32</v>
      </c>
      <c r="E36" s="59">
        <v>49.5</v>
      </c>
      <c r="F36" s="59">
        <v>40.200000000000003</v>
      </c>
      <c r="G36" s="59">
        <v>49</v>
      </c>
      <c r="H36" s="59">
        <v>55</v>
      </c>
      <c r="I36" s="59">
        <v>44.5</v>
      </c>
      <c r="J36" s="59">
        <v>48.1</v>
      </c>
      <c r="K36" s="59">
        <v>48.2</v>
      </c>
      <c r="L36" s="59">
        <v>60.4</v>
      </c>
      <c r="M36" s="59">
        <v>82.6</v>
      </c>
    </row>
    <row r="37" spans="1:13" ht="15" customHeight="1" x14ac:dyDescent="0.4">
      <c r="A37" s="77" t="s">
        <v>268</v>
      </c>
      <c r="B37" s="77"/>
      <c r="C37" s="77"/>
      <c r="D37" s="59">
        <v>0.3</v>
      </c>
      <c r="E37" s="59">
        <v>3.5</v>
      </c>
      <c r="F37" s="59">
        <v>0.4</v>
      </c>
      <c r="G37" s="59">
        <v>3.7</v>
      </c>
      <c r="H37" s="59">
        <v>3.8</v>
      </c>
      <c r="I37" s="59">
        <v>7.2</v>
      </c>
      <c r="J37" s="59">
        <v>9.3000000000000007</v>
      </c>
      <c r="K37" s="59">
        <v>11.9</v>
      </c>
      <c r="L37" s="59">
        <v>2.1</v>
      </c>
      <c r="M37" s="59">
        <v>0.5</v>
      </c>
    </row>
    <row r="38" spans="1:13" ht="15" customHeight="1" x14ac:dyDescent="0.4">
      <c r="A38" s="77" t="s">
        <v>269</v>
      </c>
      <c r="B38" s="77"/>
      <c r="C38" s="77"/>
      <c r="D38" s="61"/>
      <c r="E38" s="59">
        <v>0.1</v>
      </c>
      <c r="F38" s="61">
        <v>0</v>
      </c>
      <c r="G38" s="59">
        <v>0.1</v>
      </c>
      <c r="H38" s="61"/>
      <c r="I38" s="59">
        <v>0.2</v>
      </c>
      <c r="J38" s="59">
        <v>0.3</v>
      </c>
      <c r="K38" s="59">
        <v>1</v>
      </c>
      <c r="L38" s="61"/>
      <c r="M38" s="62">
        <v>-0.1</v>
      </c>
    </row>
    <row r="39" spans="1:13" ht="15" customHeight="1" x14ac:dyDescent="0.4">
      <c r="A39" s="79" t="s">
        <v>132</v>
      </c>
      <c r="B39" s="79"/>
      <c r="C39" s="79"/>
      <c r="D39" s="64">
        <v>1629.9</v>
      </c>
      <c r="E39" s="64">
        <v>2354.6</v>
      </c>
      <c r="F39" s="64">
        <v>2481.5</v>
      </c>
      <c r="G39" s="64">
        <v>2818.2</v>
      </c>
      <c r="H39" s="64">
        <v>3068.8</v>
      </c>
      <c r="I39" s="64">
        <v>3389.4</v>
      </c>
      <c r="J39" s="64">
        <v>4697.8999999999996</v>
      </c>
      <c r="K39" s="64">
        <v>5115.8</v>
      </c>
      <c r="L39" s="64">
        <v>5223.3</v>
      </c>
      <c r="M39" s="64">
        <v>5569</v>
      </c>
    </row>
    <row r="40" spans="1:13" ht="15" customHeight="1" x14ac:dyDescent="0.4">
      <c r="A40" s="75" t="s">
        <v>134</v>
      </c>
      <c r="B40" s="75"/>
      <c r="C40" s="75"/>
      <c r="D40" s="55"/>
      <c r="E40" s="55"/>
      <c r="F40" s="55"/>
      <c r="G40" s="55"/>
      <c r="H40" s="55"/>
      <c r="I40" s="55"/>
      <c r="J40" s="55"/>
      <c r="K40" s="55"/>
      <c r="L40" s="55"/>
      <c r="M40" s="55"/>
    </row>
    <row r="41" spans="1:13" ht="15" customHeight="1" x14ac:dyDescent="0.4">
      <c r="A41" s="76" t="s">
        <v>270</v>
      </c>
      <c r="B41" s="76"/>
      <c r="C41" s="76"/>
      <c r="D41" s="59">
        <v>43.2</v>
      </c>
      <c r="E41" s="59">
        <v>42.9</v>
      </c>
      <c r="F41" s="59">
        <v>54.9</v>
      </c>
      <c r="G41" s="59">
        <v>51.8</v>
      </c>
      <c r="H41" s="59">
        <v>60.8</v>
      </c>
      <c r="I41" s="59">
        <v>80</v>
      </c>
      <c r="J41" s="59">
        <v>95</v>
      </c>
      <c r="K41" s="57">
        <v>106.3</v>
      </c>
      <c r="L41" s="57">
        <v>123.3</v>
      </c>
      <c r="M41" s="57">
        <v>161.5</v>
      </c>
    </row>
    <row r="42" spans="1:13" ht="15" customHeight="1" x14ac:dyDescent="0.4">
      <c r="A42" s="77" t="s">
        <v>271</v>
      </c>
      <c r="B42" s="77"/>
      <c r="C42" s="77"/>
      <c r="D42" s="59">
        <v>43.2</v>
      </c>
      <c r="E42" s="59">
        <v>42.9</v>
      </c>
      <c r="F42" s="59">
        <v>54.9</v>
      </c>
      <c r="G42" s="59">
        <v>51.8</v>
      </c>
      <c r="H42" s="59">
        <v>60.8</v>
      </c>
      <c r="I42" s="59">
        <v>80</v>
      </c>
      <c r="J42" s="59">
        <v>95</v>
      </c>
      <c r="K42" s="57">
        <v>106.3</v>
      </c>
      <c r="L42" s="57">
        <v>123.3</v>
      </c>
      <c r="M42" s="57">
        <v>161.5</v>
      </c>
    </row>
    <row r="43" spans="1:13" ht="15" customHeight="1" x14ac:dyDescent="0.4">
      <c r="A43" s="76" t="s">
        <v>272</v>
      </c>
      <c r="B43" s="76"/>
      <c r="C43" s="76"/>
      <c r="D43" s="59">
        <v>73.599999999999994</v>
      </c>
      <c r="E43" s="59">
        <v>72.7</v>
      </c>
      <c r="F43" s="59">
        <v>80.3</v>
      </c>
      <c r="G43" s="59">
        <v>82.3</v>
      </c>
      <c r="H43" s="59">
        <v>84.5</v>
      </c>
      <c r="I43" s="59">
        <v>78.8</v>
      </c>
      <c r="J43" s="59">
        <v>84.3</v>
      </c>
      <c r="K43" s="59">
        <v>94.7</v>
      </c>
      <c r="L43" s="57">
        <v>103.6</v>
      </c>
      <c r="M43" s="57">
        <v>110.3</v>
      </c>
    </row>
    <row r="44" spans="1:13" ht="15" customHeight="1" x14ac:dyDescent="0.4">
      <c r="A44" s="76" t="s">
        <v>273</v>
      </c>
      <c r="B44" s="76"/>
      <c r="C44" s="76"/>
      <c r="D44" s="57">
        <v>474.7</v>
      </c>
      <c r="E44" s="57">
        <v>535.9</v>
      </c>
      <c r="F44" s="57">
        <v>650</v>
      </c>
      <c r="G44" s="57">
        <v>826.2</v>
      </c>
      <c r="H44" s="57">
        <v>1080.9000000000001</v>
      </c>
      <c r="I44" s="57">
        <v>1208.7</v>
      </c>
      <c r="J44" s="57">
        <v>1326.9</v>
      </c>
      <c r="K44" s="57">
        <v>1383.8</v>
      </c>
      <c r="L44" s="57">
        <v>1705.5</v>
      </c>
      <c r="M44" s="57">
        <v>2090.1</v>
      </c>
    </row>
    <row r="45" spans="1:13" ht="15" customHeight="1" x14ac:dyDescent="0.4">
      <c r="A45" s="77" t="s">
        <v>274</v>
      </c>
      <c r="B45" s="77"/>
      <c r="C45" s="77"/>
      <c r="D45" s="59">
        <v>2.7</v>
      </c>
      <c r="E45" s="59">
        <v>4.5999999999999996</v>
      </c>
      <c r="F45" s="59">
        <v>2.2000000000000002</v>
      </c>
      <c r="G45" s="61">
        <v>0</v>
      </c>
      <c r="H45" s="61"/>
      <c r="I45" s="61"/>
      <c r="J45" s="61"/>
      <c r="K45" s="61"/>
      <c r="L45" s="61"/>
      <c r="M45" s="61"/>
    </row>
    <row r="46" spans="1:13" ht="15" customHeight="1" x14ac:dyDescent="0.4">
      <c r="A46" s="77" t="s">
        <v>275</v>
      </c>
      <c r="B46" s="77"/>
      <c r="C46" s="77"/>
      <c r="D46" s="57">
        <v>472</v>
      </c>
      <c r="E46" s="57">
        <v>531.29999999999995</v>
      </c>
      <c r="F46" s="57">
        <v>647.79999999999995</v>
      </c>
      <c r="G46" s="57">
        <v>826.2</v>
      </c>
      <c r="H46" s="57">
        <v>1080.9000000000001</v>
      </c>
      <c r="I46" s="57">
        <v>1199.0999999999999</v>
      </c>
      <c r="J46" s="57">
        <v>1318.9</v>
      </c>
      <c r="K46" s="57">
        <v>1370.5</v>
      </c>
      <c r="L46" s="57">
        <v>1701.9</v>
      </c>
      <c r="M46" s="57">
        <v>2088.9</v>
      </c>
    </row>
    <row r="47" spans="1:13" ht="15" customHeight="1" x14ac:dyDescent="0.4">
      <c r="A47" s="77" t="s">
        <v>276</v>
      </c>
      <c r="B47" s="77"/>
      <c r="C47" s="77"/>
      <c r="D47" s="61"/>
      <c r="E47" s="61"/>
      <c r="F47" s="61"/>
      <c r="G47" s="61"/>
      <c r="H47" s="61"/>
      <c r="I47" s="59">
        <v>9.6</v>
      </c>
      <c r="J47" s="59">
        <v>8</v>
      </c>
      <c r="K47" s="59">
        <v>13.3</v>
      </c>
      <c r="L47" s="59">
        <v>3.6</v>
      </c>
      <c r="M47" s="59">
        <v>1.2</v>
      </c>
    </row>
    <row r="48" spans="1:13" ht="15" customHeight="1" x14ac:dyDescent="0.4">
      <c r="A48" s="76" t="s">
        <v>277</v>
      </c>
      <c r="B48" s="76"/>
      <c r="C48" s="76"/>
      <c r="D48" s="61"/>
      <c r="E48" s="61"/>
      <c r="F48" s="61"/>
      <c r="G48" s="59">
        <v>1</v>
      </c>
      <c r="H48" s="59">
        <v>2.6</v>
      </c>
      <c r="I48" s="59">
        <v>2.5</v>
      </c>
      <c r="J48" s="59">
        <v>4.2</v>
      </c>
      <c r="K48" s="59">
        <v>78.099999999999994</v>
      </c>
      <c r="L48" s="59">
        <v>36.9</v>
      </c>
      <c r="M48" s="59">
        <v>17.600000000000001</v>
      </c>
    </row>
    <row r="49" spans="1:23" ht="15" customHeight="1" x14ac:dyDescent="0.4">
      <c r="A49" s="76" t="s">
        <v>278</v>
      </c>
      <c r="B49" s="76"/>
      <c r="C49" s="76"/>
      <c r="D49" s="57">
        <v>1387.2</v>
      </c>
      <c r="E49" s="57">
        <v>1684.1</v>
      </c>
      <c r="F49" s="57">
        <v>1850.6</v>
      </c>
      <c r="G49" s="57">
        <v>3010.1</v>
      </c>
      <c r="H49" s="57">
        <v>3230.4</v>
      </c>
      <c r="I49" s="57">
        <v>3179.5</v>
      </c>
      <c r="J49" s="57">
        <v>3381.8</v>
      </c>
      <c r="K49" s="57">
        <v>3555</v>
      </c>
      <c r="L49" s="57">
        <v>3942.6</v>
      </c>
      <c r="M49" s="57">
        <v>4422.8</v>
      </c>
    </row>
    <row r="50" spans="1:23" ht="15" customHeight="1" x14ac:dyDescent="0.4">
      <c r="A50" s="77" t="s">
        <v>279</v>
      </c>
      <c r="B50" s="77"/>
      <c r="C50" s="77"/>
      <c r="D50" s="57">
        <v>544</v>
      </c>
      <c r="E50" s="57">
        <v>575.29999999999995</v>
      </c>
      <c r="F50" s="57">
        <v>651.4</v>
      </c>
      <c r="G50" s="61"/>
      <c r="H50" s="61"/>
      <c r="I50" s="61"/>
      <c r="J50" s="61"/>
      <c r="K50" s="61"/>
      <c r="L50" s="61"/>
      <c r="M50" s="61"/>
    </row>
    <row r="51" spans="1:23" ht="15" customHeight="1" x14ac:dyDescent="0.4">
      <c r="A51" s="77" t="s">
        <v>280</v>
      </c>
      <c r="B51" s="77"/>
      <c r="C51" s="77"/>
      <c r="D51" s="57">
        <v>843.2</v>
      </c>
      <c r="E51" s="57">
        <v>1108.8</v>
      </c>
      <c r="F51" s="57">
        <v>1199.2</v>
      </c>
      <c r="G51" s="57">
        <v>3010.1</v>
      </c>
      <c r="H51" s="57">
        <v>3230.4</v>
      </c>
      <c r="I51" s="57">
        <v>3179.5</v>
      </c>
      <c r="J51" s="57">
        <v>3381.8</v>
      </c>
      <c r="K51" s="57">
        <v>3555</v>
      </c>
      <c r="L51" s="57">
        <v>3942.6</v>
      </c>
      <c r="M51" s="57">
        <v>4422.8</v>
      </c>
    </row>
    <row r="52" spans="1:23" ht="15" customHeight="1" x14ac:dyDescent="0.4">
      <c r="A52" s="78" t="s">
        <v>281</v>
      </c>
      <c r="B52" s="78"/>
      <c r="C52" s="78"/>
      <c r="D52" s="57">
        <v>305.7</v>
      </c>
      <c r="E52" s="57">
        <v>375.4</v>
      </c>
      <c r="F52" s="57">
        <v>355.9</v>
      </c>
      <c r="G52" s="57">
        <v>349.1</v>
      </c>
      <c r="H52" s="57">
        <v>375.7</v>
      </c>
      <c r="I52" s="57">
        <v>349.5</v>
      </c>
      <c r="J52" s="57">
        <v>385.3</v>
      </c>
      <c r="K52" s="57">
        <v>406.8</v>
      </c>
      <c r="L52" s="57">
        <v>417.1</v>
      </c>
      <c r="M52" s="57">
        <v>445.2</v>
      </c>
    </row>
    <row r="53" spans="1:23" ht="15" customHeight="1" x14ac:dyDescent="0.4">
      <c r="A53" s="78" t="s">
        <v>282</v>
      </c>
      <c r="B53" s="78"/>
      <c r="C53" s="78"/>
      <c r="D53" s="57">
        <v>174.1</v>
      </c>
      <c r="E53" s="57">
        <v>266.3</v>
      </c>
      <c r="F53" s="57">
        <v>274.3</v>
      </c>
      <c r="G53" s="57">
        <v>267.7</v>
      </c>
      <c r="H53" s="57">
        <v>314.39999999999998</v>
      </c>
      <c r="I53" s="57">
        <v>374.9</v>
      </c>
      <c r="J53" s="57">
        <v>427</v>
      </c>
      <c r="K53" s="57">
        <v>491.4</v>
      </c>
      <c r="L53" s="57">
        <v>555</v>
      </c>
      <c r="M53" s="57">
        <v>615.29999999999995</v>
      </c>
      <c r="P53" s="95"/>
    </row>
    <row r="54" spans="1:23" ht="15" customHeight="1" x14ac:dyDescent="0.4">
      <c r="A54" s="78" t="s">
        <v>283</v>
      </c>
      <c r="B54" s="78"/>
      <c r="C54" s="78"/>
      <c r="D54" s="59">
        <v>29</v>
      </c>
      <c r="E54" s="59">
        <v>37.299999999999997</v>
      </c>
      <c r="F54" s="59">
        <v>46.7</v>
      </c>
      <c r="G54" s="59">
        <v>70.3</v>
      </c>
      <c r="H54" s="59">
        <v>93.5</v>
      </c>
      <c r="I54" s="59">
        <v>99.8</v>
      </c>
      <c r="J54" s="57">
        <v>121.7</v>
      </c>
      <c r="K54" s="57">
        <v>143.30000000000001</v>
      </c>
      <c r="L54" s="57">
        <v>188.6</v>
      </c>
      <c r="M54" s="57">
        <v>218.4</v>
      </c>
    </row>
    <row r="55" spans="1:23" ht="15" customHeight="1" x14ac:dyDescent="0.4">
      <c r="A55" s="78" t="s">
        <v>284</v>
      </c>
      <c r="B55" s="78"/>
      <c r="C55" s="78"/>
      <c r="D55" s="57">
        <v>334.4</v>
      </c>
      <c r="E55" s="57">
        <v>429.7</v>
      </c>
      <c r="F55" s="57">
        <v>522.29999999999995</v>
      </c>
      <c r="G55" s="61"/>
      <c r="H55" s="61"/>
      <c r="I55" s="61"/>
      <c r="J55" s="61"/>
      <c r="K55" s="61"/>
      <c r="L55" s="61"/>
      <c r="M55" s="61"/>
    </row>
    <row r="56" spans="1:23" ht="15" customHeight="1" x14ac:dyDescent="0.4">
      <c r="A56" s="78" t="s">
        <v>285</v>
      </c>
      <c r="B56" s="78"/>
      <c r="C56" s="78"/>
      <c r="D56" s="61"/>
      <c r="E56" s="61"/>
      <c r="F56" s="61"/>
      <c r="G56" s="57">
        <v>2323</v>
      </c>
      <c r="H56" s="57">
        <v>2446.8000000000002</v>
      </c>
      <c r="I56" s="57">
        <v>2355.4</v>
      </c>
      <c r="J56" s="57">
        <v>2447.9</v>
      </c>
      <c r="K56" s="57">
        <v>2513.4</v>
      </c>
      <c r="L56" s="57">
        <v>2781.9</v>
      </c>
      <c r="M56" s="57">
        <v>3144</v>
      </c>
    </row>
    <row r="57" spans="1:23" ht="15" customHeight="1" x14ac:dyDescent="0.4">
      <c r="A57" s="80" t="s">
        <v>286</v>
      </c>
      <c r="B57" s="80"/>
      <c r="C57" s="80"/>
      <c r="D57" s="61"/>
      <c r="E57" s="61"/>
      <c r="F57" s="61"/>
      <c r="G57" s="57">
        <v>2323</v>
      </c>
      <c r="H57" s="57">
        <v>2446.8000000000002</v>
      </c>
      <c r="I57" s="57">
        <v>2355.4</v>
      </c>
      <c r="J57" s="57">
        <v>2447.9</v>
      </c>
      <c r="K57" s="57">
        <v>2513.4</v>
      </c>
      <c r="L57" s="57">
        <v>2781.9</v>
      </c>
      <c r="M57" s="57">
        <v>3144</v>
      </c>
    </row>
    <row r="58" spans="1:23" ht="15" customHeight="1" x14ac:dyDescent="0.4">
      <c r="A58" s="78" t="s">
        <v>287</v>
      </c>
      <c r="B58" s="78"/>
      <c r="C58" s="78"/>
      <c r="D58" s="61"/>
      <c r="E58" s="59">
        <v>0.1</v>
      </c>
      <c r="F58" s="61"/>
      <c r="G58" s="61"/>
      <c r="H58" s="61"/>
      <c r="I58" s="62">
        <v>-0.1</v>
      </c>
      <c r="J58" s="62">
        <v>-0.1</v>
      </c>
      <c r="K58" s="59">
        <v>0.1</v>
      </c>
      <c r="L58" s="61"/>
      <c r="M58" s="62">
        <v>-0.1</v>
      </c>
    </row>
    <row r="59" spans="1:23" ht="15" customHeight="1" x14ac:dyDescent="0.4">
      <c r="A59" s="77" t="s">
        <v>288</v>
      </c>
      <c r="B59" s="77"/>
      <c r="C59" s="77"/>
      <c r="D59" s="57">
        <v>3308.5</v>
      </c>
      <c r="E59" s="57">
        <v>3562.8</v>
      </c>
      <c r="F59" s="57">
        <v>3864.7</v>
      </c>
      <c r="G59" s="57">
        <v>5579.5</v>
      </c>
      <c r="H59" s="57">
        <v>5922.9</v>
      </c>
      <c r="I59" s="57">
        <v>5971</v>
      </c>
      <c r="J59" s="57">
        <v>6346</v>
      </c>
      <c r="K59" s="57">
        <v>6755.8</v>
      </c>
      <c r="L59" s="57">
        <v>7232.2</v>
      </c>
      <c r="M59" s="57">
        <v>7579.5</v>
      </c>
      <c r="O59" s="95"/>
      <c r="P59" s="95"/>
      <c r="Q59" s="95"/>
      <c r="R59" s="95"/>
      <c r="S59" s="95"/>
      <c r="T59" s="95"/>
      <c r="U59" s="95"/>
      <c r="V59" s="95"/>
      <c r="W59" s="95"/>
    </row>
    <row r="60" spans="1:23" ht="15" customHeight="1" x14ac:dyDescent="0.4">
      <c r="A60" s="78" t="s">
        <v>289</v>
      </c>
      <c r="B60" s="78"/>
      <c r="C60" s="78"/>
      <c r="D60" s="57">
        <v>954.5</v>
      </c>
      <c r="E60" s="57">
        <v>989.9</v>
      </c>
      <c r="F60" s="57">
        <v>1114.7</v>
      </c>
      <c r="G60" s="61"/>
      <c r="H60" s="61"/>
      <c r="I60" s="61"/>
      <c r="J60" s="61"/>
      <c r="K60" s="61"/>
      <c r="L60" s="61"/>
      <c r="M60" s="61"/>
    </row>
    <row r="61" spans="1:23" ht="15" customHeight="1" x14ac:dyDescent="0.4">
      <c r="A61" s="78" t="s">
        <v>290</v>
      </c>
      <c r="B61" s="78"/>
      <c r="C61" s="78"/>
      <c r="D61" s="57">
        <v>2354</v>
      </c>
      <c r="E61" s="57">
        <v>2572.9</v>
      </c>
      <c r="F61" s="57">
        <v>2750</v>
      </c>
      <c r="G61" s="57">
        <v>5579.5</v>
      </c>
      <c r="H61" s="57">
        <v>5922.9</v>
      </c>
      <c r="I61" s="57">
        <v>5971</v>
      </c>
      <c r="J61" s="57">
        <v>6346</v>
      </c>
      <c r="K61" s="57">
        <v>6755.8</v>
      </c>
      <c r="L61" s="57">
        <v>7232.2</v>
      </c>
      <c r="M61" s="57">
        <v>7579.5</v>
      </c>
      <c r="P61" s="95"/>
    </row>
    <row r="62" spans="1:23" ht="15" customHeight="1" x14ac:dyDescent="0.4">
      <c r="A62" s="80" t="s">
        <v>291</v>
      </c>
      <c r="B62" s="80"/>
      <c r="C62" s="80"/>
      <c r="D62" s="57">
        <v>653</v>
      </c>
      <c r="E62" s="57">
        <v>729.1</v>
      </c>
      <c r="F62" s="57">
        <v>714.6</v>
      </c>
      <c r="G62" s="57">
        <v>740.6</v>
      </c>
      <c r="H62" s="57">
        <v>786.2</v>
      </c>
      <c r="I62" s="57">
        <v>781.9</v>
      </c>
      <c r="J62" s="57">
        <v>831.8</v>
      </c>
      <c r="K62" s="57">
        <v>872.7</v>
      </c>
      <c r="L62" s="57">
        <v>895.6</v>
      </c>
      <c r="M62" s="57">
        <v>931.1</v>
      </c>
      <c r="O62" s="95"/>
      <c r="P62" s="95"/>
      <c r="Q62" s="95"/>
      <c r="R62" s="95"/>
      <c r="S62" s="95"/>
      <c r="T62" s="95"/>
      <c r="U62" s="95"/>
      <c r="V62" s="95"/>
      <c r="W62" s="95"/>
    </row>
    <row r="63" spans="1:23" ht="15" customHeight="1" x14ac:dyDescent="0.4">
      <c r="A63" s="80" t="s">
        <v>292</v>
      </c>
      <c r="B63" s="80"/>
      <c r="C63" s="80"/>
      <c r="D63" s="57">
        <v>996.7</v>
      </c>
      <c r="E63" s="57">
        <v>1059.0999999999999</v>
      </c>
      <c r="F63" s="57">
        <v>1091.5</v>
      </c>
      <c r="G63" s="57">
        <v>1010.7</v>
      </c>
      <c r="H63" s="57">
        <v>1086.4000000000001</v>
      </c>
      <c r="I63" s="57">
        <v>1196</v>
      </c>
      <c r="J63" s="57">
        <v>1319.8</v>
      </c>
      <c r="K63" s="57">
        <v>1468.7</v>
      </c>
      <c r="L63" s="57">
        <v>1604.6</v>
      </c>
      <c r="M63" s="57">
        <v>1614.2</v>
      </c>
      <c r="O63" s="95"/>
      <c r="P63" s="95"/>
      <c r="Q63" s="95"/>
      <c r="R63" s="95"/>
      <c r="S63" s="95"/>
      <c r="T63" s="95"/>
      <c r="U63" s="95"/>
      <c r="V63" s="95"/>
      <c r="W63" s="95"/>
    </row>
    <row r="64" spans="1:23" ht="15" customHeight="1" x14ac:dyDescent="0.4">
      <c r="A64" s="80" t="s">
        <v>293</v>
      </c>
      <c r="B64" s="80"/>
      <c r="C64" s="80"/>
      <c r="D64" s="59">
        <v>29</v>
      </c>
      <c r="E64" s="59">
        <v>37.299999999999997</v>
      </c>
      <c r="F64" s="59">
        <v>46.7</v>
      </c>
      <c r="G64" s="59">
        <v>70.3</v>
      </c>
      <c r="H64" s="59">
        <v>93.5</v>
      </c>
      <c r="I64" s="59">
        <v>99.8</v>
      </c>
      <c r="J64" s="57">
        <v>121.7</v>
      </c>
      <c r="K64" s="57">
        <v>143.30000000000001</v>
      </c>
      <c r="L64" s="57">
        <v>188.6</v>
      </c>
      <c r="M64" s="57">
        <v>218.4</v>
      </c>
      <c r="O64" s="95"/>
      <c r="P64" s="95"/>
      <c r="Q64" s="95"/>
      <c r="R64" s="95"/>
      <c r="S64" s="95"/>
      <c r="T64" s="95"/>
      <c r="U64" s="95"/>
      <c r="V64" s="95"/>
      <c r="W64" s="95"/>
    </row>
    <row r="65" spans="1:13" ht="15" customHeight="1" x14ac:dyDescent="0.4">
      <c r="A65" s="80" t="s">
        <v>294</v>
      </c>
      <c r="B65" s="80"/>
      <c r="C65" s="80"/>
      <c r="D65" s="57">
        <v>675.3</v>
      </c>
      <c r="E65" s="57">
        <v>747.3</v>
      </c>
      <c r="F65" s="57">
        <v>897.2</v>
      </c>
      <c r="G65" s="61"/>
      <c r="H65" s="61"/>
      <c r="I65" s="61"/>
      <c r="J65" s="61"/>
      <c r="K65" s="61"/>
      <c r="L65" s="61"/>
      <c r="M65" s="61"/>
    </row>
    <row r="66" spans="1:13" ht="15" customHeight="1" x14ac:dyDescent="0.4">
      <c r="A66" s="80" t="s">
        <v>295</v>
      </c>
      <c r="B66" s="80"/>
      <c r="C66" s="80"/>
      <c r="D66" s="61"/>
      <c r="E66" s="61"/>
      <c r="F66" s="61"/>
      <c r="G66" s="57">
        <v>3757.9</v>
      </c>
      <c r="H66" s="57">
        <v>3956.8</v>
      </c>
      <c r="I66" s="57">
        <v>3893.4</v>
      </c>
      <c r="J66" s="57">
        <v>4072.8</v>
      </c>
      <c r="K66" s="57">
        <v>4271</v>
      </c>
      <c r="L66" s="57">
        <v>4543.3999999999996</v>
      </c>
      <c r="M66" s="57">
        <v>4815.8999999999996</v>
      </c>
    </row>
    <row r="67" spans="1:13" ht="15" customHeight="1" x14ac:dyDescent="0.4">
      <c r="A67" s="81" t="s">
        <v>296</v>
      </c>
      <c r="B67" s="81"/>
      <c r="C67" s="81"/>
      <c r="D67" s="61"/>
      <c r="E67" s="61"/>
      <c r="F67" s="61"/>
      <c r="G67" s="57">
        <v>3757.9</v>
      </c>
      <c r="H67" s="57">
        <v>3956.8</v>
      </c>
      <c r="I67" s="57">
        <v>3893.4</v>
      </c>
      <c r="J67" s="57">
        <v>4072.8</v>
      </c>
      <c r="K67" s="57">
        <v>4271</v>
      </c>
      <c r="L67" s="57">
        <v>4543.3999999999996</v>
      </c>
      <c r="M67" s="57">
        <v>4815.8999999999996</v>
      </c>
    </row>
    <row r="68" spans="1:13" ht="15" customHeight="1" x14ac:dyDescent="0.4">
      <c r="A68" s="80" t="s">
        <v>297</v>
      </c>
      <c r="B68" s="80"/>
      <c r="C68" s="80"/>
      <c r="D68" s="61"/>
      <c r="E68" s="59">
        <v>0.1</v>
      </c>
      <c r="F68" s="61"/>
      <c r="G68" s="61"/>
      <c r="H68" s="61"/>
      <c r="I68" s="62">
        <v>-0.1</v>
      </c>
      <c r="J68" s="62">
        <v>-0.1</v>
      </c>
      <c r="K68" s="59">
        <v>0.1</v>
      </c>
      <c r="L68" s="61"/>
      <c r="M68" s="62">
        <v>-0.1</v>
      </c>
    </row>
    <row r="69" spans="1:13" ht="15" customHeight="1" x14ac:dyDescent="0.4">
      <c r="A69" s="77" t="s">
        <v>298</v>
      </c>
      <c r="B69" s="77"/>
      <c r="C69" s="77"/>
      <c r="D69" s="57">
        <v>1921.3</v>
      </c>
      <c r="E69" s="57">
        <v>1878.7</v>
      </c>
      <c r="F69" s="57">
        <v>2014.1</v>
      </c>
      <c r="G69" s="57">
        <v>2569.4</v>
      </c>
      <c r="H69" s="57">
        <v>2692.5</v>
      </c>
      <c r="I69" s="57">
        <v>2791.5</v>
      </c>
      <c r="J69" s="57">
        <v>2964.2</v>
      </c>
      <c r="K69" s="57">
        <v>3200.8</v>
      </c>
      <c r="L69" s="57">
        <v>3289.6</v>
      </c>
      <c r="M69" s="57">
        <v>3156.7</v>
      </c>
    </row>
    <row r="70" spans="1:13" ht="15" customHeight="1" x14ac:dyDescent="0.4">
      <c r="A70" s="78" t="s">
        <v>299</v>
      </c>
      <c r="B70" s="78"/>
      <c r="C70" s="78"/>
      <c r="D70" s="57">
        <v>410.5</v>
      </c>
      <c r="E70" s="57">
        <v>414.6</v>
      </c>
      <c r="F70" s="57">
        <v>463.3</v>
      </c>
      <c r="G70" s="61"/>
      <c r="H70" s="61"/>
      <c r="I70" s="61"/>
      <c r="J70" s="61"/>
      <c r="K70" s="61"/>
      <c r="L70" s="61"/>
      <c r="M70" s="61"/>
    </row>
    <row r="71" spans="1:13" ht="37" customHeight="1" x14ac:dyDescent="0.4">
      <c r="A71" s="78" t="s">
        <v>300</v>
      </c>
      <c r="B71" s="78"/>
      <c r="C71" s="78"/>
      <c r="D71" s="57">
        <v>1510.8</v>
      </c>
      <c r="E71" s="57">
        <v>1464.1</v>
      </c>
      <c r="F71" s="57">
        <v>1550.8</v>
      </c>
      <c r="G71" s="57">
        <v>2569.4</v>
      </c>
      <c r="H71" s="57">
        <v>2692.5</v>
      </c>
      <c r="I71" s="57">
        <v>2791.5</v>
      </c>
      <c r="J71" s="57">
        <v>2964.2</v>
      </c>
      <c r="K71" s="57">
        <v>3200.8</v>
      </c>
      <c r="L71" s="57">
        <v>3289.6</v>
      </c>
      <c r="M71" s="57">
        <v>3156.7</v>
      </c>
    </row>
    <row r="72" spans="1:13" ht="15" customHeight="1" x14ac:dyDescent="0.4">
      <c r="A72" s="80" t="s">
        <v>301</v>
      </c>
      <c r="B72" s="80"/>
      <c r="C72" s="80"/>
      <c r="D72" s="57">
        <v>347.3</v>
      </c>
      <c r="E72" s="57">
        <v>353.7</v>
      </c>
      <c r="F72" s="57">
        <v>358.7</v>
      </c>
      <c r="G72" s="57">
        <v>391.5</v>
      </c>
      <c r="H72" s="57">
        <v>410.5</v>
      </c>
      <c r="I72" s="57">
        <v>432.4</v>
      </c>
      <c r="J72" s="57">
        <v>446.5</v>
      </c>
      <c r="K72" s="57">
        <v>465.9</v>
      </c>
      <c r="L72" s="57">
        <v>478.5</v>
      </c>
      <c r="M72" s="57">
        <v>485.9</v>
      </c>
    </row>
    <row r="73" spans="1:13" ht="15" customHeight="1" x14ac:dyDescent="0.4">
      <c r="A73" s="80" t="s">
        <v>302</v>
      </c>
      <c r="B73" s="80"/>
      <c r="C73" s="80"/>
      <c r="D73" s="57">
        <v>822.6</v>
      </c>
      <c r="E73" s="57">
        <v>792.8</v>
      </c>
      <c r="F73" s="57">
        <v>817.2</v>
      </c>
      <c r="G73" s="57">
        <v>743</v>
      </c>
      <c r="H73" s="57">
        <v>772</v>
      </c>
      <c r="I73" s="57">
        <v>821.1</v>
      </c>
      <c r="J73" s="57">
        <v>892.8</v>
      </c>
      <c r="K73" s="57">
        <v>977.3</v>
      </c>
      <c r="L73" s="57">
        <v>1049.5999999999999</v>
      </c>
      <c r="M73" s="57">
        <v>998.9</v>
      </c>
    </row>
    <row r="74" spans="1:13" ht="15" customHeight="1" x14ac:dyDescent="0.4">
      <c r="A74" s="80" t="s">
        <v>303</v>
      </c>
      <c r="B74" s="80"/>
      <c r="C74" s="80"/>
      <c r="D74" s="61">
        <v>0</v>
      </c>
      <c r="E74" s="61">
        <v>0</v>
      </c>
      <c r="F74" s="61">
        <v>0</v>
      </c>
      <c r="G74" s="61">
        <v>0</v>
      </c>
      <c r="H74" s="61">
        <v>0</v>
      </c>
      <c r="I74" s="61">
        <v>0</v>
      </c>
      <c r="J74" s="61">
        <v>0</v>
      </c>
      <c r="K74" s="61">
        <v>0</v>
      </c>
      <c r="L74" s="61">
        <v>0</v>
      </c>
      <c r="M74" s="61">
        <v>0</v>
      </c>
    </row>
    <row r="75" spans="1:13" ht="15" customHeight="1" x14ac:dyDescent="0.4">
      <c r="A75" s="80" t="s">
        <v>304</v>
      </c>
      <c r="B75" s="80"/>
      <c r="C75" s="80"/>
      <c r="D75" s="57">
        <v>340.9</v>
      </c>
      <c r="E75" s="57">
        <v>317.60000000000002</v>
      </c>
      <c r="F75" s="57">
        <v>374.9</v>
      </c>
      <c r="G75" s="61"/>
      <c r="H75" s="61"/>
      <c r="I75" s="61"/>
      <c r="J75" s="61"/>
      <c r="K75" s="61"/>
      <c r="L75" s="61"/>
      <c r="M75" s="61"/>
    </row>
    <row r="76" spans="1:13" ht="15" customHeight="1" x14ac:dyDescent="0.4">
      <c r="A76" s="80" t="s">
        <v>305</v>
      </c>
      <c r="B76" s="80"/>
      <c r="C76" s="80"/>
      <c r="D76" s="61"/>
      <c r="E76" s="61"/>
      <c r="F76" s="61"/>
      <c r="G76" s="57">
        <v>1434.9</v>
      </c>
      <c r="H76" s="57">
        <v>1510</v>
      </c>
      <c r="I76" s="57">
        <v>1538</v>
      </c>
      <c r="J76" s="57">
        <v>1624.9</v>
      </c>
      <c r="K76" s="57">
        <v>1757.6</v>
      </c>
      <c r="L76" s="57">
        <v>1761.5</v>
      </c>
      <c r="M76" s="57">
        <v>1671.9</v>
      </c>
    </row>
    <row r="77" spans="1:13" ht="15" customHeight="1" x14ac:dyDescent="0.4">
      <c r="A77" s="81" t="s">
        <v>306</v>
      </c>
      <c r="B77" s="81"/>
      <c r="C77" s="81"/>
      <c r="D77" s="61"/>
      <c r="E77" s="61"/>
      <c r="F77" s="61"/>
      <c r="G77" s="57">
        <v>1434.9</v>
      </c>
      <c r="H77" s="57">
        <v>1510</v>
      </c>
      <c r="I77" s="57">
        <v>1538</v>
      </c>
      <c r="J77" s="57">
        <v>1624.9</v>
      </c>
      <c r="K77" s="57">
        <v>1757.6</v>
      </c>
      <c r="L77" s="57">
        <v>1761.5</v>
      </c>
      <c r="M77" s="57">
        <v>1671.9</v>
      </c>
    </row>
    <row r="78" spans="1:13" ht="15" customHeight="1" x14ac:dyDescent="0.4">
      <c r="A78" s="76" t="s">
        <v>307</v>
      </c>
      <c r="B78" s="76"/>
      <c r="C78" s="76"/>
      <c r="D78" s="57">
        <v>379.1</v>
      </c>
      <c r="E78" s="57">
        <v>432.3</v>
      </c>
      <c r="F78" s="57">
        <v>394.7</v>
      </c>
      <c r="G78" s="57">
        <v>457.6</v>
      </c>
      <c r="H78" s="57">
        <v>504.8</v>
      </c>
      <c r="I78" s="57">
        <v>557.20000000000005</v>
      </c>
      <c r="J78" s="57">
        <v>550.1</v>
      </c>
      <c r="K78" s="57">
        <v>413.2</v>
      </c>
      <c r="L78" s="57">
        <v>588.29999999999995</v>
      </c>
      <c r="M78" s="57">
        <v>619.20000000000005</v>
      </c>
    </row>
    <row r="79" spans="1:13" ht="15" customHeight="1" x14ac:dyDescent="0.4">
      <c r="A79" s="77" t="s">
        <v>308</v>
      </c>
      <c r="B79" s="77"/>
      <c r="C79" s="77"/>
      <c r="D79" s="57">
        <v>349</v>
      </c>
      <c r="E79" s="57">
        <v>420.2</v>
      </c>
      <c r="F79" s="57">
        <v>370.5</v>
      </c>
      <c r="G79" s="57">
        <v>421.7</v>
      </c>
      <c r="H79" s="57">
        <v>449.7</v>
      </c>
      <c r="I79" s="57">
        <v>494.9</v>
      </c>
      <c r="J79" s="57">
        <v>449.3</v>
      </c>
      <c r="K79" s="57">
        <v>300.8</v>
      </c>
      <c r="L79" s="57">
        <v>443.2</v>
      </c>
      <c r="M79" s="57">
        <v>489.3</v>
      </c>
    </row>
    <row r="80" spans="1:13" ht="15" customHeight="1" x14ac:dyDescent="0.4">
      <c r="A80" s="77" t="s">
        <v>309</v>
      </c>
      <c r="B80" s="77"/>
      <c r="C80" s="77"/>
      <c r="D80" s="59">
        <v>30.2</v>
      </c>
      <c r="E80" s="59">
        <v>12.3</v>
      </c>
      <c r="F80" s="59">
        <v>24.2</v>
      </c>
      <c r="G80" s="59">
        <v>33.299999999999997</v>
      </c>
      <c r="H80" s="59">
        <v>51.7</v>
      </c>
      <c r="I80" s="59">
        <v>50.4</v>
      </c>
      <c r="J80" s="59">
        <v>79.7</v>
      </c>
      <c r="K80" s="59">
        <v>94</v>
      </c>
      <c r="L80" s="57">
        <v>100.9</v>
      </c>
      <c r="M80" s="59">
        <v>80.599999999999994</v>
      </c>
    </row>
    <row r="81" spans="1:13" ht="15" customHeight="1" x14ac:dyDescent="0.4">
      <c r="A81" s="77" t="s">
        <v>310</v>
      </c>
      <c r="B81" s="77"/>
      <c r="C81" s="77"/>
      <c r="D81" s="62">
        <v>-0.1</v>
      </c>
      <c r="E81" s="62">
        <v>-0.2</v>
      </c>
      <c r="F81" s="61"/>
      <c r="G81" s="59">
        <v>2.6</v>
      </c>
      <c r="H81" s="59">
        <v>3.4</v>
      </c>
      <c r="I81" s="59">
        <v>11.9</v>
      </c>
      <c r="J81" s="59">
        <v>21.1</v>
      </c>
      <c r="K81" s="59">
        <v>18.399999999999999</v>
      </c>
      <c r="L81" s="59">
        <v>44.2</v>
      </c>
      <c r="M81" s="59">
        <v>49.3</v>
      </c>
    </row>
    <row r="82" spans="1:13" ht="15" customHeight="1" x14ac:dyDescent="0.4">
      <c r="A82" s="76" t="s">
        <v>311</v>
      </c>
      <c r="B82" s="76"/>
      <c r="C82" s="76"/>
      <c r="D82" s="57">
        <v>2452.5</v>
      </c>
      <c r="E82" s="57">
        <v>6236.7</v>
      </c>
      <c r="F82" s="57">
        <v>5716.4</v>
      </c>
      <c r="G82" s="57">
        <v>5721.6</v>
      </c>
      <c r="H82" s="57">
        <v>5732.4</v>
      </c>
      <c r="I82" s="57">
        <v>5559.6</v>
      </c>
      <c r="J82" s="57">
        <v>5710.7</v>
      </c>
      <c r="K82" s="57">
        <v>5781.5</v>
      </c>
      <c r="L82" s="57">
        <v>5664.9</v>
      </c>
      <c r="M82" s="57">
        <v>5814.9</v>
      </c>
    </row>
    <row r="83" spans="1:13" ht="15" customHeight="1" x14ac:dyDescent="0.4">
      <c r="A83" s="77" t="s">
        <v>312</v>
      </c>
      <c r="B83" s="77"/>
      <c r="C83" s="77"/>
      <c r="D83" s="57">
        <v>1548.1</v>
      </c>
      <c r="E83" s="57">
        <v>3605.8</v>
      </c>
      <c r="F83" s="57">
        <v>3382.5</v>
      </c>
      <c r="G83" s="57">
        <v>3424.8</v>
      </c>
      <c r="H83" s="57">
        <v>3475.8</v>
      </c>
      <c r="I83" s="57">
        <v>3407.6</v>
      </c>
      <c r="J83" s="57">
        <v>3544.8</v>
      </c>
      <c r="K83" s="57">
        <v>3619.4</v>
      </c>
      <c r="L83" s="57">
        <v>3558</v>
      </c>
      <c r="M83" s="57">
        <v>3648.2</v>
      </c>
    </row>
    <row r="84" spans="1:13" ht="15" customHeight="1" x14ac:dyDescent="0.4">
      <c r="A84" s="77" t="s">
        <v>313</v>
      </c>
      <c r="B84" s="77"/>
      <c r="C84" s="77"/>
      <c r="D84" s="57">
        <v>904.4</v>
      </c>
      <c r="E84" s="57">
        <v>2630.9</v>
      </c>
      <c r="F84" s="57">
        <v>2333.9</v>
      </c>
      <c r="G84" s="57">
        <v>2296.8000000000002</v>
      </c>
      <c r="H84" s="57">
        <v>2256.6</v>
      </c>
      <c r="I84" s="57">
        <v>2152</v>
      </c>
      <c r="J84" s="57">
        <v>2165.9</v>
      </c>
      <c r="K84" s="57">
        <v>2162.1</v>
      </c>
      <c r="L84" s="57">
        <v>2106.9</v>
      </c>
      <c r="M84" s="57">
        <v>2166.6999999999998</v>
      </c>
    </row>
    <row r="85" spans="1:13" ht="15" customHeight="1" x14ac:dyDescent="0.4">
      <c r="A85" s="78" t="s">
        <v>314</v>
      </c>
      <c r="B85" s="78"/>
      <c r="C85" s="78"/>
      <c r="D85" s="57">
        <v>194.1</v>
      </c>
      <c r="E85" s="57">
        <v>729.2</v>
      </c>
      <c r="F85" s="57">
        <v>670.3</v>
      </c>
      <c r="G85" s="57">
        <v>689.7</v>
      </c>
      <c r="H85" s="57">
        <v>697.9</v>
      </c>
      <c r="I85" s="57">
        <v>656.5</v>
      </c>
      <c r="J85" s="57">
        <v>680.6</v>
      </c>
      <c r="K85" s="57">
        <v>706.3</v>
      </c>
      <c r="L85" s="57">
        <v>692.6</v>
      </c>
      <c r="M85" s="57">
        <v>726.5</v>
      </c>
    </row>
    <row r="86" spans="1:13" ht="15" customHeight="1" x14ac:dyDescent="0.4">
      <c r="A86" s="78" t="s">
        <v>315</v>
      </c>
      <c r="B86" s="78"/>
      <c r="C86" s="78"/>
      <c r="D86" s="57">
        <v>604.1</v>
      </c>
      <c r="E86" s="57">
        <v>972.2</v>
      </c>
      <c r="F86" s="57">
        <v>944.6</v>
      </c>
      <c r="G86" s="57">
        <v>944.3</v>
      </c>
      <c r="H86" s="57">
        <v>939.8</v>
      </c>
      <c r="I86" s="57">
        <v>939.1</v>
      </c>
      <c r="J86" s="57">
        <v>939.7</v>
      </c>
      <c r="K86" s="57">
        <v>939.4</v>
      </c>
      <c r="L86" s="57">
        <v>938.9</v>
      </c>
      <c r="M86" s="57">
        <v>939.3</v>
      </c>
    </row>
    <row r="87" spans="1:13" ht="15" customHeight="1" x14ac:dyDescent="0.4">
      <c r="A87" s="78" t="s">
        <v>316</v>
      </c>
      <c r="B87" s="78"/>
      <c r="C87" s="78"/>
      <c r="D87" s="57">
        <v>106.2</v>
      </c>
      <c r="E87" s="57">
        <v>929.5</v>
      </c>
      <c r="F87" s="57">
        <v>719</v>
      </c>
      <c r="G87" s="57">
        <v>662.8</v>
      </c>
      <c r="H87" s="57">
        <v>618.9</v>
      </c>
      <c r="I87" s="57">
        <v>556.4</v>
      </c>
      <c r="J87" s="57">
        <v>545.6</v>
      </c>
      <c r="K87" s="57">
        <v>516.4</v>
      </c>
      <c r="L87" s="57">
        <v>475.4</v>
      </c>
      <c r="M87" s="57">
        <v>500.9</v>
      </c>
    </row>
    <row r="88" spans="1:13" ht="15" customHeight="1" x14ac:dyDescent="0.4">
      <c r="A88" s="77" t="s">
        <v>317</v>
      </c>
      <c r="B88" s="77"/>
      <c r="C88" s="77"/>
      <c r="D88" s="57">
        <v>2902.1</v>
      </c>
      <c r="E88" s="57">
        <v>6677.9</v>
      </c>
      <c r="F88" s="57">
        <v>6304.4</v>
      </c>
      <c r="G88" s="57">
        <v>6372.2</v>
      </c>
      <c r="H88" s="57">
        <v>6464.7</v>
      </c>
      <c r="I88" s="57">
        <v>6401</v>
      </c>
      <c r="J88" s="57">
        <v>6717.2</v>
      </c>
      <c r="K88" s="57">
        <v>6979.3</v>
      </c>
      <c r="L88" s="57">
        <v>6989.3</v>
      </c>
      <c r="M88" s="57">
        <v>7312.9</v>
      </c>
    </row>
    <row r="89" spans="1:13" ht="15" customHeight="1" x14ac:dyDescent="0.4">
      <c r="A89" s="78" t="s">
        <v>318</v>
      </c>
      <c r="B89" s="78"/>
      <c r="C89" s="78"/>
      <c r="D89" s="57">
        <v>1548.1</v>
      </c>
      <c r="E89" s="57">
        <v>3605.8</v>
      </c>
      <c r="F89" s="57">
        <v>3382.5</v>
      </c>
      <c r="G89" s="57">
        <v>3424.8</v>
      </c>
      <c r="H89" s="57">
        <v>3475.8</v>
      </c>
      <c r="I89" s="57">
        <v>3407.6</v>
      </c>
      <c r="J89" s="57">
        <v>3544.8</v>
      </c>
      <c r="K89" s="57">
        <v>3619.6</v>
      </c>
      <c r="L89" s="57">
        <v>3558.1</v>
      </c>
      <c r="M89" s="57">
        <v>3671.5</v>
      </c>
    </row>
    <row r="90" spans="1:13" ht="15" customHeight="1" x14ac:dyDescent="0.4">
      <c r="A90" s="78" t="s">
        <v>319</v>
      </c>
      <c r="B90" s="78"/>
      <c r="C90" s="78"/>
      <c r="D90" s="57">
        <v>1354</v>
      </c>
      <c r="E90" s="57">
        <v>3072.1</v>
      </c>
      <c r="F90" s="57">
        <v>2921.9</v>
      </c>
      <c r="G90" s="57">
        <v>2947.4</v>
      </c>
      <c r="H90" s="57">
        <v>2988.9</v>
      </c>
      <c r="I90" s="57">
        <v>2993.4</v>
      </c>
      <c r="J90" s="57">
        <v>3172.4</v>
      </c>
      <c r="K90" s="57">
        <v>3359.7</v>
      </c>
      <c r="L90" s="57">
        <v>3431.2</v>
      </c>
      <c r="M90" s="57">
        <v>3641.4</v>
      </c>
    </row>
    <row r="91" spans="1:13" ht="15" customHeight="1" x14ac:dyDescent="0.4">
      <c r="A91" s="80" t="s">
        <v>320</v>
      </c>
      <c r="B91" s="80"/>
      <c r="C91" s="80"/>
      <c r="D91" s="57">
        <v>451.4</v>
      </c>
      <c r="E91" s="57">
        <v>938.5</v>
      </c>
      <c r="F91" s="57">
        <v>917.2</v>
      </c>
      <c r="G91" s="57">
        <v>992.4</v>
      </c>
      <c r="H91" s="57">
        <v>1042.5999999999999</v>
      </c>
      <c r="I91" s="57">
        <v>1063.8</v>
      </c>
      <c r="J91" s="57">
        <v>1173.4000000000001</v>
      </c>
      <c r="K91" s="57">
        <v>1301.7</v>
      </c>
      <c r="L91" s="57">
        <v>1363.7</v>
      </c>
      <c r="M91" s="57">
        <v>1493.8</v>
      </c>
    </row>
    <row r="92" spans="1:13" ht="15" customHeight="1" x14ac:dyDescent="0.4">
      <c r="A92" s="80" t="s">
        <v>321</v>
      </c>
      <c r="B92" s="80"/>
      <c r="C92" s="80"/>
      <c r="D92" s="57">
        <v>605.6</v>
      </c>
      <c r="E92" s="57">
        <v>974.1</v>
      </c>
      <c r="F92" s="57">
        <v>955.2</v>
      </c>
      <c r="G92" s="57">
        <v>954.9</v>
      </c>
      <c r="H92" s="57">
        <v>946.4</v>
      </c>
      <c r="I92" s="57">
        <v>945.7</v>
      </c>
      <c r="J92" s="57">
        <v>946.7</v>
      </c>
      <c r="K92" s="57">
        <v>946.4</v>
      </c>
      <c r="L92" s="57">
        <v>945.8</v>
      </c>
      <c r="M92" s="57">
        <v>946.4</v>
      </c>
    </row>
    <row r="93" spans="1:13" ht="15" customHeight="1" x14ac:dyDescent="0.4">
      <c r="A93" s="80" t="s">
        <v>322</v>
      </c>
      <c r="B93" s="80"/>
      <c r="C93" s="80"/>
      <c r="D93" s="57">
        <v>297</v>
      </c>
      <c r="E93" s="57">
        <v>1159.5</v>
      </c>
      <c r="F93" s="57">
        <v>1049.5</v>
      </c>
      <c r="G93" s="57">
        <v>1000.1</v>
      </c>
      <c r="H93" s="57">
        <v>999.9</v>
      </c>
      <c r="I93" s="57">
        <v>983.9</v>
      </c>
      <c r="J93" s="57">
        <v>1052.3</v>
      </c>
      <c r="K93" s="57">
        <v>1111.5999999999999</v>
      </c>
      <c r="L93" s="57">
        <v>1121.7</v>
      </c>
      <c r="M93" s="57">
        <v>1201.2</v>
      </c>
    </row>
    <row r="94" spans="1:13" ht="15" customHeight="1" x14ac:dyDescent="0.4">
      <c r="A94" s="77" t="s">
        <v>323</v>
      </c>
      <c r="B94" s="77"/>
      <c r="C94" s="77"/>
      <c r="D94" s="57">
        <v>449.6</v>
      </c>
      <c r="E94" s="57">
        <v>441.2</v>
      </c>
      <c r="F94" s="57">
        <v>588</v>
      </c>
      <c r="G94" s="57">
        <v>650.6</v>
      </c>
      <c r="H94" s="57">
        <v>732.3</v>
      </c>
      <c r="I94" s="57">
        <v>841.4</v>
      </c>
      <c r="J94" s="57">
        <v>1006.5</v>
      </c>
      <c r="K94" s="57">
        <v>1197.8</v>
      </c>
      <c r="L94" s="57">
        <v>1324.4</v>
      </c>
      <c r="M94" s="57">
        <v>1498</v>
      </c>
    </row>
    <row r="95" spans="1:13" ht="15" customHeight="1" x14ac:dyDescent="0.4">
      <c r="A95" s="78" t="s">
        <v>324</v>
      </c>
      <c r="B95" s="78"/>
      <c r="C95" s="78"/>
      <c r="D95" s="61">
        <v>0</v>
      </c>
      <c r="E95" s="61">
        <v>0</v>
      </c>
      <c r="F95" s="61">
        <v>0</v>
      </c>
      <c r="G95" s="61">
        <v>0</v>
      </c>
      <c r="H95" s="61">
        <v>0</v>
      </c>
      <c r="I95" s="61">
        <v>0</v>
      </c>
      <c r="J95" s="61">
        <v>0</v>
      </c>
      <c r="K95" s="59">
        <v>0.2</v>
      </c>
      <c r="L95" s="59">
        <v>0.1</v>
      </c>
      <c r="M95" s="59">
        <v>23.3</v>
      </c>
    </row>
    <row r="96" spans="1:13" ht="15" customHeight="1" x14ac:dyDescent="0.4">
      <c r="A96" s="78" t="s">
        <v>325</v>
      </c>
      <c r="B96" s="78"/>
      <c r="C96" s="78"/>
      <c r="D96" s="57">
        <v>449.6</v>
      </c>
      <c r="E96" s="57">
        <v>441.2</v>
      </c>
      <c r="F96" s="57">
        <v>588</v>
      </c>
      <c r="G96" s="57">
        <v>650.6</v>
      </c>
      <c r="H96" s="57">
        <v>732.3</v>
      </c>
      <c r="I96" s="57">
        <v>841.4</v>
      </c>
      <c r="J96" s="57">
        <v>1006.5</v>
      </c>
      <c r="K96" s="57">
        <v>1197.5999999999999</v>
      </c>
      <c r="L96" s="57">
        <v>1324.3</v>
      </c>
      <c r="M96" s="57">
        <v>1474.7</v>
      </c>
    </row>
    <row r="97" spans="1:13" ht="15" customHeight="1" x14ac:dyDescent="0.4">
      <c r="A97" s="80" t="s">
        <v>326</v>
      </c>
      <c r="B97" s="80"/>
      <c r="C97" s="80"/>
      <c r="D97" s="57">
        <v>257.3</v>
      </c>
      <c r="E97" s="57">
        <v>209.3</v>
      </c>
      <c r="F97" s="57">
        <v>246.9</v>
      </c>
      <c r="G97" s="57">
        <v>302.7</v>
      </c>
      <c r="H97" s="57">
        <v>344.7</v>
      </c>
      <c r="I97" s="57">
        <v>407.3</v>
      </c>
      <c r="J97" s="57">
        <v>492.8</v>
      </c>
      <c r="K97" s="57">
        <v>595.4</v>
      </c>
      <c r="L97" s="57">
        <v>671.1</v>
      </c>
      <c r="M97" s="57">
        <v>767.3</v>
      </c>
    </row>
    <row r="98" spans="1:13" ht="15" customHeight="1" x14ac:dyDescent="0.4">
      <c r="A98" s="80" t="s">
        <v>327</v>
      </c>
      <c r="B98" s="80"/>
      <c r="C98" s="80"/>
      <c r="D98" s="59">
        <v>1.5</v>
      </c>
      <c r="E98" s="59">
        <v>1.9</v>
      </c>
      <c r="F98" s="59">
        <v>10.6</v>
      </c>
      <c r="G98" s="59">
        <v>10.6</v>
      </c>
      <c r="H98" s="59">
        <v>6.6</v>
      </c>
      <c r="I98" s="59">
        <v>6.6</v>
      </c>
      <c r="J98" s="59">
        <v>7</v>
      </c>
      <c r="K98" s="59">
        <v>7</v>
      </c>
      <c r="L98" s="59">
        <v>6.9</v>
      </c>
      <c r="M98" s="59">
        <v>7.1</v>
      </c>
    </row>
    <row r="99" spans="1:13" ht="15" customHeight="1" x14ac:dyDescent="0.4">
      <c r="A99" s="80" t="s">
        <v>328</v>
      </c>
      <c r="B99" s="80"/>
      <c r="C99" s="80"/>
      <c r="D99" s="57">
        <v>190.8</v>
      </c>
      <c r="E99" s="57">
        <v>230</v>
      </c>
      <c r="F99" s="57">
        <v>330.5</v>
      </c>
      <c r="G99" s="57">
        <v>337.3</v>
      </c>
      <c r="H99" s="57">
        <v>381</v>
      </c>
      <c r="I99" s="57">
        <v>427.5</v>
      </c>
      <c r="J99" s="57">
        <v>506.7</v>
      </c>
      <c r="K99" s="57">
        <v>595.20000000000005</v>
      </c>
      <c r="L99" s="57">
        <v>646.29999999999995</v>
      </c>
      <c r="M99" s="57">
        <v>700.3</v>
      </c>
    </row>
    <row r="100" spans="1:13" ht="15" customHeight="1" x14ac:dyDescent="0.4">
      <c r="A100" s="79" t="s">
        <v>142</v>
      </c>
      <c r="B100" s="79"/>
      <c r="C100" s="87"/>
      <c r="D100" s="64">
        <v>4810.3</v>
      </c>
      <c r="E100" s="64">
        <v>9004.6</v>
      </c>
      <c r="F100" s="64">
        <v>8746.9</v>
      </c>
      <c r="G100" s="66">
        <v>10150.6</v>
      </c>
      <c r="H100" s="66">
        <v>10696.4</v>
      </c>
      <c r="I100" s="66">
        <v>10666.3</v>
      </c>
      <c r="J100" s="66">
        <v>11153</v>
      </c>
      <c r="K100" s="66">
        <v>11412.6</v>
      </c>
      <c r="L100" s="66">
        <v>12165.1</v>
      </c>
      <c r="M100" s="66">
        <v>13236.4</v>
      </c>
    </row>
    <row r="101" spans="1:13" ht="15" customHeight="1" x14ac:dyDescent="0.4">
      <c r="A101" s="75" t="s">
        <v>143</v>
      </c>
      <c r="B101" s="75"/>
      <c r="C101" s="75"/>
      <c r="D101" s="55"/>
      <c r="E101" s="55"/>
      <c r="F101" s="55"/>
      <c r="G101" s="55"/>
      <c r="H101" s="55"/>
      <c r="I101" s="55"/>
      <c r="J101" s="55"/>
      <c r="K101" s="55"/>
      <c r="L101" s="55"/>
      <c r="M101" s="55"/>
    </row>
    <row r="102" spans="1:13" ht="15" customHeight="1" x14ac:dyDescent="0.4">
      <c r="A102" s="79" t="s">
        <v>143</v>
      </c>
      <c r="B102" s="79"/>
      <c r="C102" s="79"/>
      <c r="D102" s="64">
        <v>6440.2</v>
      </c>
      <c r="E102" s="66">
        <v>11359.2</v>
      </c>
      <c r="F102" s="66">
        <v>11228.4</v>
      </c>
      <c r="G102" s="66">
        <v>12968.8</v>
      </c>
      <c r="H102" s="66">
        <v>13765.2</v>
      </c>
      <c r="I102" s="66">
        <v>14055.7</v>
      </c>
      <c r="J102" s="66">
        <v>15850.9</v>
      </c>
      <c r="K102" s="66">
        <v>16528.400000000001</v>
      </c>
      <c r="L102" s="66">
        <v>17388.400000000001</v>
      </c>
      <c r="M102" s="66">
        <v>18805.400000000001</v>
      </c>
    </row>
    <row r="103" spans="1:13" ht="15" customHeight="1" x14ac:dyDescent="0.4">
      <c r="A103" s="75" t="s">
        <v>144</v>
      </c>
      <c r="B103" s="75"/>
      <c r="C103" s="75"/>
      <c r="D103" s="55"/>
      <c r="E103" s="55"/>
      <c r="F103" s="55"/>
      <c r="G103" s="55"/>
      <c r="H103" s="55"/>
      <c r="I103" s="55"/>
      <c r="J103" s="55"/>
      <c r="K103" s="55"/>
      <c r="L103" s="55"/>
      <c r="M103" s="55"/>
    </row>
    <row r="104" spans="1:13" ht="15" customHeight="1" x14ac:dyDescent="0.4">
      <c r="A104" s="76" t="s">
        <v>329</v>
      </c>
      <c r="B104" s="76"/>
      <c r="C104" s="76"/>
      <c r="D104" s="57">
        <v>797.4</v>
      </c>
      <c r="E104" s="57">
        <v>1103.4000000000001</v>
      </c>
      <c r="F104" s="57">
        <v>1225.0999999999999</v>
      </c>
      <c r="G104" s="57">
        <v>1222.5999999999999</v>
      </c>
      <c r="H104" s="57">
        <v>1325.6</v>
      </c>
      <c r="I104" s="57">
        <v>1234.2</v>
      </c>
      <c r="J104" s="57">
        <v>1858.3</v>
      </c>
      <c r="K104" s="57">
        <v>1533.9</v>
      </c>
      <c r="L104" s="57">
        <v>1700.5</v>
      </c>
      <c r="M104" s="57">
        <v>1686.7</v>
      </c>
    </row>
    <row r="105" spans="1:13" ht="15" customHeight="1" x14ac:dyDescent="0.4">
      <c r="A105" s="77" t="s">
        <v>330</v>
      </c>
      <c r="B105" s="77"/>
      <c r="C105" s="77"/>
      <c r="D105" s="57">
        <v>574.6</v>
      </c>
      <c r="E105" s="57">
        <v>802.2</v>
      </c>
      <c r="F105" s="57">
        <v>923.9</v>
      </c>
      <c r="G105" s="57">
        <v>904.2</v>
      </c>
      <c r="H105" s="57">
        <v>975.9</v>
      </c>
      <c r="I105" s="57">
        <v>910.5</v>
      </c>
      <c r="J105" s="57">
        <v>1443.7</v>
      </c>
      <c r="K105" s="57">
        <v>1124.3</v>
      </c>
      <c r="L105" s="57">
        <v>1194</v>
      </c>
      <c r="M105" s="57">
        <v>1160.4000000000001</v>
      </c>
    </row>
    <row r="106" spans="1:13" ht="15" customHeight="1" x14ac:dyDescent="0.4">
      <c r="A106" s="77" t="s">
        <v>331</v>
      </c>
      <c r="B106" s="77"/>
      <c r="C106" s="77"/>
      <c r="D106" s="57">
        <v>222.8</v>
      </c>
      <c r="E106" s="57">
        <v>301.2</v>
      </c>
      <c r="F106" s="57">
        <v>301.2</v>
      </c>
      <c r="G106" s="57">
        <v>318.39999999999998</v>
      </c>
      <c r="H106" s="57">
        <v>349.7</v>
      </c>
      <c r="I106" s="57">
        <v>323.7</v>
      </c>
      <c r="J106" s="57">
        <v>414.6</v>
      </c>
      <c r="K106" s="57">
        <v>409.6</v>
      </c>
      <c r="L106" s="57">
        <v>506.5</v>
      </c>
      <c r="M106" s="57">
        <v>526.29999999999995</v>
      </c>
    </row>
    <row r="107" spans="1:13" ht="15" customHeight="1" x14ac:dyDescent="0.4">
      <c r="A107" s="76" t="s">
        <v>332</v>
      </c>
      <c r="B107" s="76"/>
      <c r="C107" s="76"/>
      <c r="D107" s="57">
        <v>484.6</v>
      </c>
      <c r="E107" s="57">
        <v>715.1</v>
      </c>
      <c r="F107" s="57">
        <v>735.9</v>
      </c>
      <c r="G107" s="57">
        <v>1224.9000000000001</v>
      </c>
      <c r="H107" s="57">
        <v>1407.6</v>
      </c>
      <c r="I107" s="57">
        <v>1362.5</v>
      </c>
      <c r="J107" s="57">
        <v>1712.9</v>
      </c>
      <c r="K107" s="57">
        <v>1835.1</v>
      </c>
      <c r="L107" s="57">
        <v>1607.4</v>
      </c>
      <c r="M107" s="57">
        <v>2258.1</v>
      </c>
    </row>
    <row r="108" spans="1:13" ht="15" customHeight="1" x14ac:dyDescent="0.4">
      <c r="A108" s="77" t="s">
        <v>333</v>
      </c>
      <c r="B108" s="77"/>
      <c r="C108" s="77"/>
      <c r="D108" s="57">
        <v>484.6</v>
      </c>
      <c r="E108" s="57">
        <v>715.1</v>
      </c>
      <c r="F108" s="57">
        <v>735.9</v>
      </c>
      <c r="G108" s="57">
        <v>1224.9000000000001</v>
      </c>
      <c r="H108" s="57">
        <v>1407.6</v>
      </c>
      <c r="I108" s="57">
        <v>1362.5</v>
      </c>
      <c r="J108" s="57">
        <v>1712.9</v>
      </c>
      <c r="K108" s="57">
        <v>1835.1</v>
      </c>
      <c r="L108" s="57">
        <v>1607.4</v>
      </c>
      <c r="M108" s="57">
        <v>2258.1</v>
      </c>
    </row>
    <row r="109" spans="1:13" ht="15" customHeight="1" x14ac:dyDescent="0.4">
      <c r="A109" s="78" t="s">
        <v>334</v>
      </c>
      <c r="B109" s="78"/>
      <c r="C109" s="78"/>
      <c r="D109" s="57">
        <v>119.3</v>
      </c>
      <c r="E109" s="57">
        <v>293.89999999999998</v>
      </c>
      <c r="F109" s="57">
        <v>243.9</v>
      </c>
      <c r="G109" s="57">
        <v>226.5</v>
      </c>
      <c r="H109" s="57">
        <v>103.7</v>
      </c>
      <c r="I109" s="59">
        <v>77.099999999999994</v>
      </c>
      <c r="J109" s="57">
        <v>151.9</v>
      </c>
      <c r="K109" s="57">
        <v>626.70000000000005</v>
      </c>
      <c r="L109" s="57">
        <v>236.8</v>
      </c>
      <c r="M109" s="57">
        <v>698.3</v>
      </c>
    </row>
    <row r="110" spans="1:13" ht="15" customHeight="1" x14ac:dyDescent="0.4">
      <c r="A110" s="78" t="s">
        <v>335</v>
      </c>
      <c r="B110" s="78"/>
      <c r="C110" s="78"/>
      <c r="D110" s="57">
        <v>365.3</v>
      </c>
      <c r="E110" s="57">
        <v>421.2</v>
      </c>
      <c r="F110" s="57">
        <v>492</v>
      </c>
      <c r="G110" s="57">
        <v>998.4</v>
      </c>
      <c r="H110" s="57">
        <v>1303.9000000000001</v>
      </c>
      <c r="I110" s="57">
        <v>1285.4000000000001</v>
      </c>
      <c r="J110" s="57">
        <v>1561</v>
      </c>
      <c r="K110" s="57">
        <v>1208.4000000000001</v>
      </c>
      <c r="L110" s="57">
        <v>1370.6</v>
      </c>
      <c r="M110" s="57">
        <v>1559.8</v>
      </c>
    </row>
    <row r="111" spans="1:13" ht="15" customHeight="1" x14ac:dyDescent="0.4">
      <c r="A111" s="76" t="s">
        <v>336</v>
      </c>
      <c r="B111" s="76"/>
      <c r="C111" s="76"/>
      <c r="D111" s="59">
        <v>12.4</v>
      </c>
      <c r="E111" s="59">
        <v>22.4</v>
      </c>
      <c r="F111" s="59">
        <v>3.3</v>
      </c>
      <c r="G111" s="59">
        <v>6.4</v>
      </c>
      <c r="H111" s="59">
        <v>12.8</v>
      </c>
      <c r="I111" s="59">
        <v>6.9</v>
      </c>
      <c r="J111" s="59">
        <v>15.2</v>
      </c>
      <c r="K111" s="59">
        <v>11.5</v>
      </c>
      <c r="L111" s="59">
        <v>21.2</v>
      </c>
      <c r="M111" s="59">
        <v>41</v>
      </c>
    </row>
    <row r="112" spans="1:13" ht="15" customHeight="1" x14ac:dyDescent="0.4">
      <c r="A112" s="76" t="s">
        <v>337</v>
      </c>
      <c r="B112" s="76"/>
      <c r="C112" s="76"/>
      <c r="D112" s="61"/>
      <c r="E112" s="61"/>
      <c r="F112" s="61"/>
      <c r="G112" s="61"/>
      <c r="H112" s="61"/>
      <c r="I112" s="61"/>
      <c r="J112" s="61"/>
      <c r="K112" s="59">
        <v>27.2</v>
      </c>
      <c r="L112" s="59">
        <v>45.2</v>
      </c>
      <c r="M112" s="61">
        <v>0</v>
      </c>
    </row>
    <row r="113" spans="1:13" ht="15" customHeight="1" x14ac:dyDescent="0.4">
      <c r="A113" s="76" t="s">
        <v>338</v>
      </c>
      <c r="B113" s="76"/>
      <c r="C113" s="76"/>
      <c r="D113" s="57">
        <v>144.5</v>
      </c>
      <c r="E113" s="57">
        <v>155.69999999999999</v>
      </c>
      <c r="F113" s="57">
        <v>193.4</v>
      </c>
      <c r="G113" s="57">
        <v>180.2</v>
      </c>
      <c r="H113" s="57">
        <v>195.9</v>
      </c>
      <c r="I113" s="57">
        <v>168.9</v>
      </c>
      <c r="J113" s="57">
        <v>170.2</v>
      </c>
      <c r="K113" s="57">
        <v>181.3</v>
      </c>
      <c r="L113" s="57">
        <v>220.5</v>
      </c>
      <c r="M113" s="57">
        <v>210.5</v>
      </c>
    </row>
    <row r="114" spans="1:13" ht="15" customHeight="1" x14ac:dyDescent="0.4">
      <c r="A114" s="76" t="s">
        <v>339</v>
      </c>
      <c r="B114" s="76"/>
      <c r="C114" s="76"/>
      <c r="D114" s="57">
        <v>292.60000000000002</v>
      </c>
      <c r="E114" s="57">
        <v>675.9</v>
      </c>
      <c r="F114" s="57">
        <v>691.9</v>
      </c>
      <c r="G114" s="57">
        <v>1030.5</v>
      </c>
      <c r="H114" s="57">
        <v>987.1</v>
      </c>
      <c r="I114" s="57">
        <v>1045.8</v>
      </c>
      <c r="J114" s="57">
        <v>1348.7</v>
      </c>
      <c r="K114" s="57">
        <v>1290.9000000000001</v>
      </c>
      <c r="L114" s="57">
        <v>1378</v>
      </c>
      <c r="M114" s="57">
        <v>1313.9</v>
      </c>
    </row>
    <row r="115" spans="1:13" ht="15" customHeight="1" x14ac:dyDescent="0.4">
      <c r="A115" s="77" t="s">
        <v>340</v>
      </c>
      <c r="B115" s="77"/>
      <c r="C115" s="77"/>
      <c r="D115" s="59">
        <v>77.400000000000006</v>
      </c>
      <c r="E115" s="59">
        <v>74.900000000000006</v>
      </c>
      <c r="F115" s="59">
        <v>76.2</v>
      </c>
      <c r="G115" s="57">
        <v>820.1</v>
      </c>
      <c r="H115" s="57">
        <v>757.6</v>
      </c>
      <c r="I115" s="57">
        <v>781</v>
      </c>
      <c r="J115" s="57">
        <v>1064.3</v>
      </c>
      <c r="K115" s="57">
        <v>975.4</v>
      </c>
      <c r="L115" s="57">
        <v>915.4</v>
      </c>
      <c r="M115" s="57">
        <v>920.7</v>
      </c>
    </row>
    <row r="116" spans="1:13" ht="15" customHeight="1" x14ac:dyDescent="0.4">
      <c r="A116" s="77" t="s">
        <v>341</v>
      </c>
      <c r="B116" s="77"/>
      <c r="C116" s="77"/>
      <c r="D116" s="59">
        <v>39.200000000000003</v>
      </c>
      <c r="E116" s="59">
        <v>72.599999999999994</v>
      </c>
      <c r="F116" s="59">
        <v>68.5</v>
      </c>
      <c r="G116" s="61"/>
      <c r="H116" s="61"/>
      <c r="I116" s="61"/>
      <c r="J116" s="61"/>
      <c r="K116" s="61"/>
      <c r="L116" s="61"/>
      <c r="M116" s="61"/>
    </row>
    <row r="117" spans="1:13" ht="15" customHeight="1" x14ac:dyDescent="0.4">
      <c r="A117" s="77" t="s">
        <v>342</v>
      </c>
      <c r="B117" s="77"/>
      <c r="C117" s="77"/>
      <c r="D117" s="57">
        <v>111.5</v>
      </c>
      <c r="E117" s="57">
        <v>163.4</v>
      </c>
      <c r="F117" s="57">
        <v>149</v>
      </c>
      <c r="G117" s="57">
        <v>127.2</v>
      </c>
      <c r="H117" s="57">
        <v>140.6</v>
      </c>
      <c r="I117" s="57">
        <v>165.5</v>
      </c>
      <c r="J117" s="57">
        <v>197.2</v>
      </c>
      <c r="K117" s="57">
        <v>229.4</v>
      </c>
      <c r="L117" s="57">
        <v>278.60000000000002</v>
      </c>
      <c r="M117" s="57">
        <v>269.39999999999998</v>
      </c>
    </row>
    <row r="118" spans="1:13" ht="15" customHeight="1" x14ac:dyDescent="0.4">
      <c r="A118" s="77" t="s">
        <v>343</v>
      </c>
      <c r="B118" s="77"/>
      <c r="C118" s="77"/>
      <c r="D118" s="59">
        <v>64.5</v>
      </c>
      <c r="E118" s="57">
        <v>365</v>
      </c>
      <c r="F118" s="57">
        <v>398.2</v>
      </c>
      <c r="G118" s="59">
        <v>83.2</v>
      </c>
      <c r="H118" s="59">
        <v>88.9</v>
      </c>
      <c r="I118" s="59">
        <v>99.3</v>
      </c>
      <c r="J118" s="59">
        <v>87.2</v>
      </c>
      <c r="K118" s="59">
        <v>86.1</v>
      </c>
      <c r="L118" s="57">
        <v>184</v>
      </c>
      <c r="M118" s="57">
        <v>123.8</v>
      </c>
    </row>
    <row r="119" spans="1:13" ht="15" customHeight="1" x14ac:dyDescent="0.4">
      <c r="A119" s="79" t="s">
        <v>151</v>
      </c>
      <c r="B119" s="79"/>
      <c r="C119" s="79"/>
      <c r="D119" s="64">
        <v>1731.5</v>
      </c>
      <c r="E119" s="64">
        <v>2672.5</v>
      </c>
      <c r="F119" s="64">
        <v>2849.6</v>
      </c>
      <c r="G119" s="64">
        <v>3664.6</v>
      </c>
      <c r="H119" s="64">
        <v>3929</v>
      </c>
      <c r="I119" s="64">
        <v>3818.3</v>
      </c>
      <c r="J119" s="64">
        <v>5105.3</v>
      </c>
      <c r="K119" s="64">
        <v>4879.8999999999996</v>
      </c>
      <c r="L119" s="64">
        <v>4972.8</v>
      </c>
      <c r="M119" s="64">
        <v>5510.2</v>
      </c>
    </row>
    <row r="120" spans="1:13" ht="15" customHeight="1" x14ac:dyDescent="0.4">
      <c r="A120" s="75" t="s">
        <v>152</v>
      </c>
      <c r="B120" s="75"/>
      <c r="C120" s="75"/>
      <c r="D120" s="55"/>
      <c r="E120" s="55"/>
      <c r="F120" s="55"/>
      <c r="G120" s="55"/>
      <c r="H120" s="55"/>
      <c r="I120" s="55"/>
      <c r="J120" s="55"/>
      <c r="K120" s="55"/>
      <c r="L120" s="55"/>
      <c r="M120" s="55"/>
    </row>
    <row r="121" spans="1:13" ht="15" customHeight="1" x14ac:dyDescent="0.4">
      <c r="A121" s="76" t="s">
        <v>153</v>
      </c>
      <c r="B121" s="76"/>
      <c r="C121" s="76"/>
      <c r="D121" s="57">
        <v>1486.5</v>
      </c>
      <c r="E121" s="57">
        <v>3952.8</v>
      </c>
      <c r="F121" s="57">
        <v>3205.3</v>
      </c>
      <c r="G121" s="57">
        <v>3744.5</v>
      </c>
      <c r="H121" s="57">
        <v>4009.8</v>
      </c>
      <c r="I121" s="57">
        <v>3603.9</v>
      </c>
      <c r="J121" s="57">
        <v>3441.1</v>
      </c>
      <c r="K121" s="57">
        <v>4497.1000000000004</v>
      </c>
      <c r="L121" s="57">
        <v>5026.8999999999996</v>
      </c>
      <c r="M121" s="57">
        <v>5434</v>
      </c>
    </row>
    <row r="122" spans="1:13" ht="15" customHeight="1" x14ac:dyDescent="0.4">
      <c r="A122" s="77" t="s">
        <v>344</v>
      </c>
      <c r="B122" s="77"/>
      <c r="C122" s="77"/>
      <c r="D122" s="57">
        <v>557.20000000000005</v>
      </c>
      <c r="E122" s="57">
        <v>2889.1</v>
      </c>
      <c r="F122" s="57">
        <v>2024.8</v>
      </c>
      <c r="G122" s="57">
        <v>1818.7</v>
      </c>
      <c r="H122" s="57">
        <v>1716.8</v>
      </c>
      <c r="I122" s="57">
        <v>1117.4000000000001</v>
      </c>
      <c r="J122" s="57">
        <v>898.7</v>
      </c>
      <c r="K122" s="57">
        <v>1361.8</v>
      </c>
      <c r="L122" s="57">
        <v>1285.5999999999999</v>
      </c>
      <c r="M122" s="57">
        <v>1002</v>
      </c>
    </row>
    <row r="123" spans="1:13" ht="15" customHeight="1" x14ac:dyDescent="0.4">
      <c r="A123" s="78" t="s">
        <v>345</v>
      </c>
      <c r="B123" s="78"/>
      <c r="C123" s="78"/>
      <c r="D123" s="57">
        <v>557.20000000000005</v>
      </c>
      <c r="E123" s="57">
        <v>2889.1</v>
      </c>
      <c r="F123" s="57">
        <v>2024.8</v>
      </c>
      <c r="G123" s="57">
        <v>1818.7</v>
      </c>
      <c r="H123" s="57">
        <v>1716.8</v>
      </c>
      <c r="I123" s="57">
        <v>1117.4000000000001</v>
      </c>
      <c r="J123" s="57">
        <v>898.7</v>
      </c>
      <c r="K123" s="57">
        <v>1361.8</v>
      </c>
      <c r="L123" s="57">
        <v>1285.5999999999999</v>
      </c>
      <c r="M123" s="57">
        <v>1002</v>
      </c>
    </row>
    <row r="124" spans="1:13" ht="15" customHeight="1" x14ac:dyDescent="0.4">
      <c r="A124" s="77" t="s">
        <v>346</v>
      </c>
      <c r="B124" s="77"/>
      <c r="C124" s="77"/>
      <c r="D124" s="57">
        <v>929.3</v>
      </c>
      <c r="E124" s="57">
        <v>1063.7</v>
      </c>
      <c r="F124" s="57">
        <v>1180.5</v>
      </c>
      <c r="G124" s="57">
        <v>1925.8</v>
      </c>
      <c r="H124" s="57">
        <v>2293</v>
      </c>
      <c r="I124" s="57">
        <v>2486.5</v>
      </c>
      <c r="J124" s="57">
        <v>2542.4</v>
      </c>
      <c r="K124" s="57">
        <v>3135.3</v>
      </c>
      <c r="L124" s="57">
        <v>3741.3</v>
      </c>
      <c r="M124" s="57">
        <v>4432</v>
      </c>
    </row>
    <row r="125" spans="1:13" ht="15" customHeight="1" x14ac:dyDescent="0.4">
      <c r="A125" s="76" t="s">
        <v>154</v>
      </c>
      <c r="B125" s="76"/>
      <c r="C125" s="76"/>
      <c r="D125" s="61">
        <v>0</v>
      </c>
      <c r="E125" s="61"/>
      <c r="F125" s="59">
        <v>1.9</v>
      </c>
      <c r="G125" s="59">
        <v>7.9</v>
      </c>
      <c r="H125" s="59">
        <v>11.4</v>
      </c>
      <c r="I125" s="59">
        <v>9.6999999999999993</v>
      </c>
      <c r="J125" s="59">
        <v>1.4</v>
      </c>
      <c r="K125" s="59">
        <v>5.4</v>
      </c>
      <c r="L125" s="59">
        <v>6.5</v>
      </c>
      <c r="M125" s="59">
        <v>7.1</v>
      </c>
    </row>
    <row r="126" spans="1:13" ht="15" customHeight="1" x14ac:dyDescent="0.4">
      <c r="A126" s="76" t="s">
        <v>155</v>
      </c>
      <c r="B126" s="76"/>
      <c r="C126" s="76"/>
      <c r="D126" s="57">
        <v>302.7</v>
      </c>
      <c r="E126" s="57">
        <v>905.3</v>
      </c>
      <c r="F126" s="57">
        <v>665.2</v>
      </c>
      <c r="G126" s="57">
        <v>626.70000000000005</v>
      </c>
      <c r="H126" s="57">
        <v>570.9</v>
      </c>
      <c r="I126" s="57">
        <v>511.1</v>
      </c>
      <c r="J126" s="57">
        <v>523.5</v>
      </c>
      <c r="K126" s="57">
        <v>492.8</v>
      </c>
      <c r="L126" s="57">
        <v>448.9</v>
      </c>
      <c r="M126" s="57">
        <v>446.7</v>
      </c>
    </row>
    <row r="127" spans="1:13" ht="15" customHeight="1" x14ac:dyDescent="0.4">
      <c r="A127" s="77" t="s">
        <v>347</v>
      </c>
      <c r="B127" s="77"/>
      <c r="C127" s="77"/>
      <c r="D127" s="57">
        <v>302.7</v>
      </c>
      <c r="E127" s="57">
        <v>905.3</v>
      </c>
      <c r="F127" s="57">
        <v>665.2</v>
      </c>
      <c r="G127" s="57">
        <v>626.70000000000005</v>
      </c>
      <c r="H127" s="57">
        <v>570.9</v>
      </c>
      <c r="I127" s="57">
        <v>511.1</v>
      </c>
      <c r="J127" s="57">
        <v>523.5</v>
      </c>
      <c r="K127" s="57">
        <v>492.8</v>
      </c>
      <c r="L127" s="57">
        <v>448.9</v>
      </c>
      <c r="M127" s="57">
        <v>446.7</v>
      </c>
    </row>
    <row r="128" spans="1:13" ht="15" customHeight="1" x14ac:dyDescent="0.4">
      <c r="A128" s="76" t="s">
        <v>156</v>
      </c>
      <c r="B128" s="76"/>
      <c r="C128" s="76"/>
      <c r="D128" s="57">
        <v>1070.8</v>
      </c>
      <c r="E128" s="57">
        <v>1293.5</v>
      </c>
      <c r="F128" s="57">
        <v>1357.6</v>
      </c>
      <c r="G128" s="57">
        <v>1620</v>
      </c>
      <c r="H128" s="57">
        <v>1685.7</v>
      </c>
      <c r="I128" s="57">
        <v>1841.9</v>
      </c>
      <c r="J128" s="57">
        <v>1610.7</v>
      </c>
      <c r="K128" s="57">
        <v>1045.4000000000001</v>
      </c>
      <c r="L128" s="57">
        <v>1160.5999999999999</v>
      </c>
      <c r="M128" s="57">
        <v>1200.3</v>
      </c>
    </row>
    <row r="129" spans="1:13" ht="15" customHeight="1" x14ac:dyDescent="0.4">
      <c r="A129" s="77" t="s">
        <v>348</v>
      </c>
      <c r="B129" s="77"/>
      <c r="C129" s="77"/>
      <c r="D129" s="57">
        <v>881.4</v>
      </c>
      <c r="E129" s="57">
        <v>1083.3</v>
      </c>
      <c r="F129" s="57">
        <v>1098.3</v>
      </c>
      <c r="G129" s="57">
        <v>1141.9000000000001</v>
      </c>
      <c r="H129" s="57">
        <v>1377.2</v>
      </c>
      <c r="I129" s="57">
        <v>1595</v>
      </c>
      <c r="J129" s="57">
        <v>1408.4</v>
      </c>
      <c r="K129" s="57">
        <v>853.6</v>
      </c>
      <c r="L129" s="57">
        <v>949.4</v>
      </c>
      <c r="M129" s="57">
        <v>960.6</v>
      </c>
    </row>
    <row r="130" spans="1:13" ht="15" customHeight="1" x14ac:dyDescent="0.4">
      <c r="A130" s="78" t="s">
        <v>349</v>
      </c>
      <c r="B130" s="78"/>
      <c r="C130" s="78"/>
      <c r="D130" s="57">
        <v>841.1</v>
      </c>
      <c r="E130" s="57">
        <v>1041.5999999999999</v>
      </c>
      <c r="F130" s="57">
        <v>1056.5</v>
      </c>
      <c r="G130" s="57">
        <v>1095.5</v>
      </c>
      <c r="H130" s="57">
        <v>1337.2</v>
      </c>
      <c r="I130" s="57">
        <v>1553.3</v>
      </c>
      <c r="J130" s="57">
        <v>1363.8</v>
      </c>
      <c r="K130" s="57">
        <v>773.1</v>
      </c>
      <c r="L130" s="57">
        <v>855.8</v>
      </c>
      <c r="M130" s="57">
        <v>858.5</v>
      </c>
    </row>
    <row r="131" spans="1:13" ht="15" customHeight="1" x14ac:dyDescent="0.4">
      <c r="A131" s="78" t="s">
        <v>350</v>
      </c>
      <c r="B131" s="78"/>
      <c r="C131" s="78"/>
      <c r="D131" s="59">
        <v>40.299999999999997</v>
      </c>
      <c r="E131" s="59">
        <v>41.7</v>
      </c>
      <c r="F131" s="59">
        <v>41.8</v>
      </c>
      <c r="G131" s="59">
        <v>46.4</v>
      </c>
      <c r="H131" s="59">
        <v>40</v>
      </c>
      <c r="I131" s="59">
        <v>41.7</v>
      </c>
      <c r="J131" s="59">
        <v>44.6</v>
      </c>
      <c r="K131" s="59">
        <v>80.5</v>
      </c>
      <c r="L131" s="59">
        <v>93.6</v>
      </c>
      <c r="M131" s="57">
        <v>102.1</v>
      </c>
    </row>
    <row r="132" spans="1:13" ht="15" customHeight="1" x14ac:dyDescent="0.4">
      <c r="A132" s="77" t="s">
        <v>351</v>
      </c>
      <c r="B132" s="77"/>
      <c r="C132" s="77"/>
      <c r="D132" s="57">
        <v>185.4</v>
      </c>
      <c r="E132" s="57">
        <v>202.8</v>
      </c>
      <c r="F132" s="57">
        <v>235.7</v>
      </c>
      <c r="G132" s="57">
        <v>473.5</v>
      </c>
      <c r="H132" s="57">
        <v>301.2</v>
      </c>
      <c r="I132" s="57">
        <v>228.2</v>
      </c>
      <c r="J132" s="57">
        <v>184.7</v>
      </c>
      <c r="K132" s="57">
        <v>180.5</v>
      </c>
      <c r="L132" s="57">
        <v>173.4</v>
      </c>
      <c r="M132" s="57">
        <v>200.6</v>
      </c>
    </row>
    <row r="133" spans="1:13" ht="15" customHeight="1" x14ac:dyDescent="0.4">
      <c r="A133" s="77" t="s">
        <v>352</v>
      </c>
      <c r="B133" s="77"/>
      <c r="C133" s="77"/>
      <c r="D133" s="59">
        <v>4</v>
      </c>
      <c r="E133" s="59">
        <v>7.4</v>
      </c>
      <c r="F133" s="59">
        <v>23.6</v>
      </c>
      <c r="G133" s="59">
        <v>4.5999999999999996</v>
      </c>
      <c r="H133" s="59">
        <v>7.3</v>
      </c>
      <c r="I133" s="59">
        <v>18.7</v>
      </c>
      <c r="J133" s="59">
        <v>17.600000000000001</v>
      </c>
      <c r="K133" s="59">
        <v>11.3</v>
      </c>
      <c r="L133" s="59">
        <v>37.799999999999997</v>
      </c>
      <c r="M133" s="59">
        <v>39.1</v>
      </c>
    </row>
    <row r="134" spans="1:13" ht="15" customHeight="1" x14ac:dyDescent="0.4">
      <c r="A134" s="76" t="s">
        <v>157</v>
      </c>
      <c r="B134" s="76"/>
      <c r="C134" s="76"/>
      <c r="D134" s="57">
        <v>2860</v>
      </c>
      <c r="E134" s="57">
        <v>6151.6</v>
      </c>
      <c r="F134" s="57">
        <v>5230</v>
      </c>
      <c r="G134" s="57">
        <v>5999.1</v>
      </c>
      <c r="H134" s="57">
        <v>6277.8</v>
      </c>
      <c r="I134" s="57">
        <v>5966.6</v>
      </c>
      <c r="J134" s="57">
        <v>5576.7</v>
      </c>
      <c r="K134" s="57">
        <v>6040.7</v>
      </c>
      <c r="L134" s="57">
        <v>6642.9</v>
      </c>
      <c r="M134" s="57">
        <v>7088.1</v>
      </c>
    </row>
    <row r="135" spans="1:13" ht="15" customHeight="1" x14ac:dyDescent="0.4">
      <c r="A135" s="75" t="s">
        <v>353</v>
      </c>
      <c r="B135" s="75"/>
      <c r="C135" s="75"/>
      <c r="D135" s="55"/>
      <c r="E135" s="55"/>
      <c r="F135" s="55"/>
      <c r="G135" s="55"/>
      <c r="H135" s="55"/>
      <c r="I135" s="55"/>
      <c r="J135" s="55"/>
      <c r="K135" s="55"/>
      <c r="L135" s="55"/>
      <c r="M135" s="55"/>
    </row>
    <row r="136" spans="1:13" ht="15" customHeight="1" x14ac:dyDescent="0.4">
      <c r="A136" s="79" t="s">
        <v>353</v>
      </c>
      <c r="B136" s="79"/>
      <c r="C136" s="79"/>
      <c r="D136" s="64">
        <v>4591.5</v>
      </c>
      <c r="E136" s="64">
        <v>8824.1</v>
      </c>
      <c r="F136" s="64">
        <v>8079.6</v>
      </c>
      <c r="G136" s="64">
        <v>9663.7000000000007</v>
      </c>
      <c r="H136" s="66">
        <v>10206.799999999999</v>
      </c>
      <c r="I136" s="64">
        <v>9784.9</v>
      </c>
      <c r="J136" s="66">
        <v>10682</v>
      </c>
      <c r="K136" s="66">
        <v>10920.6</v>
      </c>
      <c r="L136" s="66">
        <v>11615.7</v>
      </c>
      <c r="M136" s="66">
        <v>12598.3</v>
      </c>
    </row>
    <row r="137" spans="1:13" ht="15" customHeight="1" x14ac:dyDescent="0.4">
      <c r="A137" s="75" t="s">
        <v>158</v>
      </c>
      <c r="B137" s="75"/>
      <c r="C137" s="75"/>
      <c r="D137" s="55"/>
      <c r="E137" s="55"/>
      <c r="F137" s="55"/>
      <c r="G137" s="55"/>
      <c r="H137" s="55"/>
      <c r="I137" s="55"/>
      <c r="J137" s="55"/>
      <c r="K137" s="55"/>
      <c r="L137" s="55"/>
      <c r="M137" s="55"/>
    </row>
    <row r="138" spans="1:13" ht="15" customHeight="1" x14ac:dyDescent="0.4">
      <c r="A138" s="76" t="s">
        <v>354</v>
      </c>
      <c r="B138" s="76"/>
      <c r="C138" s="76"/>
      <c r="D138" s="57">
        <v>1841</v>
      </c>
      <c r="E138" s="57">
        <v>2529.4</v>
      </c>
      <c r="F138" s="57">
        <v>3144.4</v>
      </c>
      <c r="G138" s="57">
        <v>3301.8</v>
      </c>
      <c r="H138" s="57">
        <v>3567.6</v>
      </c>
      <c r="I138" s="57">
        <v>4283.8999999999996</v>
      </c>
      <c r="J138" s="57">
        <v>5177.2</v>
      </c>
      <c r="K138" s="57">
        <v>5608.7</v>
      </c>
      <c r="L138" s="57">
        <v>5766.8</v>
      </c>
      <c r="M138" s="57">
        <v>6189.4</v>
      </c>
    </row>
    <row r="139" spans="1:13" ht="15" customHeight="1" x14ac:dyDescent="0.4">
      <c r="A139" s="77" t="s">
        <v>355</v>
      </c>
      <c r="B139" s="77"/>
      <c r="C139" s="77"/>
      <c r="D139" s="57">
        <v>1841</v>
      </c>
      <c r="E139" s="57">
        <v>2529.4</v>
      </c>
      <c r="F139" s="57">
        <v>3144.4</v>
      </c>
      <c r="G139" s="57">
        <v>3301.8</v>
      </c>
      <c r="H139" s="57">
        <v>3567.6</v>
      </c>
      <c r="I139" s="57">
        <v>4283.8999999999996</v>
      </c>
      <c r="J139" s="57">
        <v>5177.2</v>
      </c>
      <c r="K139" s="57">
        <v>5608.7</v>
      </c>
      <c r="L139" s="57">
        <v>5766.8</v>
      </c>
      <c r="M139" s="57">
        <v>6189.4</v>
      </c>
    </row>
    <row r="140" spans="1:13" ht="15" customHeight="1" x14ac:dyDescent="0.4">
      <c r="A140" s="78" t="s">
        <v>356</v>
      </c>
      <c r="B140" s="78"/>
      <c r="C140" s="78"/>
      <c r="D140" s="57">
        <v>2095.3000000000002</v>
      </c>
      <c r="E140" s="57">
        <v>2553</v>
      </c>
      <c r="F140" s="57">
        <v>3151.9</v>
      </c>
      <c r="G140" s="57">
        <v>3151</v>
      </c>
      <c r="H140" s="57">
        <v>3152.7</v>
      </c>
      <c r="I140" s="57">
        <v>3956.9</v>
      </c>
      <c r="J140" s="57">
        <v>3957.5</v>
      </c>
      <c r="K140" s="57">
        <v>3957.8</v>
      </c>
      <c r="L140" s="57">
        <v>3957.8</v>
      </c>
      <c r="M140" s="57">
        <v>3957.8</v>
      </c>
    </row>
    <row r="141" spans="1:13" ht="15" customHeight="1" x14ac:dyDescent="0.4">
      <c r="A141" s="80" t="s">
        <v>357</v>
      </c>
      <c r="B141" s="80"/>
      <c r="C141" s="80"/>
      <c r="D141" s="59">
        <v>98.7</v>
      </c>
      <c r="E141" s="57">
        <v>108.6</v>
      </c>
      <c r="F141" s="57">
        <v>117.9</v>
      </c>
      <c r="G141" s="57">
        <v>117.9</v>
      </c>
      <c r="H141" s="57">
        <v>118</v>
      </c>
      <c r="I141" s="57">
        <v>131.1</v>
      </c>
      <c r="J141" s="57">
        <v>131.1</v>
      </c>
      <c r="K141" s="57">
        <v>131.1</v>
      </c>
      <c r="L141" s="57">
        <v>131.1</v>
      </c>
      <c r="M141" s="57">
        <v>131.1</v>
      </c>
    </row>
    <row r="142" spans="1:13" ht="15" customHeight="1" x14ac:dyDescent="0.4">
      <c r="A142" s="80" t="s">
        <v>358</v>
      </c>
      <c r="B142" s="80"/>
      <c r="C142" s="80"/>
      <c r="D142" s="57">
        <v>1996.6</v>
      </c>
      <c r="E142" s="57">
        <v>2444.4</v>
      </c>
      <c r="F142" s="57">
        <v>3034</v>
      </c>
      <c r="G142" s="57">
        <v>3033.1</v>
      </c>
      <c r="H142" s="57">
        <v>3034.7</v>
      </c>
      <c r="I142" s="57">
        <v>3825.8</v>
      </c>
      <c r="J142" s="57">
        <v>3826.4</v>
      </c>
      <c r="K142" s="57">
        <v>3826.7</v>
      </c>
      <c r="L142" s="57">
        <v>3826.7</v>
      </c>
      <c r="M142" s="57">
        <v>3826.7</v>
      </c>
    </row>
    <row r="143" spans="1:13" ht="15" customHeight="1" x14ac:dyDescent="0.4">
      <c r="A143" s="78" t="s">
        <v>359</v>
      </c>
      <c r="B143" s="78"/>
      <c r="C143" s="78"/>
      <c r="D143" s="67">
        <v>-254.3</v>
      </c>
      <c r="E143" s="62">
        <v>-23.6</v>
      </c>
      <c r="F143" s="62">
        <v>-7.5</v>
      </c>
      <c r="G143" s="57">
        <v>150.80000000000001</v>
      </c>
      <c r="H143" s="57">
        <v>414.9</v>
      </c>
      <c r="I143" s="57">
        <v>327</v>
      </c>
      <c r="J143" s="57">
        <v>1219.7</v>
      </c>
      <c r="K143" s="57">
        <v>1650.9</v>
      </c>
      <c r="L143" s="57">
        <v>1809</v>
      </c>
      <c r="M143" s="57">
        <v>2231.6</v>
      </c>
    </row>
    <row r="144" spans="1:13" ht="15" customHeight="1" x14ac:dyDescent="0.4">
      <c r="A144" s="80" t="s">
        <v>360</v>
      </c>
      <c r="B144" s="80"/>
      <c r="C144" s="80"/>
      <c r="D144" s="59">
        <v>11.3</v>
      </c>
      <c r="E144" s="57">
        <v>183.4</v>
      </c>
      <c r="F144" s="57">
        <v>521.29999999999995</v>
      </c>
      <c r="G144" s="57">
        <v>662.1</v>
      </c>
      <c r="H144" s="57">
        <v>975.2</v>
      </c>
      <c r="I144" s="57">
        <v>1184.5999999999999</v>
      </c>
      <c r="J144" s="57">
        <v>1699.2</v>
      </c>
      <c r="K144" s="57">
        <v>1600.5</v>
      </c>
      <c r="L144" s="57">
        <v>1867.3</v>
      </c>
      <c r="M144" s="57">
        <v>2135.6999999999998</v>
      </c>
    </row>
    <row r="145" spans="1:13" ht="15" customHeight="1" x14ac:dyDescent="0.4">
      <c r="A145" s="80" t="s">
        <v>361</v>
      </c>
      <c r="B145" s="80"/>
      <c r="C145" s="80"/>
      <c r="D145" s="67">
        <v>-265.5</v>
      </c>
      <c r="E145" s="67">
        <v>-207</v>
      </c>
      <c r="F145" s="67">
        <v>-528.79999999999995</v>
      </c>
      <c r="G145" s="67">
        <v>-511.4</v>
      </c>
      <c r="H145" s="67">
        <v>-560.29999999999995</v>
      </c>
      <c r="I145" s="67">
        <v>-857.6</v>
      </c>
      <c r="J145" s="67">
        <v>-479.6</v>
      </c>
      <c r="K145" s="59">
        <v>50.3</v>
      </c>
      <c r="L145" s="62">
        <v>-58.3</v>
      </c>
      <c r="M145" s="59">
        <v>95.9</v>
      </c>
    </row>
    <row r="146" spans="1:13" ht="15" customHeight="1" x14ac:dyDescent="0.4">
      <c r="A146" s="81" t="s">
        <v>362</v>
      </c>
      <c r="B146" s="81"/>
      <c r="C146" s="81"/>
      <c r="D146" s="62">
        <v>-2</v>
      </c>
      <c r="E146" s="62">
        <v>-2.2000000000000002</v>
      </c>
      <c r="F146" s="59">
        <v>7.8</v>
      </c>
      <c r="G146" s="59">
        <v>1.5</v>
      </c>
      <c r="H146" s="62">
        <v>-0.8</v>
      </c>
      <c r="I146" s="62">
        <v>-1.2</v>
      </c>
      <c r="J146" s="59">
        <v>0.6</v>
      </c>
      <c r="K146" s="59">
        <v>20.3</v>
      </c>
      <c r="L146" s="59">
        <v>52.1</v>
      </c>
      <c r="M146" s="59">
        <v>78.8</v>
      </c>
    </row>
    <row r="147" spans="1:13" ht="15" customHeight="1" x14ac:dyDescent="0.4">
      <c r="A147" s="81" t="s">
        <v>363</v>
      </c>
      <c r="B147" s="81"/>
      <c r="C147" s="81"/>
      <c r="D147" s="62">
        <v>-0.2</v>
      </c>
      <c r="E147" s="62">
        <v>-1.9</v>
      </c>
      <c r="F147" s="59">
        <v>1.8</v>
      </c>
      <c r="G147" s="62">
        <v>-10.4</v>
      </c>
      <c r="H147" s="62">
        <v>-16.8</v>
      </c>
      <c r="I147" s="62">
        <v>-1.2</v>
      </c>
      <c r="J147" s="62">
        <v>-4.5</v>
      </c>
      <c r="K147" s="59">
        <v>2.5</v>
      </c>
      <c r="L147" s="62">
        <v>-0.5</v>
      </c>
      <c r="M147" s="62">
        <v>-9</v>
      </c>
    </row>
    <row r="148" spans="1:13" ht="15" customHeight="1" x14ac:dyDescent="0.4">
      <c r="A148" s="81" t="s">
        <v>364</v>
      </c>
      <c r="B148" s="81"/>
      <c r="C148" s="81"/>
      <c r="D148" s="62">
        <v>-11.4</v>
      </c>
      <c r="E148" s="59">
        <v>99</v>
      </c>
      <c r="F148" s="67">
        <v>-255.1</v>
      </c>
      <c r="G148" s="67">
        <v>-218.9</v>
      </c>
      <c r="H148" s="67">
        <v>-143.5</v>
      </c>
      <c r="I148" s="67">
        <v>-350.3</v>
      </c>
      <c r="J148" s="67">
        <v>-121.8</v>
      </c>
      <c r="K148" s="62">
        <v>-29.1</v>
      </c>
      <c r="L148" s="67">
        <v>-107.8</v>
      </c>
      <c r="M148" s="59">
        <v>43.5</v>
      </c>
    </row>
    <row r="149" spans="1:13" ht="15" customHeight="1" x14ac:dyDescent="0.4">
      <c r="A149" s="81" t="s">
        <v>365</v>
      </c>
      <c r="B149" s="81"/>
      <c r="C149" s="81"/>
      <c r="D149" s="67">
        <v>-251.9</v>
      </c>
      <c r="E149" s="67">
        <v>-302</v>
      </c>
      <c r="F149" s="67">
        <v>-283.3</v>
      </c>
      <c r="G149" s="67">
        <v>-283.5</v>
      </c>
      <c r="H149" s="67">
        <v>-399.3</v>
      </c>
      <c r="I149" s="67">
        <v>-504.9</v>
      </c>
      <c r="J149" s="67">
        <v>-354</v>
      </c>
      <c r="K149" s="59">
        <v>56.6</v>
      </c>
      <c r="L149" s="62">
        <v>-2.1</v>
      </c>
      <c r="M149" s="62">
        <v>-17.399999999999999</v>
      </c>
    </row>
    <row r="150" spans="1:13" ht="15" customHeight="1" x14ac:dyDescent="0.4">
      <c r="A150" s="81" t="s">
        <v>366</v>
      </c>
      <c r="B150" s="81"/>
      <c r="C150" s="81"/>
      <c r="D150" s="61"/>
      <c r="E150" s="59">
        <v>0.1</v>
      </c>
      <c r="F150" s="61"/>
      <c r="G150" s="62">
        <v>-0.1</v>
      </c>
      <c r="H150" s="59">
        <v>0.1</v>
      </c>
      <c r="I150" s="61"/>
      <c r="J150" s="59">
        <v>0.1</v>
      </c>
      <c r="K150" s="61"/>
      <c r="L150" s="61"/>
      <c r="M150" s="61"/>
    </row>
    <row r="151" spans="1:13" ht="15" customHeight="1" x14ac:dyDescent="0.4">
      <c r="A151" s="80" t="s">
        <v>367</v>
      </c>
      <c r="B151" s="80"/>
      <c r="C151" s="80"/>
      <c r="D151" s="62">
        <v>-0.1</v>
      </c>
      <c r="E151" s="61"/>
      <c r="F151" s="61"/>
      <c r="G151" s="59">
        <v>0.1</v>
      </c>
      <c r="H151" s="61"/>
      <c r="I151" s="61"/>
      <c r="J151" s="59">
        <v>0.1</v>
      </c>
      <c r="K151" s="59">
        <v>0.1</v>
      </c>
      <c r="L151" s="61"/>
      <c r="M151" s="61"/>
    </row>
    <row r="152" spans="1:13" ht="15" customHeight="1" x14ac:dyDescent="0.4">
      <c r="A152" s="77" t="s">
        <v>368</v>
      </c>
      <c r="B152" s="77"/>
      <c r="C152" s="77"/>
      <c r="D152" s="57">
        <v>1841</v>
      </c>
      <c r="E152" s="57">
        <v>2529.4</v>
      </c>
      <c r="F152" s="57">
        <v>3144.4</v>
      </c>
      <c r="G152" s="57">
        <v>3301.8</v>
      </c>
      <c r="H152" s="57">
        <v>3567.6</v>
      </c>
      <c r="I152" s="57">
        <v>4283.8999999999996</v>
      </c>
      <c r="J152" s="57">
        <v>5177.2</v>
      </c>
      <c r="K152" s="57">
        <v>5608.7</v>
      </c>
      <c r="L152" s="57">
        <v>5766.8</v>
      </c>
      <c r="M152" s="57">
        <v>6189.4</v>
      </c>
    </row>
    <row r="153" spans="1:13" ht="15" customHeight="1" x14ac:dyDescent="0.4">
      <c r="A153" s="76" t="s">
        <v>369</v>
      </c>
      <c r="B153" s="76"/>
      <c r="C153" s="76"/>
      <c r="D153" s="59">
        <v>7.7</v>
      </c>
      <c r="E153" s="59">
        <v>5.7</v>
      </c>
      <c r="F153" s="59">
        <v>4.4000000000000004</v>
      </c>
      <c r="G153" s="59">
        <v>3.3</v>
      </c>
      <c r="H153" s="62">
        <v>-9.1999999999999993</v>
      </c>
      <c r="I153" s="62">
        <v>-13.1</v>
      </c>
      <c r="J153" s="62">
        <v>-8.3000000000000007</v>
      </c>
      <c r="K153" s="62">
        <v>-0.9</v>
      </c>
      <c r="L153" s="59">
        <v>5.9</v>
      </c>
      <c r="M153" s="59">
        <v>17.7</v>
      </c>
    </row>
    <row r="154" spans="1:13" ht="15" customHeight="1" x14ac:dyDescent="0.4">
      <c r="A154" s="75" t="s">
        <v>370</v>
      </c>
      <c r="B154" s="75"/>
      <c r="C154" s="75"/>
      <c r="D154" s="55"/>
      <c r="E154" s="55"/>
      <c r="F154" s="55"/>
      <c r="G154" s="55"/>
      <c r="H154" s="55"/>
      <c r="I154" s="55"/>
      <c r="J154" s="55"/>
      <c r="K154" s="55"/>
      <c r="L154" s="55"/>
      <c r="M154" s="55"/>
    </row>
    <row r="155" spans="1:13" ht="15" customHeight="1" x14ac:dyDescent="0.4">
      <c r="A155" s="79" t="s">
        <v>371</v>
      </c>
      <c r="B155" s="79"/>
      <c r="C155" s="79"/>
      <c r="D155" s="64">
        <v>1848.7</v>
      </c>
      <c r="E155" s="64">
        <v>2535.1</v>
      </c>
      <c r="F155" s="64">
        <v>3148.8</v>
      </c>
      <c r="G155" s="64">
        <v>3305.1</v>
      </c>
      <c r="H155" s="64">
        <v>3558.4</v>
      </c>
      <c r="I155" s="64">
        <v>4270.8</v>
      </c>
      <c r="J155" s="64">
        <v>5168.8999999999996</v>
      </c>
      <c r="K155" s="64">
        <v>5607.8</v>
      </c>
      <c r="L155" s="64">
        <v>5772.7</v>
      </c>
      <c r="M155" s="64">
        <v>6207.1</v>
      </c>
    </row>
    <row r="156" spans="1:13" ht="15" customHeight="1" x14ac:dyDescent="0.4">
      <c r="A156" s="75" t="s">
        <v>372</v>
      </c>
      <c r="B156" s="75"/>
      <c r="C156" s="75"/>
      <c r="D156" s="55"/>
      <c r="E156" s="55"/>
      <c r="F156" s="55"/>
      <c r="G156" s="55"/>
      <c r="H156" s="55"/>
      <c r="I156" s="55"/>
      <c r="J156" s="55"/>
      <c r="K156" s="55"/>
      <c r="L156" s="55"/>
      <c r="M156" s="55"/>
    </row>
    <row r="157" spans="1:13" ht="15" customHeight="1" x14ac:dyDescent="0.4">
      <c r="A157" s="79" t="s">
        <v>373</v>
      </c>
      <c r="B157" s="79"/>
      <c r="C157" s="79"/>
      <c r="D157" s="64">
        <v>6440.2</v>
      </c>
      <c r="E157" s="66">
        <v>11359.2</v>
      </c>
      <c r="F157" s="66">
        <v>11228.4</v>
      </c>
      <c r="G157" s="66">
        <v>12968.8</v>
      </c>
      <c r="H157" s="66">
        <v>13765.2</v>
      </c>
      <c r="I157" s="66">
        <v>14055.7</v>
      </c>
      <c r="J157" s="66">
        <v>15850.9</v>
      </c>
      <c r="K157" s="66">
        <v>16528.400000000001</v>
      </c>
      <c r="L157" s="66">
        <v>17388.400000000001</v>
      </c>
      <c r="M157" s="66">
        <v>18805.400000000001</v>
      </c>
    </row>
    <row r="158" spans="1:13" ht="15" customHeight="1" x14ac:dyDescent="0.4">
      <c r="A158" s="75" t="s">
        <v>374</v>
      </c>
      <c r="B158" s="75"/>
      <c r="C158" s="75"/>
      <c r="D158" s="55"/>
      <c r="E158" s="55"/>
      <c r="F158" s="55"/>
      <c r="G158" s="55"/>
      <c r="H158" s="55"/>
      <c r="I158" s="55"/>
      <c r="J158" s="55"/>
      <c r="K158" s="55"/>
      <c r="L158" s="55"/>
      <c r="M158" s="55"/>
    </row>
    <row r="159" spans="1:13" ht="15" customHeight="1" x14ac:dyDescent="0.4">
      <c r="A159" s="76" t="s">
        <v>375</v>
      </c>
      <c r="B159" s="76"/>
      <c r="C159" s="76"/>
      <c r="D159" s="59">
        <v>99.6</v>
      </c>
      <c r="E159" s="57">
        <v>109.56</v>
      </c>
      <c r="F159" s="57">
        <v>118.93</v>
      </c>
      <c r="G159" s="57">
        <v>118.93</v>
      </c>
      <c r="H159" s="57">
        <v>118.93</v>
      </c>
      <c r="I159" s="57">
        <v>131.19999999999999</v>
      </c>
      <c r="J159" s="57">
        <v>131.19999999999999</v>
      </c>
      <c r="K159" s="57">
        <v>131.19999999999999</v>
      </c>
      <c r="L159" s="57">
        <v>131.19999999999999</v>
      </c>
      <c r="M159" s="57">
        <v>131.19999999999999</v>
      </c>
    </row>
    <row r="160" spans="1:13" ht="15" customHeight="1" x14ac:dyDescent="0.4">
      <c r="A160" s="77" t="s">
        <v>376</v>
      </c>
      <c r="B160" s="77"/>
      <c r="C160" s="77"/>
      <c r="D160" s="59">
        <v>99.44</v>
      </c>
      <c r="E160" s="57">
        <v>109.4</v>
      </c>
      <c r="F160" s="57">
        <v>118.77</v>
      </c>
      <c r="G160" s="57">
        <v>118.76</v>
      </c>
      <c r="H160" s="57">
        <v>118.8</v>
      </c>
      <c r="I160" s="57">
        <v>131.09</v>
      </c>
      <c r="J160" s="57">
        <v>131.1</v>
      </c>
      <c r="K160" s="57">
        <v>131.12</v>
      </c>
      <c r="L160" s="57">
        <v>131.12</v>
      </c>
      <c r="M160" s="57">
        <v>131.12</v>
      </c>
    </row>
    <row r="161" spans="1:13" ht="15" customHeight="1" x14ac:dyDescent="0.4">
      <c r="A161" s="77" t="s">
        <v>377</v>
      </c>
      <c r="B161" s="77"/>
      <c r="C161" s="77"/>
      <c r="D161" s="59">
        <v>0.16</v>
      </c>
      <c r="E161" s="59">
        <v>0.17</v>
      </c>
      <c r="F161" s="59">
        <v>0.16</v>
      </c>
      <c r="G161" s="59">
        <v>0.17</v>
      </c>
      <c r="H161" s="59">
        <v>0.13</v>
      </c>
      <c r="I161" s="59">
        <v>0.11</v>
      </c>
      <c r="J161" s="59">
        <v>0.1</v>
      </c>
      <c r="K161" s="59">
        <v>7.0000000000000007E-2</v>
      </c>
      <c r="L161" s="59">
        <v>7.0000000000000007E-2</v>
      </c>
      <c r="M161" s="59">
        <v>7.0000000000000007E-2</v>
      </c>
    </row>
    <row r="162" spans="1:13" ht="15" customHeight="1" x14ac:dyDescent="0.4">
      <c r="A162" s="76" t="s">
        <v>378</v>
      </c>
      <c r="B162" s="76"/>
      <c r="C162" s="76"/>
      <c r="D162" s="59">
        <v>99.6</v>
      </c>
      <c r="E162" s="57">
        <v>109.56</v>
      </c>
      <c r="F162" s="57">
        <v>118.93</v>
      </c>
      <c r="G162" s="57">
        <v>118.93</v>
      </c>
      <c r="H162" s="57">
        <v>118.93</v>
      </c>
      <c r="I162" s="57">
        <v>131.19999999999999</v>
      </c>
      <c r="J162" s="57">
        <v>131.19999999999999</v>
      </c>
      <c r="K162" s="57">
        <v>131.19999999999999</v>
      </c>
      <c r="L162" s="57">
        <v>131.19999999999999</v>
      </c>
      <c r="M162" s="57">
        <v>131.19999999999999</v>
      </c>
    </row>
    <row r="163" spans="1:13" ht="15" customHeight="1" x14ac:dyDescent="0.4">
      <c r="A163" s="77" t="s">
        <v>379</v>
      </c>
      <c r="B163" s="77"/>
      <c r="C163" s="77"/>
      <c r="D163" s="59">
        <v>99.44</v>
      </c>
      <c r="E163" s="57">
        <v>109.4</v>
      </c>
      <c r="F163" s="57">
        <v>118.77</v>
      </c>
      <c r="G163" s="57">
        <v>118.76</v>
      </c>
      <c r="H163" s="57">
        <v>118.8</v>
      </c>
      <c r="I163" s="57">
        <v>131.09</v>
      </c>
      <c r="J163" s="57">
        <v>131.1</v>
      </c>
      <c r="K163" s="57">
        <v>131.12</v>
      </c>
      <c r="L163" s="57">
        <v>131.12</v>
      </c>
      <c r="M163" s="57">
        <v>131.12</v>
      </c>
    </row>
    <row r="164" spans="1:13" ht="15" customHeight="1" x14ac:dyDescent="0.4">
      <c r="A164" s="77" t="s">
        <v>380</v>
      </c>
      <c r="B164" s="77"/>
      <c r="C164" s="77"/>
      <c r="D164" s="59">
        <v>0.16</v>
      </c>
      <c r="E164" s="59">
        <v>0.17</v>
      </c>
      <c r="F164" s="59">
        <v>0.16</v>
      </c>
      <c r="G164" s="59">
        <v>0.17</v>
      </c>
      <c r="H164" s="59">
        <v>0.13</v>
      </c>
      <c r="I164" s="59">
        <v>0.11</v>
      </c>
      <c r="J164" s="59">
        <v>0.1</v>
      </c>
      <c r="K164" s="59">
        <v>7.0000000000000007E-2</v>
      </c>
      <c r="L164" s="59">
        <v>7.0000000000000007E-2</v>
      </c>
      <c r="M164" s="59">
        <v>7.0000000000000007E-2</v>
      </c>
    </row>
    <row r="165" spans="1:13" ht="15" customHeight="1" x14ac:dyDescent="0.4">
      <c r="A165" s="75" t="s">
        <v>381</v>
      </c>
      <c r="B165" s="75"/>
      <c r="C165" s="75"/>
      <c r="D165" s="55"/>
      <c r="E165" s="55"/>
      <c r="F165" s="55"/>
      <c r="G165" s="55"/>
      <c r="H165" s="55"/>
      <c r="I165" s="55"/>
      <c r="J165" s="55"/>
      <c r="K165" s="55"/>
      <c r="L165" s="55"/>
      <c r="M165" s="55"/>
    </row>
    <row r="166" spans="1:13" ht="15" customHeight="1" x14ac:dyDescent="0.4">
      <c r="A166" s="76" t="s">
        <v>382</v>
      </c>
      <c r="B166" s="76"/>
      <c r="C166" s="76"/>
      <c r="D166" s="59">
        <v>1</v>
      </c>
      <c r="E166" s="59">
        <v>1</v>
      </c>
      <c r="F166" s="59">
        <v>1</v>
      </c>
      <c r="G166" s="59">
        <v>1</v>
      </c>
      <c r="H166" s="59">
        <v>1</v>
      </c>
      <c r="I166" s="59">
        <v>1</v>
      </c>
      <c r="J166" s="59">
        <v>1</v>
      </c>
      <c r="K166" s="59">
        <v>1</v>
      </c>
      <c r="L166" s="59">
        <v>1</v>
      </c>
      <c r="M166" s="59">
        <v>1</v>
      </c>
    </row>
    <row r="167" spans="1:13" ht="15" customHeight="1" x14ac:dyDescent="0.4">
      <c r="A167" s="75" t="s">
        <v>383</v>
      </c>
      <c r="B167" s="75"/>
      <c r="C167" s="75"/>
      <c r="D167" s="55"/>
      <c r="E167" s="55"/>
      <c r="F167" s="55"/>
      <c r="G167" s="55"/>
      <c r="H167" s="55"/>
      <c r="I167" s="55"/>
      <c r="J167" s="55"/>
      <c r="K167" s="55"/>
      <c r="L167" s="55"/>
      <c r="M167" s="55"/>
    </row>
    <row r="168" spans="1:13" ht="15" customHeight="1" x14ac:dyDescent="0.4">
      <c r="A168" s="76" t="s">
        <v>384</v>
      </c>
      <c r="B168" s="76"/>
      <c r="C168" s="76"/>
      <c r="D168" s="61"/>
      <c r="E168" s="61"/>
      <c r="F168" s="61"/>
      <c r="G168" s="57">
        <v>2323</v>
      </c>
      <c r="H168" s="57">
        <v>2446.8000000000002</v>
      </c>
      <c r="I168" s="57">
        <v>2355.4</v>
      </c>
      <c r="J168" s="57">
        <v>2447.9</v>
      </c>
      <c r="K168" s="57">
        <v>2513.4</v>
      </c>
      <c r="L168" s="57">
        <v>2781.9</v>
      </c>
      <c r="M168" s="57">
        <v>3144</v>
      </c>
    </row>
    <row r="169" spans="1:13" ht="15" customHeight="1" x14ac:dyDescent="0.4">
      <c r="A169" s="77" t="s">
        <v>385</v>
      </c>
      <c r="B169" s="77"/>
      <c r="C169" s="77"/>
      <c r="D169" s="61"/>
      <c r="E169" s="61"/>
      <c r="F169" s="61"/>
      <c r="G169" s="57">
        <v>2323</v>
      </c>
      <c r="H169" s="57">
        <v>2446.8000000000002</v>
      </c>
      <c r="I169" s="57">
        <v>2355.4</v>
      </c>
      <c r="J169" s="57">
        <v>2447.9</v>
      </c>
      <c r="K169" s="57">
        <v>2513.4</v>
      </c>
      <c r="L169" s="57">
        <v>2781.9</v>
      </c>
      <c r="M169" s="57">
        <v>3144</v>
      </c>
    </row>
    <row r="170" spans="1:13" ht="15" customHeight="1" x14ac:dyDescent="0.4">
      <c r="A170" s="77" t="s">
        <v>386</v>
      </c>
      <c r="B170" s="77"/>
      <c r="C170" s="77"/>
      <c r="D170" s="61"/>
      <c r="E170" s="61"/>
      <c r="F170" s="61"/>
      <c r="G170" s="57">
        <v>3757.9</v>
      </c>
      <c r="H170" s="57">
        <v>3956.8</v>
      </c>
      <c r="I170" s="57">
        <v>3893.4</v>
      </c>
      <c r="J170" s="57">
        <v>4072.8</v>
      </c>
      <c r="K170" s="57">
        <v>4271</v>
      </c>
      <c r="L170" s="57">
        <v>4543.3999999999996</v>
      </c>
      <c r="M170" s="57">
        <v>4815.8999999999996</v>
      </c>
    </row>
    <row r="171" spans="1:13" ht="15" customHeight="1" x14ac:dyDescent="0.4">
      <c r="A171" s="78" t="s">
        <v>387</v>
      </c>
      <c r="B171" s="78"/>
      <c r="C171" s="78"/>
      <c r="D171" s="61"/>
      <c r="E171" s="61"/>
      <c r="F171" s="61"/>
      <c r="G171" s="57">
        <v>3757.9</v>
      </c>
      <c r="H171" s="57">
        <v>3956.8</v>
      </c>
      <c r="I171" s="57">
        <v>3893.4</v>
      </c>
      <c r="J171" s="57">
        <v>4072.8</v>
      </c>
      <c r="K171" s="57">
        <v>4271</v>
      </c>
      <c r="L171" s="57">
        <v>4543.3999999999996</v>
      </c>
      <c r="M171" s="57">
        <v>4815.8999999999996</v>
      </c>
    </row>
    <row r="172" spans="1:13" ht="15" customHeight="1" x14ac:dyDescent="0.4">
      <c r="A172" s="77" t="s">
        <v>388</v>
      </c>
      <c r="B172" s="77"/>
      <c r="C172" s="77"/>
      <c r="D172" s="61"/>
      <c r="E172" s="61"/>
      <c r="F172" s="61"/>
      <c r="G172" s="57">
        <v>1434.9</v>
      </c>
      <c r="H172" s="57">
        <v>1510</v>
      </c>
      <c r="I172" s="57">
        <v>1538</v>
      </c>
      <c r="J172" s="57">
        <v>1624.9</v>
      </c>
      <c r="K172" s="57">
        <v>1757.6</v>
      </c>
      <c r="L172" s="57">
        <v>1761.5</v>
      </c>
      <c r="M172" s="57">
        <v>1671.9</v>
      </c>
    </row>
    <row r="173" spans="1:13" ht="15" customHeight="1" x14ac:dyDescent="0.4">
      <c r="A173" s="78" t="s">
        <v>389</v>
      </c>
      <c r="B173" s="78"/>
      <c r="C173" s="78"/>
      <c r="D173" s="61"/>
      <c r="E173" s="61"/>
      <c r="F173" s="61"/>
      <c r="G173" s="57">
        <v>1434.9</v>
      </c>
      <c r="H173" s="57">
        <v>1510</v>
      </c>
      <c r="I173" s="57">
        <v>1538</v>
      </c>
      <c r="J173" s="57">
        <v>1624.9</v>
      </c>
      <c r="K173" s="57">
        <v>1757.6</v>
      </c>
      <c r="L173" s="57">
        <v>1761.5</v>
      </c>
      <c r="M173" s="57">
        <v>1671.9</v>
      </c>
    </row>
    <row r="174" spans="1:13" ht="15" customHeight="1" x14ac:dyDescent="0.4">
      <c r="A174" s="76" t="s">
        <v>390</v>
      </c>
      <c r="B174" s="76"/>
      <c r="C174" s="76"/>
      <c r="D174" s="57">
        <v>1052.8</v>
      </c>
      <c r="E174" s="57">
        <v>1254.4000000000001</v>
      </c>
      <c r="F174" s="57">
        <v>1328.3</v>
      </c>
      <c r="G174" s="57">
        <v>687.1</v>
      </c>
      <c r="H174" s="57">
        <v>783.6</v>
      </c>
      <c r="I174" s="57">
        <v>824.1</v>
      </c>
      <c r="J174" s="57">
        <v>933.9</v>
      </c>
      <c r="K174" s="57">
        <v>1041.5999999999999</v>
      </c>
      <c r="L174" s="57">
        <v>1160.7</v>
      </c>
      <c r="M174" s="57">
        <v>1278.8</v>
      </c>
    </row>
    <row r="175" spans="1:13" ht="15" customHeight="1" x14ac:dyDescent="0.4">
      <c r="A175" s="77" t="s">
        <v>391</v>
      </c>
      <c r="B175" s="77"/>
      <c r="C175" s="77"/>
      <c r="D175" s="57">
        <v>2633.2</v>
      </c>
      <c r="E175" s="57">
        <v>2815.5</v>
      </c>
      <c r="F175" s="57">
        <v>2967.5</v>
      </c>
      <c r="G175" s="57">
        <v>1821.6</v>
      </c>
      <c r="H175" s="57">
        <v>1966.1</v>
      </c>
      <c r="I175" s="57">
        <v>2077.6</v>
      </c>
      <c r="J175" s="57">
        <v>2273.1999999999998</v>
      </c>
      <c r="K175" s="57">
        <v>2484.8000000000002</v>
      </c>
      <c r="L175" s="57">
        <v>2688.8</v>
      </c>
      <c r="M175" s="57">
        <v>2763.6</v>
      </c>
    </row>
    <row r="176" spans="1:13" ht="15" customHeight="1" x14ac:dyDescent="0.4">
      <c r="A176" s="77" t="s">
        <v>392</v>
      </c>
      <c r="B176" s="77"/>
      <c r="C176" s="77"/>
      <c r="D176" s="57">
        <v>1580.4</v>
      </c>
      <c r="E176" s="57">
        <v>1561.1</v>
      </c>
      <c r="F176" s="57">
        <v>1639.2</v>
      </c>
      <c r="G176" s="57">
        <v>1134.5</v>
      </c>
      <c r="H176" s="57">
        <v>1182.5</v>
      </c>
      <c r="I176" s="57">
        <v>1253.5</v>
      </c>
      <c r="J176" s="57">
        <v>1339.3</v>
      </c>
      <c r="K176" s="57">
        <v>1443.2</v>
      </c>
      <c r="L176" s="57">
        <v>1528.1</v>
      </c>
      <c r="M176" s="57">
        <v>1484.8</v>
      </c>
    </row>
    <row r="177" spans="1:13" ht="15" customHeight="1" x14ac:dyDescent="0.4">
      <c r="A177" s="75" t="s">
        <v>393</v>
      </c>
      <c r="B177" s="75"/>
      <c r="C177" s="75"/>
      <c r="D177" s="55"/>
      <c r="E177" s="55"/>
      <c r="F177" s="55"/>
      <c r="G177" s="55"/>
      <c r="H177" s="55"/>
      <c r="I177" s="55"/>
      <c r="J177" s="55"/>
      <c r="K177" s="55"/>
      <c r="L177" s="55"/>
      <c r="M177" s="55"/>
    </row>
    <row r="178" spans="1:13" ht="15" customHeight="1" x14ac:dyDescent="0.4">
      <c r="A178" s="76" t="s">
        <v>394</v>
      </c>
      <c r="B178" s="76"/>
      <c r="C178" s="76"/>
      <c r="D178" s="57">
        <v>1294.5999999999999</v>
      </c>
      <c r="E178" s="57">
        <v>1484.9</v>
      </c>
      <c r="F178" s="57">
        <v>1672.5</v>
      </c>
      <c r="G178" s="57">
        <v>2924.2</v>
      </c>
      <c r="H178" s="57">
        <v>3596.9</v>
      </c>
      <c r="I178" s="57">
        <v>3771.9</v>
      </c>
      <c r="J178" s="57">
        <v>4103.3999999999996</v>
      </c>
      <c r="K178" s="57">
        <v>4343.7</v>
      </c>
      <c r="L178" s="57">
        <v>5111.8999999999996</v>
      </c>
      <c r="M178" s="57">
        <v>5991.8</v>
      </c>
    </row>
    <row r="179" spans="1:13" ht="15" customHeight="1" x14ac:dyDescent="0.4">
      <c r="A179" s="76" t="s">
        <v>395</v>
      </c>
      <c r="B179" s="76"/>
      <c r="C179" s="76"/>
      <c r="D179" s="57">
        <v>1971.1</v>
      </c>
      <c r="E179" s="57">
        <v>4667.8999999999996</v>
      </c>
      <c r="F179" s="57">
        <v>3941.2</v>
      </c>
      <c r="G179" s="57">
        <v>4969.3999999999996</v>
      </c>
      <c r="H179" s="57">
        <v>5417.4</v>
      </c>
      <c r="I179" s="57">
        <v>4966.3999999999996</v>
      </c>
      <c r="J179" s="57">
        <v>5154</v>
      </c>
      <c r="K179" s="57">
        <v>6332.2</v>
      </c>
      <c r="L179" s="57">
        <v>6634.3</v>
      </c>
      <c r="M179" s="57">
        <v>7692.1</v>
      </c>
    </row>
    <row r="180" spans="1:13" ht="15" customHeight="1" x14ac:dyDescent="0.4">
      <c r="A180" s="75" t="s">
        <v>396</v>
      </c>
      <c r="B180" s="75"/>
      <c r="C180" s="75"/>
      <c r="D180" s="55"/>
      <c r="E180" s="55"/>
      <c r="F180" s="55"/>
      <c r="G180" s="55"/>
      <c r="H180" s="55"/>
      <c r="I180" s="55"/>
      <c r="J180" s="55"/>
      <c r="K180" s="55"/>
      <c r="L180" s="55"/>
      <c r="M180" s="55"/>
    </row>
    <row r="181" spans="1:13" ht="15" customHeight="1" x14ac:dyDescent="0.4">
      <c r="A181" s="76" t="s">
        <v>397</v>
      </c>
      <c r="B181" s="76"/>
      <c r="C181" s="76"/>
      <c r="D181" s="59">
        <v>5.3</v>
      </c>
      <c r="E181" s="59">
        <v>10.3</v>
      </c>
      <c r="F181" s="59">
        <v>30</v>
      </c>
      <c r="G181" s="59">
        <v>9.9</v>
      </c>
      <c r="H181" s="59">
        <v>12</v>
      </c>
      <c r="I181" s="59">
        <v>17.5</v>
      </c>
      <c r="J181" s="59">
        <v>13.1</v>
      </c>
      <c r="K181" s="59">
        <v>98.6</v>
      </c>
      <c r="L181" s="59">
        <v>47.1</v>
      </c>
      <c r="M181" s="59">
        <v>30.3</v>
      </c>
    </row>
    <row r="182" spans="1:13" ht="15" customHeight="1" x14ac:dyDescent="0.4">
      <c r="A182" s="76" t="s">
        <v>398</v>
      </c>
      <c r="B182" s="76"/>
      <c r="C182" s="76"/>
      <c r="D182" s="59">
        <v>80.900000000000006</v>
      </c>
      <c r="E182" s="59">
        <v>93.3</v>
      </c>
      <c r="F182" s="57">
        <v>113.6</v>
      </c>
      <c r="G182" s="59">
        <v>91.6</v>
      </c>
      <c r="H182" s="57">
        <v>102.4</v>
      </c>
      <c r="I182" s="57">
        <v>132.6</v>
      </c>
      <c r="J182" s="57">
        <v>138.9</v>
      </c>
      <c r="K182" s="57">
        <v>156</v>
      </c>
      <c r="L182" s="57">
        <v>168.1</v>
      </c>
      <c r="M182" s="57">
        <v>214.8</v>
      </c>
    </row>
    <row r="183" spans="1:13" ht="15" customHeight="1" x14ac:dyDescent="0.4">
      <c r="A183" s="76" t="s">
        <v>399</v>
      </c>
      <c r="B183" s="76"/>
      <c r="C183" s="76"/>
      <c r="D183" s="57">
        <v>1373</v>
      </c>
      <c r="E183" s="57">
        <v>1828.2</v>
      </c>
      <c r="F183" s="57">
        <v>2060.8000000000002</v>
      </c>
      <c r="G183" s="57">
        <v>2376.5</v>
      </c>
      <c r="H183" s="57">
        <v>2747.2</v>
      </c>
      <c r="I183" s="57">
        <v>3070.4</v>
      </c>
      <c r="J183" s="57">
        <v>3808.5</v>
      </c>
      <c r="K183" s="57">
        <v>4230.1000000000004</v>
      </c>
      <c r="L183" s="57">
        <v>4629.3</v>
      </c>
      <c r="M183" s="57">
        <v>4975</v>
      </c>
    </row>
    <row r="184" spans="1:13" ht="15" customHeight="1" x14ac:dyDescent="0.4">
      <c r="A184" s="77" t="s">
        <v>400</v>
      </c>
      <c r="B184" s="77"/>
      <c r="C184" s="77"/>
      <c r="D184" s="57">
        <v>709</v>
      </c>
      <c r="E184" s="57">
        <v>1039.3</v>
      </c>
      <c r="F184" s="57">
        <v>1145.2</v>
      </c>
      <c r="G184" s="57">
        <v>1074.2</v>
      </c>
      <c r="H184" s="57">
        <v>1116.4000000000001</v>
      </c>
      <c r="I184" s="57">
        <v>1230.5999999999999</v>
      </c>
      <c r="J184" s="57">
        <v>1396.5</v>
      </c>
      <c r="K184" s="57">
        <v>1671.1</v>
      </c>
      <c r="L184" s="57">
        <v>1836.8</v>
      </c>
      <c r="M184" s="57">
        <v>1785.7</v>
      </c>
    </row>
    <row r="185" spans="1:13" ht="15" customHeight="1" x14ac:dyDescent="0.4">
      <c r="A185" s="76" t="s">
        <v>401</v>
      </c>
      <c r="B185" s="76"/>
      <c r="C185" s="76"/>
      <c r="D185" s="61"/>
      <c r="E185" s="61"/>
      <c r="F185" s="61"/>
      <c r="G185" s="61"/>
      <c r="H185" s="61"/>
      <c r="I185" s="61"/>
      <c r="J185" s="61"/>
      <c r="K185" s="59">
        <v>27.4</v>
      </c>
      <c r="L185" s="59">
        <v>55.2</v>
      </c>
      <c r="M185" s="61">
        <v>0</v>
      </c>
    </row>
    <row r="186" spans="1:13" ht="15" customHeight="1" x14ac:dyDescent="0.4">
      <c r="A186" s="76" t="s">
        <v>402</v>
      </c>
      <c r="B186" s="76"/>
      <c r="C186" s="76"/>
      <c r="D186" s="57">
        <v>411.4</v>
      </c>
      <c r="E186" s="57">
        <v>485.4</v>
      </c>
      <c r="F186" s="57">
        <v>435.3</v>
      </c>
      <c r="G186" s="57">
        <v>510.4</v>
      </c>
      <c r="H186" s="57">
        <v>563.6</v>
      </c>
      <c r="I186" s="57">
        <v>609.1</v>
      </c>
      <c r="J186" s="57">
        <v>607.79999999999995</v>
      </c>
      <c r="K186" s="57">
        <v>474.3</v>
      </c>
      <c r="L186" s="57">
        <v>650.79999999999995</v>
      </c>
      <c r="M186" s="57">
        <v>702.2</v>
      </c>
    </row>
    <row r="187" spans="1:13" ht="15" customHeight="1" x14ac:dyDescent="0.4">
      <c r="A187" s="76" t="s">
        <v>403</v>
      </c>
      <c r="B187" s="76"/>
      <c r="C187" s="76"/>
      <c r="D187" s="57">
        <v>144.5</v>
      </c>
      <c r="E187" s="57">
        <v>155.69999999999999</v>
      </c>
      <c r="F187" s="57">
        <v>193.4</v>
      </c>
      <c r="G187" s="57">
        <v>180.2</v>
      </c>
      <c r="H187" s="57">
        <v>195.9</v>
      </c>
      <c r="I187" s="57">
        <v>168.9</v>
      </c>
      <c r="J187" s="57">
        <v>170.2</v>
      </c>
      <c r="K187" s="57">
        <v>181.3</v>
      </c>
      <c r="L187" s="57">
        <v>220.5</v>
      </c>
      <c r="M187" s="57">
        <v>210.5</v>
      </c>
    </row>
    <row r="188" spans="1:13" ht="15" customHeight="1" x14ac:dyDescent="0.4">
      <c r="A188" s="76" t="s">
        <v>404</v>
      </c>
      <c r="B188" s="76"/>
      <c r="C188" s="76"/>
      <c r="D188" s="57">
        <v>797.4</v>
      </c>
      <c r="E188" s="57">
        <v>1103.4000000000001</v>
      </c>
      <c r="F188" s="57">
        <v>1225.0999999999999</v>
      </c>
      <c r="G188" s="57">
        <v>1222.5999999999999</v>
      </c>
      <c r="H188" s="57">
        <v>1325.6</v>
      </c>
      <c r="I188" s="57">
        <v>1234.2</v>
      </c>
      <c r="J188" s="57">
        <v>1858.3</v>
      </c>
      <c r="K188" s="57">
        <v>1533.9</v>
      </c>
      <c r="L188" s="57">
        <v>1700.5</v>
      </c>
      <c r="M188" s="57">
        <v>1686.7</v>
      </c>
    </row>
    <row r="189" spans="1:13" ht="15" customHeight="1" x14ac:dyDescent="0.4">
      <c r="A189" s="77" t="s">
        <v>405</v>
      </c>
      <c r="B189" s="77"/>
      <c r="C189" s="77"/>
      <c r="D189" s="57">
        <v>574.6</v>
      </c>
      <c r="E189" s="57">
        <v>802.2</v>
      </c>
      <c r="F189" s="57">
        <v>923.9</v>
      </c>
      <c r="G189" s="57">
        <v>904.2</v>
      </c>
      <c r="H189" s="57">
        <v>975.9</v>
      </c>
      <c r="I189" s="57">
        <v>910.5</v>
      </c>
      <c r="J189" s="57">
        <v>1443.7</v>
      </c>
      <c r="K189" s="57">
        <v>1124.3</v>
      </c>
      <c r="L189" s="57">
        <v>1194</v>
      </c>
      <c r="M189" s="57">
        <v>1160.4000000000001</v>
      </c>
    </row>
    <row r="190" spans="1:13" ht="15" customHeight="1" x14ac:dyDescent="0.4">
      <c r="A190" s="77" t="s">
        <v>406</v>
      </c>
      <c r="B190" s="77"/>
      <c r="C190" s="77"/>
      <c r="D190" s="57">
        <v>222.8</v>
      </c>
      <c r="E190" s="57">
        <v>301.2</v>
      </c>
      <c r="F190" s="57">
        <v>301.2</v>
      </c>
      <c r="G190" s="57">
        <v>318.39999999999998</v>
      </c>
      <c r="H190" s="57">
        <v>349.7</v>
      </c>
      <c r="I190" s="57">
        <v>323.7</v>
      </c>
      <c r="J190" s="57">
        <v>414.6</v>
      </c>
      <c r="K190" s="57">
        <v>409.6</v>
      </c>
      <c r="L190" s="57">
        <v>506.5</v>
      </c>
      <c r="M190" s="57">
        <v>526.29999999999995</v>
      </c>
    </row>
    <row r="191" spans="1:13" ht="15" customHeight="1" x14ac:dyDescent="0.4">
      <c r="A191" s="76" t="s">
        <v>407</v>
      </c>
      <c r="B191" s="76"/>
      <c r="C191" s="76"/>
      <c r="D191" s="59">
        <v>12.4</v>
      </c>
      <c r="E191" s="59">
        <v>22.4</v>
      </c>
      <c r="F191" s="59">
        <v>5.2</v>
      </c>
      <c r="G191" s="59">
        <v>14.3</v>
      </c>
      <c r="H191" s="59">
        <v>24.2</v>
      </c>
      <c r="I191" s="59">
        <v>16.600000000000001</v>
      </c>
      <c r="J191" s="59">
        <v>16.600000000000001</v>
      </c>
      <c r="K191" s="59">
        <v>16.899999999999999</v>
      </c>
      <c r="L191" s="59">
        <v>27.7</v>
      </c>
      <c r="M191" s="59">
        <v>48.1</v>
      </c>
    </row>
    <row r="192" spans="1:13" ht="15" customHeight="1" x14ac:dyDescent="0.4">
      <c r="A192" s="76" t="s">
        <v>408</v>
      </c>
      <c r="B192" s="76"/>
      <c r="C192" s="76"/>
      <c r="D192" s="61"/>
      <c r="E192" s="61"/>
      <c r="F192" s="61"/>
      <c r="G192" s="61"/>
      <c r="H192" s="61"/>
      <c r="I192" s="61"/>
      <c r="J192" s="61"/>
      <c r="K192" s="59">
        <v>27.2</v>
      </c>
      <c r="L192" s="59">
        <v>45.2</v>
      </c>
      <c r="M192" s="61">
        <v>0</v>
      </c>
    </row>
    <row r="193" spans="1:13" ht="15" customHeight="1" x14ac:dyDescent="0.4">
      <c r="A193" s="76" t="s">
        <v>409</v>
      </c>
      <c r="B193" s="76"/>
      <c r="C193" s="76"/>
      <c r="D193" s="61"/>
      <c r="E193" s="61"/>
      <c r="F193" s="61"/>
      <c r="G193" s="57">
        <v>119.3</v>
      </c>
      <c r="H193" s="57">
        <v>150.19999999999999</v>
      </c>
      <c r="I193" s="57">
        <v>172.1</v>
      </c>
      <c r="J193" s="57">
        <v>519.1</v>
      </c>
      <c r="K193" s="57">
        <v>528.79999999999995</v>
      </c>
      <c r="L193" s="57">
        <v>403.3</v>
      </c>
      <c r="M193" s="57">
        <v>278.10000000000002</v>
      </c>
    </row>
    <row r="194" spans="1:13" ht="15" customHeight="1" x14ac:dyDescent="0.4">
      <c r="A194" s="75" t="s">
        <v>410</v>
      </c>
      <c r="B194" s="75"/>
      <c r="C194" s="75"/>
      <c r="D194" s="55"/>
      <c r="E194" s="55"/>
      <c r="F194" s="55"/>
      <c r="G194" s="55"/>
      <c r="H194" s="55"/>
      <c r="I194" s="55"/>
      <c r="J194" s="55"/>
      <c r="K194" s="55"/>
      <c r="L194" s="55"/>
      <c r="M194" s="55"/>
    </row>
    <row r="195" spans="1:13" ht="15" customHeight="1" x14ac:dyDescent="0.4">
      <c r="A195" s="76" t="s">
        <v>174</v>
      </c>
      <c r="B195" s="76"/>
      <c r="C195" s="76"/>
      <c r="D195" s="57">
        <v>1830.6</v>
      </c>
      <c r="E195" s="57">
        <v>4341.3999999999996</v>
      </c>
      <c r="F195" s="57">
        <v>3709.7</v>
      </c>
      <c r="G195" s="57">
        <v>4758</v>
      </c>
      <c r="H195" s="57">
        <v>5168.3999999999996</v>
      </c>
      <c r="I195" s="57">
        <v>4606.6000000000004</v>
      </c>
      <c r="J195" s="57">
        <v>4636.3999999999996</v>
      </c>
      <c r="K195" s="57">
        <v>5976.3</v>
      </c>
      <c r="L195" s="57">
        <v>6279.8</v>
      </c>
      <c r="M195" s="57">
        <v>6852.3</v>
      </c>
    </row>
    <row r="196" spans="1:13" ht="15" customHeight="1" x14ac:dyDescent="0.4">
      <c r="A196" s="76" t="s">
        <v>411</v>
      </c>
      <c r="B196" s="76"/>
      <c r="C196" s="76"/>
      <c r="D196" s="57">
        <v>1971.1</v>
      </c>
      <c r="E196" s="57">
        <v>4667.8999999999996</v>
      </c>
      <c r="F196" s="57">
        <v>3941.2</v>
      </c>
      <c r="G196" s="57">
        <v>4969.3999999999996</v>
      </c>
      <c r="H196" s="57">
        <v>5417.4</v>
      </c>
      <c r="I196" s="57">
        <v>4966.3999999999996</v>
      </c>
      <c r="J196" s="57">
        <v>5154</v>
      </c>
      <c r="K196" s="57">
        <v>6332.2</v>
      </c>
      <c r="L196" s="57">
        <v>6634.3</v>
      </c>
      <c r="M196" s="57">
        <v>7692.1</v>
      </c>
    </row>
    <row r="197" spans="1:13" ht="15" customHeight="1" x14ac:dyDescent="0.4">
      <c r="A197" s="76" t="s">
        <v>412</v>
      </c>
      <c r="B197" s="76"/>
      <c r="C197" s="76"/>
      <c r="D197" s="61"/>
      <c r="E197" s="61"/>
      <c r="F197" s="61"/>
      <c r="G197" s="61"/>
      <c r="H197" s="61"/>
      <c r="I197" s="57">
        <v>1150</v>
      </c>
      <c r="J197" s="57">
        <v>1000</v>
      </c>
      <c r="K197" s="57">
        <v>1271.0999999999999</v>
      </c>
      <c r="L197" s="57">
        <v>1364.7</v>
      </c>
      <c r="M197" s="57">
        <v>1385.7</v>
      </c>
    </row>
    <row r="198" spans="1:13" ht="15" customHeight="1" x14ac:dyDescent="0.4">
      <c r="A198" s="75" t="s">
        <v>413</v>
      </c>
      <c r="B198" s="75"/>
      <c r="C198" s="75"/>
      <c r="D198" s="55"/>
      <c r="E198" s="55"/>
      <c r="F198" s="55"/>
      <c r="G198" s="55"/>
      <c r="H198" s="55"/>
      <c r="I198" s="55"/>
      <c r="J198" s="55"/>
      <c r="K198" s="55"/>
      <c r="L198" s="55"/>
      <c r="M198" s="55"/>
    </row>
    <row r="199" spans="1:13" ht="15" customHeight="1" x14ac:dyDescent="0.4">
      <c r="A199" s="76" t="s">
        <v>414</v>
      </c>
      <c r="B199" s="76"/>
      <c r="C199" s="76"/>
      <c r="D199" s="57">
        <v>676.5</v>
      </c>
      <c r="E199" s="57">
        <v>3183</v>
      </c>
      <c r="F199" s="57">
        <v>2268.6999999999998</v>
      </c>
      <c r="G199" s="57">
        <v>2045.3</v>
      </c>
      <c r="H199" s="57">
        <v>1820.5</v>
      </c>
      <c r="I199" s="57">
        <v>1194.5</v>
      </c>
      <c r="J199" s="57">
        <v>1050.5</v>
      </c>
      <c r="K199" s="57">
        <v>1988.6</v>
      </c>
      <c r="L199" s="57">
        <v>1522.4</v>
      </c>
      <c r="M199" s="57">
        <v>1700.2</v>
      </c>
    </row>
    <row r="200" spans="1:13" ht="15" customHeight="1" x14ac:dyDescent="0.4">
      <c r="A200" s="77" t="s">
        <v>415</v>
      </c>
      <c r="B200" s="77"/>
      <c r="C200" s="77"/>
      <c r="D200" s="57">
        <v>119.3</v>
      </c>
      <c r="E200" s="57">
        <v>293.89999999999998</v>
      </c>
      <c r="F200" s="57">
        <v>243.9</v>
      </c>
      <c r="G200" s="57">
        <v>226.5</v>
      </c>
      <c r="H200" s="57">
        <v>103.7</v>
      </c>
      <c r="I200" s="59">
        <v>77.099999999999994</v>
      </c>
      <c r="J200" s="57">
        <v>151.80000000000001</v>
      </c>
      <c r="K200" s="57">
        <v>626.79999999999995</v>
      </c>
      <c r="L200" s="57">
        <v>236.8</v>
      </c>
      <c r="M200" s="57">
        <v>698.3</v>
      </c>
    </row>
    <row r="201" spans="1:13" ht="15" customHeight="1" x14ac:dyDescent="0.4">
      <c r="A201" s="77" t="s">
        <v>416</v>
      </c>
      <c r="B201" s="77"/>
      <c r="C201" s="77"/>
      <c r="D201" s="57">
        <v>557.29999999999995</v>
      </c>
      <c r="E201" s="57">
        <v>2889.1</v>
      </c>
      <c r="F201" s="57">
        <v>1761.5</v>
      </c>
      <c r="G201" s="57">
        <v>1349</v>
      </c>
      <c r="H201" s="57">
        <v>1380.5</v>
      </c>
      <c r="I201" s="57">
        <v>1042</v>
      </c>
      <c r="J201" s="57">
        <v>871.1</v>
      </c>
      <c r="K201" s="57">
        <v>1361.8</v>
      </c>
      <c r="L201" s="57">
        <v>1244.0999999999999</v>
      </c>
      <c r="M201" s="57">
        <v>960.5</v>
      </c>
    </row>
    <row r="202" spans="1:13" ht="15" customHeight="1" x14ac:dyDescent="0.4">
      <c r="A202" s="77" t="s">
        <v>417</v>
      </c>
      <c r="B202" s="77"/>
      <c r="C202" s="77"/>
      <c r="D202" s="61">
        <v>0</v>
      </c>
      <c r="E202" s="61">
        <v>0</v>
      </c>
      <c r="F202" s="57">
        <v>263.3</v>
      </c>
      <c r="G202" s="57">
        <v>469.8</v>
      </c>
      <c r="H202" s="57">
        <v>336.3</v>
      </c>
      <c r="I202" s="59">
        <v>75.400000000000006</v>
      </c>
      <c r="J202" s="59">
        <v>27.6</v>
      </c>
      <c r="K202" s="61"/>
      <c r="L202" s="59">
        <v>41.5</v>
      </c>
      <c r="M202" s="59">
        <v>41.5</v>
      </c>
    </row>
    <row r="203" spans="1:13" ht="15" customHeight="1" x14ac:dyDescent="0.4">
      <c r="A203" s="76" t="s">
        <v>418</v>
      </c>
      <c r="B203" s="76"/>
      <c r="C203" s="76"/>
      <c r="D203" s="57">
        <v>557.29999999999995</v>
      </c>
      <c r="E203" s="57">
        <v>2889.1</v>
      </c>
      <c r="F203" s="57">
        <v>1761.5</v>
      </c>
      <c r="G203" s="57">
        <v>1349</v>
      </c>
      <c r="H203" s="57">
        <v>1380.5</v>
      </c>
      <c r="I203" s="57">
        <v>1042</v>
      </c>
      <c r="J203" s="57">
        <v>871.1</v>
      </c>
      <c r="K203" s="57">
        <v>1361.8</v>
      </c>
      <c r="L203" s="57">
        <v>1244.0999999999999</v>
      </c>
      <c r="M203" s="57">
        <v>960.5</v>
      </c>
    </row>
    <row r="204" spans="1:13" ht="15" customHeight="1" x14ac:dyDescent="0.4">
      <c r="A204" s="76" t="s">
        <v>419</v>
      </c>
      <c r="B204" s="76"/>
      <c r="C204" s="76"/>
      <c r="D204" s="61"/>
      <c r="E204" s="61">
        <v>0</v>
      </c>
      <c r="F204" s="57">
        <v>263.3</v>
      </c>
      <c r="G204" s="57">
        <v>469.8</v>
      </c>
      <c r="H204" s="57">
        <v>336.3</v>
      </c>
      <c r="I204" s="59">
        <v>75.400000000000006</v>
      </c>
      <c r="J204" s="59">
        <v>27.6</v>
      </c>
      <c r="K204" s="61"/>
      <c r="L204" s="59">
        <v>41.5</v>
      </c>
      <c r="M204" s="59">
        <v>41.5</v>
      </c>
    </row>
    <row r="205" spans="1:13" ht="15" customHeight="1" x14ac:dyDescent="0.4">
      <c r="A205" s="75" t="s">
        <v>420</v>
      </c>
      <c r="B205" s="75"/>
      <c r="C205" s="75"/>
      <c r="D205" s="55"/>
      <c r="E205" s="55"/>
      <c r="F205" s="55"/>
      <c r="G205" s="55"/>
      <c r="H205" s="55"/>
      <c r="I205" s="55"/>
      <c r="J205" s="55"/>
      <c r="K205" s="55"/>
      <c r="L205" s="55"/>
      <c r="M205" s="55"/>
    </row>
    <row r="206" spans="1:13" ht="15" customHeight="1" x14ac:dyDescent="0.4">
      <c r="A206" s="76" t="s">
        <v>421</v>
      </c>
      <c r="B206" s="76"/>
      <c r="C206" s="76"/>
      <c r="D206" s="57">
        <v>922.1</v>
      </c>
      <c r="E206" s="57">
        <v>1484.9</v>
      </c>
      <c r="F206" s="57">
        <v>1672.5</v>
      </c>
      <c r="G206" s="57">
        <v>1580.7</v>
      </c>
      <c r="H206" s="57">
        <v>3765.5</v>
      </c>
      <c r="I206" s="57">
        <v>3952.3</v>
      </c>
      <c r="J206" s="57">
        <v>4286.3999999999996</v>
      </c>
      <c r="K206" s="57">
        <v>4754.3</v>
      </c>
      <c r="L206" s="57">
        <v>5671.9</v>
      </c>
      <c r="M206" s="57">
        <v>6616.9</v>
      </c>
    </row>
    <row r="207" spans="1:13" ht="15" customHeight="1" x14ac:dyDescent="0.4">
      <c r="A207" s="77" t="s">
        <v>422</v>
      </c>
      <c r="B207" s="77"/>
      <c r="C207" s="77"/>
      <c r="D207" s="57">
        <v>266</v>
      </c>
      <c r="E207" s="57">
        <v>421.2</v>
      </c>
      <c r="F207" s="57">
        <v>492</v>
      </c>
      <c r="G207" s="57">
        <v>520.1</v>
      </c>
      <c r="H207" s="57">
        <v>1365.2</v>
      </c>
      <c r="I207" s="57">
        <v>1338.9</v>
      </c>
      <c r="J207" s="57">
        <v>1616.1</v>
      </c>
      <c r="K207" s="57">
        <v>1337.1</v>
      </c>
      <c r="L207" s="57">
        <v>1560.7</v>
      </c>
      <c r="M207" s="57">
        <v>1735.8</v>
      </c>
    </row>
    <row r="208" spans="1:13" ht="15" customHeight="1" x14ac:dyDescent="0.4">
      <c r="A208" s="77" t="s">
        <v>423</v>
      </c>
      <c r="B208" s="77"/>
      <c r="C208" s="77"/>
      <c r="D208" s="61"/>
      <c r="E208" s="61"/>
      <c r="F208" s="61"/>
      <c r="G208" s="57">
        <v>383.8</v>
      </c>
      <c r="H208" s="57">
        <v>738</v>
      </c>
      <c r="I208" s="57">
        <v>813.1</v>
      </c>
      <c r="J208" s="57">
        <v>871.7</v>
      </c>
      <c r="K208" s="57">
        <v>1105.5999999999999</v>
      </c>
      <c r="L208" s="57">
        <v>1228</v>
      </c>
      <c r="M208" s="57">
        <v>1423.6</v>
      </c>
    </row>
    <row r="209" spans="1:13" ht="15" customHeight="1" x14ac:dyDescent="0.4">
      <c r="A209" s="77" t="s">
        <v>424</v>
      </c>
      <c r="B209" s="77"/>
      <c r="C209" s="77"/>
      <c r="D209" s="61"/>
      <c r="E209" s="61"/>
      <c r="F209" s="61"/>
      <c r="G209" s="57">
        <v>270.2</v>
      </c>
      <c r="H209" s="57">
        <v>612</v>
      </c>
      <c r="I209" s="57">
        <v>673.2</v>
      </c>
      <c r="J209" s="57">
        <v>702.7</v>
      </c>
      <c r="K209" s="57">
        <v>851.7</v>
      </c>
      <c r="L209" s="57">
        <v>985.7</v>
      </c>
      <c r="M209" s="57">
        <v>1139.5999999999999</v>
      </c>
    </row>
    <row r="210" spans="1:13" ht="15" customHeight="1" x14ac:dyDescent="0.4">
      <c r="A210" s="77" t="s">
        <v>425</v>
      </c>
      <c r="B210" s="77"/>
      <c r="C210" s="77"/>
      <c r="D210" s="61"/>
      <c r="E210" s="61"/>
      <c r="F210" s="61"/>
      <c r="G210" s="57">
        <v>174.5</v>
      </c>
      <c r="H210" s="57">
        <v>459.5</v>
      </c>
      <c r="I210" s="57">
        <v>507.3</v>
      </c>
      <c r="J210" s="57">
        <v>484.1</v>
      </c>
      <c r="K210" s="57">
        <v>612.6</v>
      </c>
      <c r="L210" s="57">
        <v>730.5</v>
      </c>
      <c r="M210" s="57">
        <v>932.4</v>
      </c>
    </row>
    <row r="211" spans="1:13" ht="15" customHeight="1" x14ac:dyDescent="0.4">
      <c r="A211" s="77" t="s">
        <v>426</v>
      </c>
      <c r="B211" s="77"/>
      <c r="C211" s="77"/>
      <c r="D211" s="57">
        <v>625.6</v>
      </c>
      <c r="E211" s="57">
        <v>1020.9</v>
      </c>
      <c r="F211" s="57">
        <v>1128</v>
      </c>
      <c r="G211" s="59">
        <v>76.2</v>
      </c>
      <c r="H211" s="57">
        <v>300.2</v>
      </c>
      <c r="I211" s="57">
        <v>306.7</v>
      </c>
      <c r="J211" s="57">
        <v>300.89999999999998</v>
      </c>
      <c r="K211" s="57">
        <v>456.1</v>
      </c>
      <c r="L211" s="57">
        <v>688.6</v>
      </c>
      <c r="M211" s="57">
        <v>818</v>
      </c>
    </row>
    <row r="212" spans="1:13" ht="15" customHeight="1" x14ac:dyDescent="0.4">
      <c r="A212" s="77" t="s">
        <v>427</v>
      </c>
      <c r="B212" s="77"/>
      <c r="C212" s="77"/>
      <c r="D212" s="59">
        <v>30.5</v>
      </c>
      <c r="E212" s="59">
        <v>42.9</v>
      </c>
      <c r="F212" s="59">
        <v>52.5</v>
      </c>
      <c r="G212" s="57">
        <v>155.9</v>
      </c>
      <c r="H212" s="57">
        <v>290.5</v>
      </c>
      <c r="I212" s="57">
        <v>313</v>
      </c>
      <c r="J212" s="57">
        <v>311</v>
      </c>
      <c r="K212" s="57">
        <v>391.2</v>
      </c>
      <c r="L212" s="57">
        <v>478.4</v>
      </c>
      <c r="M212" s="57">
        <v>567.79999999999995</v>
      </c>
    </row>
    <row r="213" spans="1:13" ht="15" customHeight="1" x14ac:dyDescent="0.4">
      <c r="A213" s="76" t="s">
        <v>428</v>
      </c>
      <c r="B213" s="76"/>
      <c r="C213" s="76"/>
      <c r="D213" s="61"/>
      <c r="E213" s="61"/>
      <c r="F213" s="61"/>
      <c r="G213" s="57">
        <v>654</v>
      </c>
      <c r="H213" s="57">
        <v>1350</v>
      </c>
      <c r="I213" s="57">
        <v>1486.3</v>
      </c>
      <c r="J213" s="57">
        <v>1574.4</v>
      </c>
      <c r="K213" s="57">
        <v>1957.3</v>
      </c>
      <c r="L213" s="57">
        <v>2213.6999999999998</v>
      </c>
      <c r="M213" s="57">
        <v>2563.1999999999998</v>
      </c>
    </row>
    <row r="214" spans="1:13" ht="15" customHeight="1" x14ac:dyDescent="0.4">
      <c r="A214" s="76" t="s">
        <v>429</v>
      </c>
      <c r="B214" s="76"/>
      <c r="C214" s="76"/>
      <c r="D214" s="57">
        <v>625.6</v>
      </c>
      <c r="E214" s="57">
        <v>1020.9</v>
      </c>
      <c r="F214" s="57">
        <v>1128</v>
      </c>
      <c r="G214" s="57">
        <v>250.7</v>
      </c>
      <c r="H214" s="57">
        <v>759.7</v>
      </c>
      <c r="I214" s="57">
        <v>814</v>
      </c>
      <c r="J214" s="57">
        <v>785</v>
      </c>
      <c r="K214" s="57">
        <v>1068.7</v>
      </c>
      <c r="L214" s="57">
        <v>1419.1</v>
      </c>
      <c r="M214" s="57">
        <v>1750.4</v>
      </c>
    </row>
    <row r="215" spans="1:13" ht="15" customHeight="1" x14ac:dyDescent="0.4">
      <c r="A215" s="76" t="s">
        <v>430</v>
      </c>
      <c r="B215" s="76"/>
      <c r="C215" s="76"/>
      <c r="D215" s="59">
        <v>30.5</v>
      </c>
      <c r="E215" s="59">
        <v>42.9</v>
      </c>
      <c r="F215" s="59">
        <v>52.5</v>
      </c>
      <c r="G215" s="57">
        <v>155.9</v>
      </c>
      <c r="H215" s="57">
        <v>290.5</v>
      </c>
      <c r="I215" s="57">
        <v>313</v>
      </c>
      <c r="J215" s="57">
        <v>311</v>
      </c>
      <c r="K215" s="57">
        <v>391.2</v>
      </c>
      <c r="L215" s="57">
        <v>478.4</v>
      </c>
      <c r="M215" s="57">
        <v>567.79999999999995</v>
      </c>
    </row>
    <row r="216" spans="1:13" ht="15" customHeight="1" x14ac:dyDescent="0.4">
      <c r="A216" s="75" t="s">
        <v>431</v>
      </c>
      <c r="B216" s="75"/>
      <c r="C216" s="75"/>
      <c r="D216" s="55"/>
      <c r="E216" s="55"/>
      <c r="F216" s="55"/>
      <c r="G216" s="55"/>
      <c r="H216" s="55"/>
      <c r="I216" s="55"/>
      <c r="J216" s="55"/>
      <c r="K216" s="55"/>
      <c r="L216" s="55"/>
      <c r="M216" s="55"/>
    </row>
    <row r="217" spans="1:13" ht="15" customHeight="1" x14ac:dyDescent="0.4">
      <c r="A217" s="76" t="s">
        <v>432</v>
      </c>
      <c r="B217" s="76"/>
      <c r="C217" s="76"/>
      <c r="D217" s="61"/>
      <c r="E217" s="61"/>
      <c r="F217" s="61"/>
      <c r="G217" s="57">
        <v>570.1</v>
      </c>
      <c r="H217" s="57">
        <v>504.9</v>
      </c>
      <c r="I217" s="57">
        <v>550.79999999999995</v>
      </c>
      <c r="J217" s="57">
        <v>854.8</v>
      </c>
      <c r="K217" s="57">
        <v>826.1</v>
      </c>
      <c r="L217" s="57">
        <v>773.3</v>
      </c>
      <c r="M217" s="57">
        <v>778.6</v>
      </c>
    </row>
    <row r="218" spans="1:13" ht="15" customHeight="1" x14ac:dyDescent="0.4">
      <c r="A218" s="76" t="s">
        <v>433</v>
      </c>
      <c r="B218" s="76"/>
      <c r="C218" s="76"/>
      <c r="D218" s="59">
        <v>7.7</v>
      </c>
      <c r="E218" s="59">
        <v>5.7</v>
      </c>
      <c r="F218" s="59">
        <v>4.4000000000000004</v>
      </c>
      <c r="G218" s="59">
        <v>3.3</v>
      </c>
      <c r="H218" s="62">
        <v>-9.1999999999999993</v>
      </c>
      <c r="I218" s="62">
        <v>-13.1</v>
      </c>
      <c r="J218" s="62">
        <v>-8.3000000000000007</v>
      </c>
      <c r="K218" s="62">
        <v>-0.9</v>
      </c>
      <c r="L218" s="59">
        <v>5.9</v>
      </c>
      <c r="M218" s="59">
        <v>17.7</v>
      </c>
    </row>
    <row r="219" spans="1:13" ht="15" customHeight="1" x14ac:dyDescent="0.4">
      <c r="A219" s="76" t="s">
        <v>434</v>
      </c>
      <c r="B219" s="76"/>
      <c r="C219" s="76"/>
      <c r="D219" s="67">
        <v>-204.4</v>
      </c>
      <c r="E219" s="67">
        <v>-594</v>
      </c>
      <c r="F219" s="67">
        <v>-540.9</v>
      </c>
      <c r="G219" s="67">
        <v>-1018</v>
      </c>
      <c r="H219" s="67">
        <v>-1067.5999999999999</v>
      </c>
      <c r="I219" s="67">
        <v>-736.1</v>
      </c>
      <c r="J219" s="67">
        <v>-881.1</v>
      </c>
      <c r="K219" s="62">
        <v>-70.3</v>
      </c>
      <c r="L219" s="62">
        <v>-59.2</v>
      </c>
      <c r="M219" s="67">
        <v>-727.7</v>
      </c>
    </row>
    <row r="220" spans="1:13" ht="15" customHeight="1" x14ac:dyDescent="0.4">
      <c r="A220" s="76" t="s">
        <v>435</v>
      </c>
      <c r="B220" s="76"/>
      <c r="C220" s="76"/>
      <c r="D220" s="57">
        <v>4314.6000000000004</v>
      </c>
      <c r="E220" s="57">
        <v>6941.4</v>
      </c>
      <c r="F220" s="57">
        <v>7023.1</v>
      </c>
      <c r="G220" s="57">
        <v>8546.2000000000007</v>
      </c>
      <c r="H220" s="57">
        <v>9001.1</v>
      </c>
      <c r="I220" s="57">
        <v>9132.2000000000007</v>
      </c>
      <c r="J220" s="61">
        <v>10505.5</v>
      </c>
      <c r="K220" s="61">
        <v>11219</v>
      </c>
      <c r="L220" s="61">
        <v>11815.2</v>
      </c>
      <c r="M220" s="61">
        <v>12280.6</v>
      </c>
    </row>
    <row r="221" spans="1:13" ht="15" customHeight="1" x14ac:dyDescent="0.4">
      <c r="A221" s="76" t="s">
        <v>436</v>
      </c>
      <c r="B221" s="76"/>
      <c r="C221" s="76"/>
      <c r="D221" s="57">
        <v>102.8</v>
      </c>
      <c r="E221" s="57">
        <v>276.10000000000002</v>
      </c>
      <c r="F221" s="57">
        <v>172.8</v>
      </c>
      <c r="G221" s="57">
        <v>171.6</v>
      </c>
      <c r="H221" s="57">
        <v>207.4</v>
      </c>
      <c r="I221" s="57">
        <v>307.2</v>
      </c>
      <c r="J221" s="57">
        <v>473.7</v>
      </c>
      <c r="K221" s="57">
        <v>306.2</v>
      </c>
      <c r="L221" s="57">
        <v>309.7</v>
      </c>
      <c r="M221" s="57">
        <v>786.5</v>
      </c>
    </row>
    <row r="222" spans="1:13" ht="15" customHeight="1" x14ac:dyDescent="0.4">
      <c r="A222" s="76" t="s">
        <v>437</v>
      </c>
      <c r="B222" s="76"/>
      <c r="C222" s="76"/>
      <c r="D222" s="57">
        <v>140.5</v>
      </c>
      <c r="E222" s="57">
        <v>326.5</v>
      </c>
      <c r="F222" s="57">
        <v>231.5</v>
      </c>
      <c r="G222" s="57">
        <v>211.4</v>
      </c>
      <c r="H222" s="57">
        <v>249</v>
      </c>
      <c r="I222" s="57">
        <v>359.8</v>
      </c>
      <c r="J222" s="57">
        <v>517.6</v>
      </c>
      <c r="K222" s="57">
        <v>355.9</v>
      </c>
      <c r="L222" s="57">
        <v>354.5</v>
      </c>
      <c r="M222" s="57">
        <v>839.8</v>
      </c>
    </row>
    <row r="223" spans="1:13" ht="15" customHeight="1" x14ac:dyDescent="0.4">
      <c r="A223" s="76" t="s">
        <v>438</v>
      </c>
      <c r="B223" s="76"/>
      <c r="C223" s="76"/>
      <c r="D223" s="57">
        <v>1978.8</v>
      </c>
      <c r="E223" s="57">
        <v>4673.6000000000004</v>
      </c>
      <c r="F223" s="57">
        <v>3945.6</v>
      </c>
      <c r="G223" s="57">
        <v>4972.7</v>
      </c>
      <c r="H223" s="57">
        <v>5408.2</v>
      </c>
      <c r="I223" s="57">
        <v>4953.3</v>
      </c>
      <c r="J223" s="57">
        <v>5145.7</v>
      </c>
      <c r="K223" s="57">
        <v>6331.3</v>
      </c>
      <c r="L223" s="57">
        <v>6640.2</v>
      </c>
      <c r="M223" s="57">
        <v>7709.8</v>
      </c>
    </row>
    <row r="224" spans="1:13" ht="15" customHeight="1" x14ac:dyDescent="0.4">
      <c r="A224" s="76" t="s">
        <v>439</v>
      </c>
      <c r="B224" s="76"/>
      <c r="C224" s="76"/>
      <c r="D224" s="57">
        <v>116.8</v>
      </c>
      <c r="E224" s="57">
        <v>115.6</v>
      </c>
      <c r="F224" s="57">
        <v>135.19999999999999</v>
      </c>
      <c r="G224" s="57">
        <v>134.1</v>
      </c>
      <c r="H224" s="57">
        <v>145.30000000000001</v>
      </c>
      <c r="I224" s="57">
        <v>158.80000000000001</v>
      </c>
      <c r="J224" s="57">
        <v>179.3</v>
      </c>
      <c r="K224" s="57">
        <v>201</v>
      </c>
      <c r="L224" s="57">
        <v>226.9</v>
      </c>
      <c r="M224" s="57">
        <v>271.8</v>
      </c>
    </row>
    <row r="225" spans="1:13" ht="15" customHeight="1" x14ac:dyDescent="0.4">
      <c r="A225" s="76" t="s">
        <v>440</v>
      </c>
      <c r="B225" s="76"/>
      <c r="C225" s="76"/>
      <c r="D225" s="57">
        <v>3679.3</v>
      </c>
      <c r="E225" s="57">
        <v>6876.5</v>
      </c>
      <c r="F225" s="57">
        <v>6858.5</v>
      </c>
      <c r="G225" s="57">
        <v>8063.1</v>
      </c>
      <c r="H225" s="57">
        <v>8726.7999999999993</v>
      </c>
      <c r="I225" s="57">
        <v>8877.4</v>
      </c>
      <c r="J225" s="57">
        <v>9805.2999999999993</v>
      </c>
      <c r="K225" s="61">
        <v>11584.1</v>
      </c>
      <c r="L225" s="61">
        <v>12052.5</v>
      </c>
      <c r="M225" s="61">
        <v>13059.4</v>
      </c>
    </row>
    <row r="226" spans="1:13" ht="15" customHeight="1" x14ac:dyDescent="0.4">
      <c r="A226" s="76" t="s">
        <v>441</v>
      </c>
      <c r="B226" s="76"/>
      <c r="C226" s="76"/>
      <c r="D226" s="57">
        <v>3679.3</v>
      </c>
      <c r="E226" s="57">
        <v>6876.5</v>
      </c>
      <c r="F226" s="57">
        <v>6858.5</v>
      </c>
      <c r="G226" s="57">
        <v>8063.1</v>
      </c>
      <c r="H226" s="57">
        <v>8726.7999999999993</v>
      </c>
      <c r="I226" s="57">
        <v>8877.4</v>
      </c>
      <c r="J226" s="57">
        <v>9805.2999999999993</v>
      </c>
      <c r="K226" s="61">
        <v>11584.1</v>
      </c>
      <c r="L226" s="61">
        <v>12052.5</v>
      </c>
      <c r="M226" s="61">
        <v>13059.4</v>
      </c>
    </row>
    <row r="227" spans="1:13" ht="15" customHeight="1" x14ac:dyDescent="0.4">
      <c r="A227" s="76" t="s">
        <v>442</v>
      </c>
      <c r="B227" s="76"/>
      <c r="C227" s="76"/>
      <c r="D227" s="57">
        <v>1295.5999999999999</v>
      </c>
      <c r="E227" s="57">
        <v>2152</v>
      </c>
      <c r="F227" s="57">
        <v>1912.5</v>
      </c>
      <c r="G227" s="57">
        <v>1895.8</v>
      </c>
      <c r="H227" s="57">
        <v>2088.6999999999998</v>
      </c>
      <c r="I227" s="57">
        <v>2271.6</v>
      </c>
      <c r="J227" s="57">
        <v>2129.1</v>
      </c>
      <c r="K227" s="57">
        <v>1575.8</v>
      </c>
      <c r="L227" s="57">
        <v>1676.9</v>
      </c>
      <c r="M227" s="57">
        <v>1676.7</v>
      </c>
    </row>
    <row r="228" spans="1:13" ht="15" customHeight="1" x14ac:dyDescent="0.4">
      <c r="A228" s="76" t="s">
        <v>443</v>
      </c>
      <c r="B228" s="76"/>
      <c r="C228" s="76"/>
      <c r="D228" s="57">
        <v>1841</v>
      </c>
      <c r="E228" s="57">
        <v>2529.4</v>
      </c>
      <c r="F228" s="57">
        <v>3144.4</v>
      </c>
      <c r="G228" s="57">
        <v>3301.8</v>
      </c>
      <c r="H228" s="57">
        <v>3567.6</v>
      </c>
      <c r="I228" s="57">
        <v>4283.8999999999996</v>
      </c>
      <c r="J228" s="57">
        <v>5177.2</v>
      </c>
      <c r="K228" s="57">
        <v>5608.7</v>
      </c>
      <c r="L228" s="57">
        <v>5766.8</v>
      </c>
      <c r="M228" s="57">
        <v>6189.4</v>
      </c>
    </row>
    <row r="229" spans="1:13" ht="15" customHeight="1" x14ac:dyDescent="0.4">
      <c r="A229" s="76" t="s">
        <v>444</v>
      </c>
      <c r="B229" s="76"/>
      <c r="C229" s="76"/>
      <c r="D229" s="67">
        <v>-603.79999999999995</v>
      </c>
      <c r="E229" s="67">
        <v>-3701.6</v>
      </c>
      <c r="F229" s="67">
        <v>-2567.6</v>
      </c>
      <c r="G229" s="67">
        <v>-2416.5</v>
      </c>
      <c r="H229" s="67">
        <v>-2174</v>
      </c>
      <c r="I229" s="67">
        <v>-1288.8</v>
      </c>
      <c r="J229" s="67">
        <v>-541.79999999999995</v>
      </c>
      <c r="K229" s="67">
        <v>-173.7</v>
      </c>
      <c r="L229" s="57">
        <v>107.8</v>
      </c>
      <c r="M229" s="57">
        <v>392.2</v>
      </c>
    </row>
    <row r="230" spans="1:13" ht="15" customHeight="1" x14ac:dyDescent="0.4">
      <c r="A230" s="76" t="s">
        <v>445</v>
      </c>
      <c r="B230" s="76"/>
      <c r="C230" s="76"/>
      <c r="D230" s="67">
        <v>-611.5</v>
      </c>
      <c r="E230" s="67">
        <v>-3707.3</v>
      </c>
      <c r="F230" s="67">
        <v>-2572</v>
      </c>
      <c r="G230" s="67">
        <v>-2419.8000000000002</v>
      </c>
      <c r="H230" s="67">
        <v>-2164.8000000000002</v>
      </c>
      <c r="I230" s="67">
        <v>-1275.7</v>
      </c>
      <c r="J230" s="67">
        <v>-533.5</v>
      </c>
      <c r="K230" s="67">
        <v>-172.8</v>
      </c>
      <c r="L230" s="57">
        <v>101.9</v>
      </c>
      <c r="M230" s="57">
        <v>374.5</v>
      </c>
    </row>
    <row r="231" spans="1:13" ht="15" customHeight="1" x14ac:dyDescent="0.4">
      <c r="A231" s="76" t="s">
        <v>446</v>
      </c>
      <c r="B231" s="76"/>
      <c r="C231" s="76"/>
      <c r="D231" s="57">
        <v>3812.1</v>
      </c>
      <c r="E231" s="57">
        <v>7197.3</v>
      </c>
      <c r="F231" s="57">
        <v>7085.6</v>
      </c>
      <c r="G231" s="57">
        <v>8271.2000000000007</v>
      </c>
      <c r="H231" s="57">
        <v>8985</v>
      </c>
      <c r="I231" s="57">
        <v>9250.2999999999993</v>
      </c>
      <c r="J231" s="61">
        <v>10331.200000000001</v>
      </c>
      <c r="K231" s="61">
        <v>11940.9</v>
      </c>
      <c r="L231" s="61">
        <v>12401.1</v>
      </c>
      <c r="M231" s="61">
        <v>13881.5</v>
      </c>
    </row>
    <row r="232" spans="1:13" ht="15" customHeight="1" x14ac:dyDescent="0.4">
      <c r="A232" s="76" t="s">
        <v>447</v>
      </c>
      <c r="B232" s="76"/>
      <c r="C232" s="76"/>
      <c r="D232" s="57">
        <v>3819.8</v>
      </c>
      <c r="E232" s="57">
        <v>7203</v>
      </c>
      <c r="F232" s="57">
        <v>7090</v>
      </c>
      <c r="G232" s="57">
        <v>8274.5</v>
      </c>
      <c r="H232" s="57">
        <v>8975.7999999999993</v>
      </c>
      <c r="I232" s="57">
        <v>9237.2000000000007</v>
      </c>
      <c r="J232" s="61">
        <v>10322.9</v>
      </c>
      <c r="K232" s="61">
        <v>11940</v>
      </c>
      <c r="L232" s="61">
        <v>12407</v>
      </c>
      <c r="M232" s="61">
        <v>13899.2</v>
      </c>
    </row>
    <row r="233" spans="1:13" ht="15" customHeight="1" x14ac:dyDescent="0.4">
      <c r="A233" s="76" t="s">
        <v>448</v>
      </c>
      <c r="B233" s="76"/>
      <c r="C233" s="76"/>
      <c r="D233" s="57">
        <v>4708.7</v>
      </c>
      <c r="E233" s="57">
        <v>8686.7000000000007</v>
      </c>
      <c r="F233" s="57">
        <v>8378.7999999999993</v>
      </c>
      <c r="G233" s="57">
        <v>9304.2000000000007</v>
      </c>
      <c r="H233" s="57">
        <v>9836.2000000000007</v>
      </c>
      <c r="I233" s="61">
        <v>10237.4</v>
      </c>
      <c r="J233" s="61">
        <v>10745.6</v>
      </c>
      <c r="K233" s="61">
        <v>11648.5</v>
      </c>
      <c r="L233" s="61">
        <v>12415.6</v>
      </c>
      <c r="M233" s="61">
        <v>13295.2</v>
      </c>
    </row>
    <row r="234" spans="1:13" ht="15" customHeight="1" x14ac:dyDescent="0.4">
      <c r="A234" s="76" t="s">
        <v>449</v>
      </c>
      <c r="B234" s="76"/>
      <c r="C234" s="76"/>
      <c r="D234" s="57">
        <v>2787.5</v>
      </c>
      <c r="E234" s="57">
        <v>4862.8999999999996</v>
      </c>
      <c r="F234" s="57">
        <v>4714.3999999999996</v>
      </c>
      <c r="G234" s="57">
        <v>5899.6</v>
      </c>
      <c r="H234" s="57">
        <v>6139.7</v>
      </c>
      <c r="I234" s="57">
        <v>6050</v>
      </c>
      <c r="J234" s="57">
        <v>6281.3</v>
      </c>
      <c r="K234" s="57">
        <v>6409.4</v>
      </c>
      <c r="L234" s="57">
        <v>6901.6</v>
      </c>
      <c r="M234" s="57">
        <v>7498.1</v>
      </c>
    </row>
    <row r="235" spans="1:13" ht="15" customHeight="1" x14ac:dyDescent="0.4">
      <c r="A235" s="76" t="s">
        <v>450</v>
      </c>
      <c r="B235" s="76"/>
      <c r="C235" s="76"/>
      <c r="D235" s="57">
        <v>302</v>
      </c>
      <c r="E235" s="57">
        <v>350.3</v>
      </c>
      <c r="F235" s="57">
        <v>380.4</v>
      </c>
      <c r="G235" s="57">
        <v>1293.5999999999999</v>
      </c>
      <c r="H235" s="57">
        <v>1058.8</v>
      </c>
      <c r="I235" s="57">
        <v>1009.2</v>
      </c>
      <c r="J235" s="57">
        <v>1249</v>
      </c>
      <c r="K235" s="57">
        <v>1155.9000000000001</v>
      </c>
      <c r="L235" s="57">
        <v>1088.8</v>
      </c>
      <c r="M235" s="57">
        <v>1121.3</v>
      </c>
    </row>
    <row r="236" spans="1:13" ht="15" customHeight="1" x14ac:dyDescent="0.4">
      <c r="A236" s="76" t="s">
        <v>451</v>
      </c>
      <c r="B236" s="76"/>
      <c r="C236" s="76"/>
      <c r="D236" s="67">
        <v>-101.6</v>
      </c>
      <c r="E236" s="67">
        <v>-317.89999999999998</v>
      </c>
      <c r="F236" s="67">
        <v>-368.1</v>
      </c>
      <c r="G236" s="67">
        <v>-846.4</v>
      </c>
      <c r="H236" s="67">
        <v>-860.2</v>
      </c>
      <c r="I236" s="67">
        <v>-428.9</v>
      </c>
      <c r="J236" s="67">
        <v>-407.4</v>
      </c>
      <c r="K236" s="57">
        <v>235.9</v>
      </c>
      <c r="L236" s="57">
        <v>250.5</v>
      </c>
      <c r="M236" s="59">
        <v>58.8</v>
      </c>
    </row>
    <row r="237" spans="1:13" ht="15" customHeight="1" x14ac:dyDescent="0.4">
      <c r="A237" s="76" t="s">
        <v>452</v>
      </c>
      <c r="B237" s="76"/>
      <c r="C237" s="76"/>
      <c r="D237" s="67">
        <v>-242.1</v>
      </c>
      <c r="E237" s="67">
        <v>-644.4</v>
      </c>
      <c r="F237" s="67">
        <v>-599.6</v>
      </c>
      <c r="G237" s="67">
        <v>-1057.8</v>
      </c>
      <c r="H237" s="67">
        <v>-1109.2</v>
      </c>
      <c r="I237" s="67">
        <v>-788.7</v>
      </c>
      <c r="J237" s="67">
        <v>-925</v>
      </c>
      <c r="K237" s="67">
        <v>-120</v>
      </c>
      <c r="L237" s="67">
        <v>-104</v>
      </c>
      <c r="M237" s="67">
        <v>-781</v>
      </c>
    </row>
    <row r="238" spans="1:13" ht="15" customHeight="1" x14ac:dyDescent="0.4">
      <c r="A238" s="76" t="s">
        <v>453</v>
      </c>
      <c r="B238" s="76"/>
      <c r="C238" s="76"/>
      <c r="D238" s="57">
        <v>158.69999999999999</v>
      </c>
      <c r="E238" s="57">
        <v>304.89999999999998</v>
      </c>
      <c r="F238" s="57">
        <v>283.2</v>
      </c>
      <c r="G238" s="57">
        <v>131.30000000000001</v>
      </c>
      <c r="H238" s="59">
        <v>68.099999999999994</v>
      </c>
      <c r="I238" s="57">
        <v>565</v>
      </c>
      <c r="J238" s="57">
        <v>883.6</v>
      </c>
      <c r="K238" s="57">
        <v>1465.7</v>
      </c>
      <c r="L238" s="57">
        <v>1566</v>
      </c>
      <c r="M238" s="57">
        <v>1289.7</v>
      </c>
    </row>
    <row r="239" spans="1:13" ht="15" customHeight="1" x14ac:dyDescent="0.4">
      <c r="A239" s="76" t="s">
        <v>454</v>
      </c>
      <c r="B239" s="76"/>
      <c r="C239" s="76"/>
      <c r="D239" s="57">
        <v>1841.1</v>
      </c>
      <c r="E239" s="57">
        <v>2529.4</v>
      </c>
      <c r="F239" s="57">
        <v>3144.4</v>
      </c>
      <c r="G239" s="57">
        <v>3301.7</v>
      </c>
      <c r="H239" s="57">
        <v>3567.6</v>
      </c>
      <c r="I239" s="57">
        <v>4283.8999999999996</v>
      </c>
      <c r="J239" s="57">
        <v>5177.1000000000004</v>
      </c>
      <c r="K239" s="57">
        <v>5608.6</v>
      </c>
      <c r="L239" s="57">
        <v>5766.8</v>
      </c>
      <c r="M239" s="57">
        <v>6189.4</v>
      </c>
    </row>
    <row r="240" spans="1:13" ht="15" customHeight="1" x14ac:dyDescent="0.4">
      <c r="A240" s="76" t="s">
        <v>455</v>
      </c>
      <c r="B240" s="76"/>
      <c r="C240" s="76"/>
      <c r="D240" s="61"/>
      <c r="E240" s="61">
        <f>E237-D237</f>
        <v>-402.29999999999995</v>
      </c>
      <c r="F240" s="61"/>
      <c r="G240" s="57">
        <v>3300.8</v>
      </c>
      <c r="H240" s="57">
        <v>3631.7</v>
      </c>
      <c r="I240" s="57">
        <v>4441.3</v>
      </c>
      <c r="J240" s="57">
        <v>6658.5</v>
      </c>
      <c r="K240" s="57">
        <v>7077.8</v>
      </c>
      <c r="L240" s="57">
        <v>6362.1</v>
      </c>
      <c r="M240" s="57">
        <v>4635.1000000000004</v>
      </c>
    </row>
    <row r="241" spans="1:13" ht="15" customHeight="1" x14ac:dyDescent="0.4">
      <c r="A241" s="75" t="s">
        <v>456</v>
      </c>
      <c r="B241" s="75"/>
      <c r="C241" s="75"/>
      <c r="D241" s="55"/>
      <c r="E241" s="55"/>
      <c r="F241" s="55"/>
      <c r="G241" s="55"/>
      <c r="H241" s="55"/>
      <c r="I241" s="55"/>
      <c r="J241" s="55"/>
      <c r="K241" s="55"/>
      <c r="L241" s="55"/>
      <c r="M241" s="55"/>
    </row>
    <row r="242" spans="1:13" ht="15" customHeight="1" x14ac:dyDescent="0.4">
      <c r="A242" s="76" t="s">
        <v>457</v>
      </c>
      <c r="B242" s="76"/>
      <c r="C242" s="76"/>
      <c r="D242" s="57">
        <v>272.7</v>
      </c>
      <c r="E242" s="57">
        <v>362.7</v>
      </c>
      <c r="F242" s="57">
        <v>442</v>
      </c>
      <c r="G242" s="57">
        <v>599.29999999999995</v>
      </c>
      <c r="H242" s="61"/>
      <c r="I242" s="61"/>
      <c r="J242" s="61"/>
      <c r="K242" s="61"/>
      <c r="L242" s="61"/>
      <c r="M242" s="61"/>
    </row>
    <row r="243" spans="1:13" ht="15" customHeight="1" x14ac:dyDescent="0.4">
      <c r="A243" s="77" t="s">
        <v>458</v>
      </c>
      <c r="B243" s="77"/>
      <c r="C243" s="77"/>
      <c r="D243" s="59">
        <v>66.900000000000006</v>
      </c>
      <c r="E243" s="59">
        <v>85.5</v>
      </c>
      <c r="F243" s="59">
        <v>96.1</v>
      </c>
      <c r="G243" s="57">
        <v>200.5</v>
      </c>
      <c r="H243" s="61"/>
      <c r="I243" s="61"/>
      <c r="J243" s="61"/>
      <c r="K243" s="61"/>
      <c r="L243" s="61"/>
      <c r="M243" s="61"/>
    </row>
    <row r="244" spans="1:13" ht="15" customHeight="1" x14ac:dyDescent="0.4">
      <c r="A244" s="77" t="s">
        <v>459</v>
      </c>
      <c r="B244" s="77"/>
      <c r="C244" s="77"/>
      <c r="D244" s="61"/>
      <c r="E244" s="61"/>
      <c r="F244" s="61"/>
      <c r="G244" s="57">
        <v>153.5</v>
      </c>
      <c r="H244" s="61"/>
      <c r="I244" s="61"/>
      <c r="J244" s="61"/>
      <c r="K244" s="61"/>
      <c r="L244" s="61"/>
      <c r="M244" s="61"/>
    </row>
    <row r="245" spans="1:13" ht="15" customHeight="1" x14ac:dyDescent="0.4">
      <c r="A245" s="77" t="s">
        <v>460</v>
      </c>
      <c r="B245" s="77"/>
      <c r="C245" s="77"/>
      <c r="D245" s="61"/>
      <c r="E245" s="61"/>
      <c r="F245" s="61"/>
      <c r="G245" s="57">
        <v>115.6</v>
      </c>
      <c r="H245" s="61"/>
      <c r="I245" s="61"/>
      <c r="J245" s="61"/>
      <c r="K245" s="61"/>
      <c r="L245" s="61"/>
      <c r="M245" s="61"/>
    </row>
    <row r="246" spans="1:13" ht="15" customHeight="1" x14ac:dyDescent="0.4">
      <c r="A246" s="77" t="s">
        <v>461</v>
      </c>
      <c r="B246" s="77"/>
      <c r="C246" s="77"/>
      <c r="D246" s="61"/>
      <c r="E246" s="61"/>
      <c r="F246" s="61"/>
      <c r="G246" s="59">
        <v>76.8</v>
      </c>
      <c r="H246" s="61"/>
      <c r="I246" s="61"/>
      <c r="J246" s="61"/>
      <c r="K246" s="61"/>
      <c r="L246" s="61"/>
      <c r="M246" s="61"/>
    </row>
    <row r="247" spans="1:13" ht="15" customHeight="1" x14ac:dyDescent="0.4">
      <c r="A247" s="77" t="s">
        <v>462</v>
      </c>
      <c r="B247" s="77"/>
      <c r="C247" s="77"/>
      <c r="D247" s="57">
        <v>135.4</v>
      </c>
      <c r="E247" s="57">
        <v>169.4</v>
      </c>
      <c r="F247" s="57">
        <v>192.8</v>
      </c>
      <c r="G247" s="59">
        <v>42.6</v>
      </c>
      <c r="H247" s="61"/>
      <c r="I247" s="61"/>
      <c r="J247" s="61"/>
      <c r="K247" s="61"/>
      <c r="L247" s="61"/>
      <c r="M247" s="61"/>
    </row>
    <row r="248" spans="1:13" ht="15" customHeight="1" x14ac:dyDescent="0.4">
      <c r="A248" s="77" t="s">
        <v>463</v>
      </c>
      <c r="B248" s="77"/>
      <c r="C248" s="77"/>
      <c r="D248" s="59">
        <v>70.400000000000006</v>
      </c>
      <c r="E248" s="57">
        <v>107.8</v>
      </c>
      <c r="F248" s="57">
        <v>153</v>
      </c>
      <c r="G248" s="59">
        <v>10.3</v>
      </c>
      <c r="H248" s="61"/>
      <c r="I248" s="61"/>
      <c r="J248" s="61"/>
      <c r="K248" s="61"/>
      <c r="L248" s="61"/>
      <c r="M248" s="61"/>
    </row>
    <row r="249" spans="1:13" ht="15" customHeight="1" x14ac:dyDescent="0.4">
      <c r="A249" s="76" t="s">
        <v>464</v>
      </c>
      <c r="B249" s="76"/>
      <c r="C249" s="76"/>
      <c r="D249" s="61"/>
      <c r="E249" s="61"/>
      <c r="F249" s="61"/>
      <c r="G249" s="57">
        <v>269.10000000000002</v>
      </c>
      <c r="H249" s="61"/>
      <c r="I249" s="61"/>
      <c r="J249" s="61"/>
      <c r="K249" s="61"/>
      <c r="L249" s="61"/>
      <c r="M249" s="61"/>
    </row>
    <row r="250" spans="1:13" ht="15" customHeight="1" x14ac:dyDescent="0.4">
      <c r="A250" s="76" t="s">
        <v>465</v>
      </c>
      <c r="B250" s="76"/>
      <c r="C250" s="76"/>
      <c r="D250" s="61"/>
      <c r="E250" s="61"/>
      <c r="F250" s="61"/>
      <c r="G250" s="57">
        <v>119.4</v>
      </c>
      <c r="H250" s="61"/>
      <c r="I250" s="61"/>
      <c r="J250" s="61"/>
      <c r="K250" s="61"/>
      <c r="L250" s="61"/>
      <c r="M250" s="61"/>
    </row>
    <row r="251" spans="1:13" ht="15" customHeight="1" x14ac:dyDescent="0.4">
      <c r="A251" s="76" t="s">
        <v>466</v>
      </c>
      <c r="B251" s="76"/>
      <c r="C251" s="76"/>
      <c r="D251" s="59">
        <v>70.400000000000006</v>
      </c>
      <c r="E251" s="57">
        <v>107.8</v>
      </c>
      <c r="F251" s="57">
        <v>153</v>
      </c>
      <c r="G251" s="59">
        <v>10.3</v>
      </c>
      <c r="H251" s="61"/>
      <c r="I251" s="61"/>
      <c r="J251" s="61"/>
      <c r="K251" s="61"/>
      <c r="L251" s="61"/>
      <c r="M251" s="61"/>
    </row>
    <row r="252" spans="1:13" ht="15" customHeight="1" x14ac:dyDescent="0.4">
      <c r="A252" s="75" t="s">
        <v>467</v>
      </c>
      <c r="B252" s="75"/>
      <c r="C252" s="75"/>
      <c r="D252" s="55"/>
      <c r="E252" s="55"/>
      <c r="F252" s="55"/>
      <c r="G252" s="55"/>
      <c r="H252" s="55"/>
      <c r="I252" s="55"/>
      <c r="J252" s="55"/>
      <c r="K252" s="55"/>
      <c r="L252" s="55"/>
      <c r="M252" s="55"/>
    </row>
    <row r="253" spans="1:13" ht="15" customHeight="1" x14ac:dyDescent="0.4">
      <c r="A253" s="76" t="s">
        <v>468</v>
      </c>
      <c r="B253" s="76"/>
      <c r="C253" s="76"/>
      <c r="D253" s="61">
        <v>23506</v>
      </c>
      <c r="E253" s="61">
        <v>30544</v>
      </c>
      <c r="F253" s="61">
        <v>31608</v>
      </c>
      <c r="G253" s="61">
        <v>33128</v>
      </c>
      <c r="H253" s="61">
        <v>34604</v>
      </c>
      <c r="I253" s="61">
        <v>36207</v>
      </c>
      <c r="J253" s="61">
        <v>39602</v>
      </c>
      <c r="K253" s="61">
        <v>41149</v>
      </c>
      <c r="L253" s="61">
        <v>42325</v>
      </c>
      <c r="M253" s="61">
        <v>42719</v>
      </c>
    </row>
    <row r="254" spans="1:13" ht="15" customHeight="1" x14ac:dyDescent="0.4">
      <c r="A254" s="76" t="s">
        <v>469</v>
      </c>
      <c r="B254" s="76"/>
      <c r="C254" s="76"/>
      <c r="D254" s="61">
        <v>23506</v>
      </c>
      <c r="E254" s="61">
        <v>30544</v>
      </c>
      <c r="F254" s="61">
        <v>31608</v>
      </c>
      <c r="G254" s="61">
        <v>33128</v>
      </c>
      <c r="H254" s="61">
        <v>34604</v>
      </c>
      <c r="I254" s="61">
        <v>36207</v>
      </c>
      <c r="J254" s="61">
        <v>39602</v>
      </c>
      <c r="K254" s="61">
        <v>41149</v>
      </c>
      <c r="L254" s="61">
        <v>42325</v>
      </c>
      <c r="M254" s="61">
        <v>42719</v>
      </c>
    </row>
  </sheetData>
  <pageMargins left="0.5" right="0.5" top="1" bottom="1" header="0.5" footer="0.7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DBEC-CCDB-4D04-B96F-26CA057DB58A}">
  <sheetPr>
    <pageSetUpPr fitToPage="1"/>
  </sheetPr>
  <dimension ref="A1:K193"/>
  <sheetViews>
    <sheetView topLeftCell="B154" zoomScaleNormal="100" workbookViewId="0">
      <selection activeCell="K193" sqref="K193"/>
    </sheetView>
  </sheetViews>
  <sheetFormatPr defaultColWidth="9.15234375" defaultRowHeight="14.6" x14ac:dyDescent="0.4"/>
  <cols>
    <col min="1" max="1" width="85.53515625" style="44" customWidth="1"/>
    <col min="2" max="11" width="15.53515625" style="44" customWidth="1"/>
    <col min="12" max="16384" width="9.15234375" style="44"/>
  </cols>
  <sheetData>
    <row r="1" spans="1:11" ht="15" customHeight="1" thickBot="1" x14ac:dyDescent="0.45">
      <c r="A1" s="42" t="s">
        <v>470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ht="15" customHeight="1" thickTop="1" x14ac:dyDescent="0.4">
      <c r="A2" s="45" t="s">
        <v>209</v>
      </c>
      <c r="B2" s="46" t="s">
        <v>210</v>
      </c>
    </row>
    <row r="3" spans="1:11" x14ac:dyDescent="0.4">
      <c r="A3" s="45" t="s">
        <v>211</v>
      </c>
      <c r="B3" s="45" t="s">
        <v>212</v>
      </c>
    </row>
    <row r="4" spans="1:11" x14ac:dyDescent="0.4">
      <c r="A4" s="45" t="s">
        <v>213</v>
      </c>
      <c r="B4" s="45" t="s">
        <v>212</v>
      </c>
    </row>
    <row r="5" spans="1:11" x14ac:dyDescent="0.4">
      <c r="A5" s="45" t="s">
        <v>214</v>
      </c>
      <c r="B5" s="45" t="s">
        <v>215</v>
      </c>
    </row>
    <row r="6" spans="1:11" x14ac:dyDescent="0.4">
      <c r="A6" s="45" t="s">
        <v>216</v>
      </c>
      <c r="B6" s="45" t="s">
        <v>217</v>
      </c>
    </row>
    <row r="7" spans="1:11" x14ac:dyDescent="0.4">
      <c r="A7" s="45" t="s">
        <v>218</v>
      </c>
      <c r="B7" s="45" t="s">
        <v>219</v>
      </c>
    </row>
    <row r="8" spans="1:11" x14ac:dyDescent="0.4">
      <c r="A8" s="45" t="s">
        <v>220</v>
      </c>
      <c r="B8" s="45" t="s">
        <v>221</v>
      </c>
    </row>
    <row r="9" spans="1:11" x14ac:dyDescent="0.4">
      <c r="A9" s="45" t="s">
        <v>222</v>
      </c>
      <c r="B9" s="45" t="s">
        <v>223</v>
      </c>
    </row>
    <row r="10" spans="1:11" x14ac:dyDescent="0.4">
      <c r="A10" s="45" t="s">
        <v>224</v>
      </c>
      <c r="B10" s="47">
        <v>45993.357074143503</v>
      </c>
    </row>
    <row r="11" spans="1:11" x14ac:dyDescent="0.4">
      <c r="A11" s="48" t="s">
        <v>225</v>
      </c>
      <c r="B11" s="49" t="s">
        <v>226</v>
      </c>
      <c r="C11" s="49" t="s">
        <v>227</v>
      </c>
      <c r="D11" s="49" t="s">
        <v>228</v>
      </c>
      <c r="E11" s="49" t="s">
        <v>229</v>
      </c>
      <c r="F11" s="49" t="s">
        <v>230</v>
      </c>
      <c r="G11" s="49" t="s">
        <v>231</v>
      </c>
      <c r="H11" s="49" t="s">
        <v>232</v>
      </c>
      <c r="I11" s="49" t="s">
        <v>233</v>
      </c>
      <c r="J11" s="49" t="s">
        <v>234</v>
      </c>
      <c r="K11" s="49" t="s">
        <v>187</v>
      </c>
    </row>
    <row r="12" spans="1:11" ht="15" customHeight="1" x14ac:dyDescent="0.4">
      <c r="A12" s="50" t="s">
        <v>235</v>
      </c>
      <c r="B12" s="51">
        <v>42369</v>
      </c>
      <c r="C12" s="51">
        <v>42735</v>
      </c>
      <c r="D12" s="51">
        <v>43100</v>
      </c>
      <c r="E12" s="51">
        <v>43465</v>
      </c>
      <c r="F12" s="51">
        <v>43830</v>
      </c>
      <c r="G12" s="51">
        <v>44196</v>
      </c>
      <c r="H12" s="51">
        <v>44561</v>
      </c>
      <c r="I12" s="51">
        <v>44926</v>
      </c>
      <c r="J12" s="51">
        <v>45291</v>
      </c>
      <c r="K12" s="51">
        <v>45657</v>
      </c>
    </row>
    <row r="13" spans="1:11" ht="15" customHeight="1" x14ac:dyDescent="0.4">
      <c r="A13" s="50" t="s">
        <v>236</v>
      </c>
      <c r="B13" s="51" t="s">
        <v>237</v>
      </c>
      <c r="C13" s="51" t="s">
        <v>237</v>
      </c>
      <c r="D13" s="51" t="s">
        <v>237</v>
      </c>
      <c r="E13" s="51" t="s">
        <v>237</v>
      </c>
      <c r="F13" s="51" t="s">
        <v>237</v>
      </c>
      <c r="G13" s="51" t="s">
        <v>237</v>
      </c>
      <c r="H13" s="51" t="s">
        <v>237</v>
      </c>
      <c r="I13" s="51" t="s">
        <v>237</v>
      </c>
      <c r="J13" s="51" t="s">
        <v>237</v>
      </c>
      <c r="K13" s="51" t="s">
        <v>237</v>
      </c>
    </row>
    <row r="14" spans="1:11" x14ac:dyDescent="0.4">
      <c r="A14" s="52" t="s">
        <v>471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</row>
    <row r="15" spans="1:11" x14ac:dyDescent="0.4">
      <c r="A15" s="52" t="s">
        <v>239</v>
      </c>
      <c r="B15" s="53" t="s">
        <v>240</v>
      </c>
      <c r="C15" s="53" t="s">
        <v>241</v>
      </c>
      <c r="D15" s="53" t="s">
        <v>242</v>
      </c>
      <c r="E15" s="53" t="s">
        <v>243</v>
      </c>
      <c r="F15" s="53" t="s">
        <v>244</v>
      </c>
      <c r="G15" s="53" t="s">
        <v>245</v>
      </c>
      <c r="H15" s="53" t="s">
        <v>246</v>
      </c>
      <c r="I15" s="53" t="s">
        <v>247</v>
      </c>
      <c r="J15" s="53" t="s">
        <v>248</v>
      </c>
      <c r="K15" s="53" t="s">
        <v>249</v>
      </c>
    </row>
    <row r="16" spans="1:11" ht="15" customHeight="1" x14ac:dyDescent="0.4">
      <c r="A16" s="54" t="s">
        <v>472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</row>
    <row r="17" spans="1:11" ht="15" customHeight="1" x14ac:dyDescent="0.4">
      <c r="A17" s="56" t="s">
        <v>95</v>
      </c>
      <c r="B17" s="57">
        <v>5097.8999999999996</v>
      </c>
      <c r="C17" s="57">
        <v>5587.2</v>
      </c>
      <c r="D17" s="57">
        <v>7653.6</v>
      </c>
      <c r="E17" s="57">
        <v>7995.7</v>
      </c>
      <c r="F17" s="57">
        <v>8806.5</v>
      </c>
      <c r="G17" s="57">
        <v>8341.6</v>
      </c>
      <c r="H17" s="61">
        <v>10294.299999999999</v>
      </c>
      <c r="I17" s="61">
        <v>11135.6</v>
      </c>
      <c r="J17" s="61">
        <v>11433.7</v>
      </c>
      <c r="K17" s="61">
        <v>11503.2</v>
      </c>
    </row>
    <row r="18" spans="1:11" ht="15" customHeight="1" x14ac:dyDescent="0.4">
      <c r="A18" s="58" t="s">
        <v>473</v>
      </c>
      <c r="B18" s="57">
        <v>5097.8999999999996</v>
      </c>
      <c r="C18" s="57">
        <v>5587.2</v>
      </c>
      <c r="D18" s="57">
        <v>7653.6</v>
      </c>
      <c r="E18" s="57">
        <v>7995.7</v>
      </c>
      <c r="F18" s="57">
        <v>8806.5</v>
      </c>
      <c r="G18" s="57">
        <v>8341.6</v>
      </c>
      <c r="H18" s="61">
        <v>10294.299999999999</v>
      </c>
      <c r="I18" s="61">
        <v>11135.6</v>
      </c>
      <c r="J18" s="61">
        <v>11433.7</v>
      </c>
      <c r="K18" s="61">
        <v>11503.2</v>
      </c>
    </row>
    <row r="19" spans="1:11" ht="15" customHeight="1" x14ac:dyDescent="0.4">
      <c r="A19" s="63" t="s">
        <v>474</v>
      </c>
      <c r="B19" s="64">
        <v>5097.8999999999996</v>
      </c>
      <c r="C19" s="64">
        <v>5587.2</v>
      </c>
      <c r="D19" s="64">
        <v>7653.6</v>
      </c>
      <c r="E19" s="64">
        <v>7995.7</v>
      </c>
      <c r="F19" s="64">
        <v>8806.5</v>
      </c>
      <c r="G19" s="64">
        <v>8341.6</v>
      </c>
      <c r="H19" s="66">
        <v>10294.299999999999</v>
      </c>
      <c r="I19" s="66">
        <v>11135.6</v>
      </c>
      <c r="J19" s="66">
        <v>11433.7</v>
      </c>
      <c r="K19" s="66">
        <v>11503.2</v>
      </c>
    </row>
    <row r="20" spans="1:11" ht="15" customHeight="1" x14ac:dyDescent="0.4">
      <c r="A20" s="54" t="s">
        <v>475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</row>
    <row r="21" spans="1:11" ht="15" customHeight="1" x14ac:dyDescent="0.4">
      <c r="A21" s="56" t="s">
        <v>476</v>
      </c>
      <c r="B21" s="57">
        <v>3601.7</v>
      </c>
      <c r="C21" s="57">
        <v>4034.6</v>
      </c>
      <c r="D21" s="57">
        <v>5699.1</v>
      </c>
      <c r="E21" s="57">
        <v>5898.1</v>
      </c>
      <c r="F21" s="57">
        <v>6474.6</v>
      </c>
      <c r="G21" s="57">
        <v>6296.8</v>
      </c>
      <c r="H21" s="57">
        <v>7770.7</v>
      </c>
      <c r="I21" s="57">
        <v>9011.5</v>
      </c>
      <c r="J21" s="57">
        <v>8652.5</v>
      </c>
      <c r="K21" s="57">
        <v>8409.7000000000007</v>
      </c>
    </row>
    <row r="22" spans="1:11" ht="15" customHeight="1" x14ac:dyDescent="0.4">
      <c r="A22" s="58" t="s">
        <v>477</v>
      </c>
      <c r="B22" s="57">
        <v>3601.7</v>
      </c>
      <c r="C22" s="57">
        <v>4034.6</v>
      </c>
      <c r="D22" s="57">
        <v>5699.1</v>
      </c>
      <c r="E22" s="57">
        <v>5898.1</v>
      </c>
      <c r="F22" s="57">
        <v>6474.6</v>
      </c>
      <c r="G22" s="57">
        <v>6296.8</v>
      </c>
      <c r="H22" s="57">
        <v>7770.7</v>
      </c>
      <c r="I22" s="57">
        <v>9011.5</v>
      </c>
      <c r="J22" s="57">
        <v>8652.5</v>
      </c>
      <c r="K22" s="57">
        <v>8409.7000000000007</v>
      </c>
    </row>
    <row r="23" spans="1:11" ht="15" customHeight="1" x14ac:dyDescent="0.4">
      <c r="A23" s="60" t="s">
        <v>478</v>
      </c>
      <c r="B23" s="61"/>
      <c r="C23" s="57">
        <v>3977.6</v>
      </c>
      <c r="D23" s="57">
        <v>5630.1</v>
      </c>
      <c r="E23" s="57">
        <v>5821.5</v>
      </c>
      <c r="F23" s="61"/>
      <c r="G23" s="61"/>
      <c r="H23" s="57">
        <v>7670.8</v>
      </c>
      <c r="I23" s="57">
        <v>8898.9</v>
      </c>
      <c r="J23" s="57">
        <v>8534.9</v>
      </c>
      <c r="K23" s="57">
        <v>8293.5</v>
      </c>
    </row>
    <row r="24" spans="1:11" ht="15" customHeight="1" x14ac:dyDescent="0.4">
      <c r="A24" s="60" t="s">
        <v>479</v>
      </c>
      <c r="B24" s="61"/>
      <c r="C24" s="59">
        <v>57</v>
      </c>
      <c r="D24" s="59">
        <v>69</v>
      </c>
      <c r="E24" s="59">
        <v>76.599999999999994</v>
      </c>
      <c r="F24" s="61"/>
      <c r="G24" s="61"/>
      <c r="H24" s="59">
        <v>99.9</v>
      </c>
      <c r="I24" s="57">
        <v>112.6</v>
      </c>
      <c r="J24" s="57">
        <v>117.6</v>
      </c>
      <c r="K24" s="57">
        <v>116.2</v>
      </c>
    </row>
    <row r="25" spans="1:11" ht="15" customHeight="1" x14ac:dyDescent="0.4">
      <c r="A25" s="63" t="s">
        <v>480</v>
      </c>
      <c r="B25" s="64">
        <v>1496.2</v>
      </c>
      <c r="C25" s="64">
        <v>1552.6</v>
      </c>
      <c r="D25" s="64">
        <v>1954.5</v>
      </c>
      <c r="E25" s="64">
        <v>2097.6</v>
      </c>
      <c r="F25" s="64">
        <v>2331.9</v>
      </c>
      <c r="G25" s="64">
        <v>2044.8</v>
      </c>
      <c r="H25" s="64">
        <v>2523.6</v>
      </c>
      <c r="I25" s="64">
        <v>2124.1</v>
      </c>
      <c r="J25" s="64">
        <v>2781.2</v>
      </c>
      <c r="K25" s="64">
        <v>3093.5</v>
      </c>
    </row>
    <row r="26" spans="1:11" ht="15" customHeight="1" x14ac:dyDescent="0.4">
      <c r="A26" s="56" t="s">
        <v>481</v>
      </c>
      <c r="B26" s="57">
        <v>1116.9000000000001</v>
      </c>
      <c r="C26" s="57">
        <v>1149.2</v>
      </c>
      <c r="D26" s="57">
        <v>1423.4</v>
      </c>
      <c r="E26" s="57">
        <v>1490.3</v>
      </c>
      <c r="F26" s="57">
        <v>1642.4</v>
      </c>
      <c r="G26" s="57">
        <v>1627</v>
      </c>
      <c r="H26" s="57">
        <v>1759.9</v>
      </c>
      <c r="I26" s="57">
        <v>1977.9</v>
      </c>
      <c r="J26" s="57">
        <v>2139.3000000000002</v>
      </c>
      <c r="K26" s="57">
        <v>2301</v>
      </c>
    </row>
    <row r="27" spans="1:11" ht="15" customHeight="1" x14ac:dyDescent="0.4">
      <c r="A27" s="58" t="s">
        <v>482</v>
      </c>
      <c r="B27" s="57">
        <v>973.9</v>
      </c>
      <c r="C27" s="57">
        <v>1052.7</v>
      </c>
      <c r="D27" s="57">
        <v>1286.4000000000001</v>
      </c>
      <c r="E27" s="57">
        <v>1352.6</v>
      </c>
      <c r="F27" s="57">
        <v>1487.1</v>
      </c>
      <c r="G27" s="57">
        <v>1470.2</v>
      </c>
      <c r="H27" s="57">
        <v>1585.2</v>
      </c>
      <c r="I27" s="57">
        <v>1774.6</v>
      </c>
      <c r="J27" s="57">
        <v>1904.2</v>
      </c>
      <c r="K27" s="57">
        <v>2041.4</v>
      </c>
    </row>
    <row r="28" spans="1:11" ht="15" customHeight="1" x14ac:dyDescent="0.4">
      <c r="A28" s="58" t="s">
        <v>483</v>
      </c>
      <c r="B28" s="57">
        <v>143</v>
      </c>
      <c r="C28" s="59">
        <v>96.5</v>
      </c>
      <c r="D28" s="57">
        <v>137</v>
      </c>
      <c r="E28" s="57">
        <v>137.69999999999999</v>
      </c>
      <c r="F28" s="57">
        <v>155.30000000000001</v>
      </c>
      <c r="G28" s="57">
        <v>156.80000000000001</v>
      </c>
      <c r="H28" s="57">
        <v>174.7</v>
      </c>
      <c r="I28" s="57">
        <v>203.3</v>
      </c>
      <c r="J28" s="57">
        <v>235.1</v>
      </c>
      <c r="K28" s="57">
        <v>259.60000000000002</v>
      </c>
    </row>
    <row r="29" spans="1:11" ht="15" customHeight="1" x14ac:dyDescent="0.4">
      <c r="A29" s="56" t="s">
        <v>484</v>
      </c>
      <c r="B29" s="62">
        <v>-72.400000000000006</v>
      </c>
      <c r="C29" s="67">
        <v>-130</v>
      </c>
      <c r="D29" s="67">
        <v>-240.2</v>
      </c>
      <c r="E29" s="62">
        <v>-54.1</v>
      </c>
      <c r="F29" s="62">
        <v>-66.2</v>
      </c>
      <c r="G29" s="62">
        <v>-79.900000000000006</v>
      </c>
      <c r="H29" s="67">
        <v>-143.1</v>
      </c>
      <c r="I29" s="67">
        <v>-146.6</v>
      </c>
      <c r="J29" s="67">
        <v>-144.6</v>
      </c>
      <c r="K29" s="67">
        <v>-134.19999999999999</v>
      </c>
    </row>
    <row r="30" spans="1:11" ht="15" customHeight="1" x14ac:dyDescent="0.4">
      <c r="A30" s="58" t="s">
        <v>485</v>
      </c>
      <c r="B30" s="59">
        <v>63.8</v>
      </c>
      <c r="C30" s="59">
        <v>56.1</v>
      </c>
      <c r="D30" s="59">
        <v>34.299999999999997</v>
      </c>
      <c r="E30" s="59">
        <v>36.4</v>
      </c>
      <c r="F30" s="59">
        <v>28.7</v>
      </c>
      <c r="G30" s="59">
        <v>24.8</v>
      </c>
      <c r="H30" s="59">
        <v>28.4</v>
      </c>
      <c r="I30" s="59">
        <v>28.5</v>
      </c>
      <c r="J30" s="59">
        <v>24.8</v>
      </c>
      <c r="K30" s="59">
        <v>33.9</v>
      </c>
    </row>
    <row r="31" spans="1:11" ht="15" customHeight="1" x14ac:dyDescent="0.4">
      <c r="A31" s="58" t="s">
        <v>486</v>
      </c>
      <c r="B31" s="59">
        <v>23.7</v>
      </c>
      <c r="C31" s="59">
        <v>13.8</v>
      </c>
      <c r="D31" s="59">
        <v>12.9</v>
      </c>
      <c r="E31" s="59">
        <v>5.7</v>
      </c>
      <c r="F31" s="59">
        <v>7.3</v>
      </c>
      <c r="G31" s="59">
        <v>13.4</v>
      </c>
      <c r="H31" s="59">
        <v>11.7</v>
      </c>
      <c r="I31" s="59">
        <v>14.8</v>
      </c>
      <c r="J31" s="59">
        <v>18.3</v>
      </c>
      <c r="K31" s="59">
        <v>44.2</v>
      </c>
    </row>
    <row r="32" spans="1:11" ht="15" customHeight="1" x14ac:dyDescent="0.4">
      <c r="A32" s="58" t="s">
        <v>487</v>
      </c>
      <c r="B32" s="62">
        <v>-5.3</v>
      </c>
      <c r="C32" s="62">
        <v>-6</v>
      </c>
      <c r="D32" s="62">
        <v>-2.5</v>
      </c>
      <c r="E32" s="62">
        <v>-2.4</v>
      </c>
      <c r="F32" s="62">
        <v>-1.9</v>
      </c>
      <c r="G32" s="62">
        <v>-3.4</v>
      </c>
      <c r="H32" s="62">
        <v>-3.8</v>
      </c>
      <c r="I32" s="62">
        <v>-8.6999999999999993</v>
      </c>
      <c r="J32" s="62">
        <v>-8.1999999999999993</v>
      </c>
      <c r="K32" s="62">
        <v>-5.0999999999999996</v>
      </c>
    </row>
    <row r="33" spans="1:11" ht="15" customHeight="1" x14ac:dyDescent="0.4">
      <c r="A33" s="58" t="s">
        <v>488</v>
      </c>
      <c r="B33" s="59">
        <v>27</v>
      </c>
      <c r="C33" s="59">
        <v>81.7</v>
      </c>
      <c r="D33" s="57">
        <v>216.3</v>
      </c>
      <c r="E33" s="59">
        <v>21</v>
      </c>
      <c r="F33" s="59">
        <v>42.9</v>
      </c>
      <c r="G33" s="59">
        <v>65.099999999999994</v>
      </c>
      <c r="H33" s="57">
        <v>122.6</v>
      </c>
      <c r="I33" s="57">
        <v>124.2</v>
      </c>
      <c r="J33" s="57">
        <v>129.9</v>
      </c>
      <c r="K33" s="57">
        <v>139.4</v>
      </c>
    </row>
    <row r="34" spans="1:11" ht="15" customHeight="1" x14ac:dyDescent="0.4">
      <c r="A34" s="56" t="s">
        <v>489</v>
      </c>
      <c r="B34" s="57">
        <v>4646.2</v>
      </c>
      <c r="C34" s="57">
        <v>5053.8</v>
      </c>
      <c r="D34" s="57">
        <v>6882.3</v>
      </c>
      <c r="E34" s="57">
        <v>7334.3</v>
      </c>
      <c r="F34" s="57">
        <v>8050.8</v>
      </c>
      <c r="G34" s="57">
        <v>7843.9</v>
      </c>
      <c r="H34" s="57">
        <v>9387.5</v>
      </c>
      <c r="I34" s="61">
        <v>10842.8</v>
      </c>
      <c r="J34" s="61">
        <v>10647.2</v>
      </c>
      <c r="K34" s="61">
        <v>10576.5</v>
      </c>
    </row>
    <row r="35" spans="1:11" ht="15" customHeight="1" x14ac:dyDescent="0.4">
      <c r="A35" s="54" t="s">
        <v>490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</row>
    <row r="36" spans="1:11" ht="15" customHeight="1" x14ac:dyDescent="0.4">
      <c r="A36" s="63" t="s">
        <v>491</v>
      </c>
      <c r="B36" s="64">
        <v>451.7</v>
      </c>
      <c r="C36" s="64">
        <v>533.4</v>
      </c>
      <c r="D36" s="64">
        <v>771.3</v>
      </c>
      <c r="E36" s="64">
        <v>661.4</v>
      </c>
      <c r="F36" s="64">
        <v>755.7</v>
      </c>
      <c r="G36" s="64">
        <v>497.7</v>
      </c>
      <c r="H36" s="64">
        <v>906.8</v>
      </c>
      <c r="I36" s="64">
        <v>292.8</v>
      </c>
      <c r="J36" s="64">
        <v>786.5</v>
      </c>
      <c r="K36" s="64">
        <v>926.7</v>
      </c>
    </row>
    <row r="37" spans="1:11" ht="15" customHeight="1" x14ac:dyDescent="0.4">
      <c r="A37" s="54" t="s">
        <v>492</v>
      </c>
      <c r="B37" s="93">
        <f t="shared" ref="B37:K37" si="0">SUM(B38,B45,B46,B47)</f>
        <v>-57.400000000000006</v>
      </c>
      <c r="C37" s="93">
        <f t="shared" si="0"/>
        <v>-65.899999999999991</v>
      </c>
      <c r="D37" s="93">
        <f t="shared" si="0"/>
        <v>-71.900000000000006</v>
      </c>
      <c r="E37" s="93">
        <f t="shared" si="0"/>
        <v>-88.7</v>
      </c>
      <c r="F37" s="93">
        <f t="shared" si="0"/>
        <v>-84.300000000000011</v>
      </c>
      <c r="G37" s="93">
        <f t="shared" si="0"/>
        <v>-107.8</v>
      </c>
      <c r="H37" s="93">
        <f t="shared" si="0"/>
        <v>-28.1</v>
      </c>
      <c r="I37" s="93">
        <f t="shared" si="0"/>
        <v>24.1</v>
      </c>
      <c r="J37" s="93">
        <f t="shared" si="0"/>
        <v>-110.39999999999999</v>
      </c>
      <c r="K37" s="93">
        <f t="shared" si="0"/>
        <v>-121.69999999999999</v>
      </c>
    </row>
    <row r="38" spans="1:11" ht="15" customHeight="1" x14ac:dyDescent="0.4">
      <c r="A38" s="56" t="s">
        <v>493</v>
      </c>
      <c r="B38" s="67">
        <v>-104.6</v>
      </c>
      <c r="C38" s="62">
        <v>-73</v>
      </c>
      <c r="D38" s="62">
        <v>-86.7</v>
      </c>
      <c r="E38" s="67">
        <v>-103.2</v>
      </c>
      <c r="F38" s="67">
        <v>-100.9</v>
      </c>
      <c r="G38" s="67">
        <v>-110.6</v>
      </c>
      <c r="H38" s="62">
        <v>-46.5</v>
      </c>
      <c r="I38" s="59">
        <v>4.4000000000000004</v>
      </c>
      <c r="J38" s="67">
        <v>-129.19999999999999</v>
      </c>
      <c r="K38" s="67">
        <v>-142.69999999999999</v>
      </c>
    </row>
    <row r="39" spans="1:11" ht="15" customHeight="1" x14ac:dyDescent="0.4">
      <c r="A39" s="58" t="s">
        <v>494</v>
      </c>
      <c r="B39" s="59">
        <v>45.7</v>
      </c>
      <c r="C39" s="59">
        <v>50.9</v>
      </c>
      <c r="D39" s="59">
        <v>53.2</v>
      </c>
      <c r="E39" s="59">
        <v>63.6</v>
      </c>
      <c r="F39" s="59">
        <v>53.8</v>
      </c>
      <c r="G39" s="59">
        <v>40.799999999999997</v>
      </c>
      <c r="H39" s="59">
        <v>15.7</v>
      </c>
      <c r="I39" s="59">
        <v>34.1</v>
      </c>
      <c r="J39" s="57">
        <v>138.80000000000001</v>
      </c>
      <c r="K39" s="57">
        <v>173</v>
      </c>
    </row>
    <row r="40" spans="1:11" ht="15" customHeight="1" x14ac:dyDescent="0.4">
      <c r="A40" s="60" t="s">
        <v>495</v>
      </c>
      <c r="B40" s="59">
        <v>44.8</v>
      </c>
      <c r="C40" s="59">
        <v>36.4</v>
      </c>
      <c r="D40" s="59">
        <v>36.200000000000003</v>
      </c>
      <c r="E40" s="59">
        <v>43.8</v>
      </c>
      <c r="F40" s="59">
        <v>51.9</v>
      </c>
      <c r="G40" s="59">
        <v>58.8</v>
      </c>
      <c r="H40" s="59">
        <v>71.8</v>
      </c>
      <c r="I40" s="59">
        <v>80.599999999999994</v>
      </c>
      <c r="J40" s="57">
        <v>102</v>
      </c>
      <c r="K40" s="57">
        <v>140.19999999999999</v>
      </c>
    </row>
    <row r="41" spans="1:11" ht="15" customHeight="1" x14ac:dyDescent="0.4">
      <c r="A41" s="60" t="s">
        <v>496</v>
      </c>
      <c r="B41" s="59">
        <v>90.5</v>
      </c>
      <c r="C41" s="59">
        <v>87.3</v>
      </c>
      <c r="D41" s="59">
        <v>89.4</v>
      </c>
      <c r="E41" s="57">
        <v>107.4</v>
      </c>
      <c r="F41" s="57">
        <v>105.7</v>
      </c>
      <c r="G41" s="59">
        <v>99.6</v>
      </c>
      <c r="H41" s="59">
        <v>87.5</v>
      </c>
      <c r="I41" s="57">
        <v>114.7</v>
      </c>
      <c r="J41" s="57">
        <v>240.8</v>
      </c>
      <c r="K41" s="57">
        <v>313.2</v>
      </c>
    </row>
    <row r="42" spans="1:11" ht="15" customHeight="1" x14ac:dyDescent="0.4">
      <c r="A42" s="58" t="s">
        <v>497</v>
      </c>
      <c r="B42" s="62">
        <v>-58.9</v>
      </c>
      <c r="C42" s="62">
        <v>-22.1</v>
      </c>
      <c r="D42" s="62">
        <v>-33.5</v>
      </c>
      <c r="E42" s="62">
        <v>-39.6</v>
      </c>
      <c r="F42" s="62">
        <v>-47.1</v>
      </c>
      <c r="G42" s="62">
        <v>-69.8</v>
      </c>
      <c r="H42" s="62">
        <v>-30.8</v>
      </c>
      <c r="I42" s="59">
        <v>38.5</v>
      </c>
      <c r="J42" s="59">
        <v>9.6</v>
      </c>
      <c r="K42" s="59">
        <v>30.3</v>
      </c>
    </row>
    <row r="43" spans="1:11" ht="15" customHeight="1" x14ac:dyDescent="0.4">
      <c r="A43" s="60" t="s">
        <v>498</v>
      </c>
      <c r="B43" s="62">
        <v>-13.2</v>
      </c>
      <c r="C43" s="62">
        <v>-6.5</v>
      </c>
      <c r="D43" s="59">
        <v>15.3</v>
      </c>
      <c r="E43" s="62">
        <v>-12.1</v>
      </c>
      <c r="F43" s="62">
        <v>-14</v>
      </c>
      <c r="G43" s="62">
        <v>-35.700000000000003</v>
      </c>
      <c r="H43" s="62">
        <v>-17.3</v>
      </c>
      <c r="I43" s="62">
        <v>-22.3</v>
      </c>
      <c r="J43" s="62">
        <v>-37.9</v>
      </c>
      <c r="K43" s="62">
        <v>-13.2</v>
      </c>
    </row>
    <row r="44" spans="1:11" ht="15" customHeight="1" x14ac:dyDescent="0.4">
      <c r="A44" s="60" t="s">
        <v>499</v>
      </c>
      <c r="B44" s="62">
        <v>-45.7</v>
      </c>
      <c r="C44" s="62">
        <v>-15.6</v>
      </c>
      <c r="D44" s="62">
        <v>-48.8</v>
      </c>
      <c r="E44" s="62">
        <v>-27.5</v>
      </c>
      <c r="F44" s="62">
        <v>-33.1</v>
      </c>
      <c r="G44" s="62">
        <v>-34.1</v>
      </c>
      <c r="H44" s="62">
        <v>-13.5</v>
      </c>
      <c r="I44" s="59">
        <v>60.8</v>
      </c>
      <c r="J44" s="59">
        <v>47.5</v>
      </c>
      <c r="K44" s="59">
        <v>43.5</v>
      </c>
    </row>
    <row r="45" spans="1:11" ht="15" customHeight="1" x14ac:dyDescent="0.4">
      <c r="A45" s="56" t="s">
        <v>500</v>
      </c>
      <c r="B45" s="59">
        <v>2.2999999999999998</v>
      </c>
      <c r="C45" s="62">
        <v>-0.6</v>
      </c>
      <c r="D45" s="61"/>
      <c r="E45" s="59">
        <v>1.2</v>
      </c>
      <c r="F45" s="59">
        <v>3.6</v>
      </c>
      <c r="G45" s="59">
        <v>5</v>
      </c>
      <c r="H45" s="59">
        <v>5.3</v>
      </c>
      <c r="I45" s="59">
        <v>5.7</v>
      </c>
      <c r="J45" s="59">
        <v>6</v>
      </c>
      <c r="K45" s="59">
        <v>5.6</v>
      </c>
    </row>
    <row r="46" spans="1:11" ht="15" customHeight="1" x14ac:dyDescent="0.4">
      <c r="A46" s="56" t="s">
        <v>501</v>
      </c>
      <c r="B46" s="59">
        <v>10.6</v>
      </c>
      <c r="C46" s="59">
        <v>6.5</v>
      </c>
      <c r="D46" s="59">
        <v>13.6</v>
      </c>
      <c r="E46" s="59">
        <v>12.2</v>
      </c>
      <c r="F46" s="59">
        <v>12.1</v>
      </c>
      <c r="G46" s="62">
        <v>-2.2000000000000002</v>
      </c>
      <c r="H46" s="59">
        <v>13.1</v>
      </c>
      <c r="I46" s="59">
        <v>14.1</v>
      </c>
      <c r="J46" s="59">
        <v>12.8</v>
      </c>
      <c r="K46" s="59">
        <v>15.4</v>
      </c>
    </row>
    <row r="47" spans="1:11" ht="15" customHeight="1" x14ac:dyDescent="0.4">
      <c r="A47" s="56" t="s">
        <v>502</v>
      </c>
      <c r="B47" s="59">
        <v>34.299999999999997</v>
      </c>
      <c r="C47" s="59">
        <v>1.2</v>
      </c>
      <c r="D47" s="59">
        <v>1.2</v>
      </c>
      <c r="E47" s="59">
        <v>1.1000000000000001</v>
      </c>
      <c r="F47" s="59">
        <v>0.9</v>
      </c>
      <c r="G47" s="61"/>
      <c r="H47" s="61"/>
      <c r="I47" s="62">
        <v>-0.1</v>
      </c>
      <c r="J47" s="61"/>
      <c r="K47" s="61"/>
    </row>
    <row r="48" spans="1:11" ht="15" customHeight="1" x14ac:dyDescent="0.4">
      <c r="A48" s="58" t="s">
        <v>503</v>
      </c>
      <c r="B48" s="59">
        <v>1.3</v>
      </c>
      <c r="C48" s="59">
        <v>1.2</v>
      </c>
      <c r="D48" s="59">
        <v>1.2</v>
      </c>
      <c r="E48" s="59">
        <v>1.2</v>
      </c>
      <c r="F48" s="59">
        <v>0.8</v>
      </c>
      <c r="G48" s="61"/>
      <c r="H48" s="61"/>
      <c r="I48" s="61"/>
      <c r="J48" s="61"/>
      <c r="K48" s="61"/>
    </row>
    <row r="49" spans="1:11" ht="15" customHeight="1" x14ac:dyDescent="0.4">
      <c r="A49" s="58" t="s">
        <v>504</v>
      </c>
      <c r="B49" s="59">
        <v>33</v>
      </c>
      <c r="C49" s="61"/>
      <c r="D49" s="61"/>
      <c r="E49" s="61"/>
      <c r="F49" s="61"/>
      <c r="G49" s="61"/>
      <c r="H49" s="61"/>
      <c r="I49" s="61"/>
      <c r="J49" s="61"/>
      <c r="K49" s="61"/>
    </row>
    <row r="50" spans="1:11" ht="15" customHeight="1" x14ac:dyDescent="0.4">
      <c r="A50" s="56" t="s">
        <v>505</v>
      </c>
      <c r="B50" s="57">
        <v>394.3</v>
      </c>
      <c r="C50" s="57">
        <v>467.5</v>
      </c>
      <c r="D50" s="57">
        <v>699.4</v>
      </c>
      <c r="E50" s="57">
        <v>572.70000000000005</v>
      </c>
      <c r="F50" s="57">
        <v>671.4</v>
      </c>
      <c r="G50" s="57">
        <v>389.9</v>
      </c>
      <c r="H50" s="57">
        <v>878.7</v>
      </c>
      <c r="I50" s="57">
        <v>316.89999999999998</v>
      </c>
      <c r="J50" s="57">
        <v>676.1</v>
      </c>
      <c r="K50" s="57">
        <v>805</v>
      </c>
    </row>
    <row r="51" spans="1:11" ht="15" customHeight="1" x14ac:dyDescent="0.4">
      <c r="A51" s="54" t="s">
        <v>506</v>
      </c>
      <c r="B51" s="93"/>
      <c r="C51" s="92"/>
      <c r="D51" s="92"/>
      <c r="E51" s="92"/>
      <c r="F51" s="92"/>
      <c r="G51" s="92"/>
      <c r="H51" s="92"/>
      <c r="I51" s="92"/>
      <c r="J51" s="92"/>
      <c r="K51" s="92"/>
    </row>
    <row r="52" spans="1:11" ht="15" customHeight="1" x14ac:dyDescent="0.4">
      <c r="A52" s="56" t="s">
        <v>507</v>
      </c>
      <c r="B52" s="62">
        <v>-64.099999999999994</v>
      </c>
      <c r="C52" s="67">
        <v>-128.30000000000001</v>
      </c>
      <c r="D52" s="67">
        <v>-231.1</v>
      </c>
      <c r="E52" s="62">
        <v>-27.4</v>
      </c>
      <c r="F52" s="62">
        <v>-49.8</v>
      </c>
      <c r="G52" s="62">
        <v>-88.3</v>
      </c>
      <c r="H52" s="67">
        <v>-119</v>
      </c>
      <c r="I52" s="67">
        <v>-178.9</v>
      </c>
      <c r="J52" s="67">
        <v>-216.3</v>
      </c>
      <c r="K52" s="67">
        <v>-215.2</v>
      </c>
    </row>
    <row r="53" spans="1:11" ht="15" customHeight="1" x14ac:dyDescent="0.4">
      <c r="A53" s="58" t="s">
        <v>508</v>
      </c>
      <c r="B53" s="59">
        <v>4.0999999999999996</v>
      </c>
      <c r="C53" s="61"/>
      <c r="D53" s="59">
        <v>14.8</v>
      </c>
      <c r="E53" s="59">
        <v>6.4</v>
      </c>
      <c r="F53" s="59">
        <v>6.9</v>
      </c>
      <c r="G53" s="59">
        <v>21.6</v>
      </c>
      <c r="H53" s="59">
        <v>2.2999999999999998</v>
      </c>
      <c r="I53" s="59">
        <v>20.2</v>
      </c>
      <c r="J53" s="59">
        <v>6.7</v>
      </c>
      <c r="K53" s="59">
        <v>30</v>
      </c>
    </row>
    <row r="54" spans="1:11" ht="15" customHeight="1" x14ac:dyDescent="0.4">
      <c r="A54" s="60" t="s">
        <v>509</v>
      </c>
      <c r="B54" s="61"/>
      <c r="C54" s="61"/>
      <c r="D54" s="59">
        <v>6.2</v>
      </c>
      <c r="E54" s="59">
        <v>1.3</v>
      </c>
      <c r="F54" s="59">
        <v>1.2</v>
      </c>
      <c r="G54" s="59">
        <v>16.2</v>
      </c>
      <c r="H54" s="59">
        <v>1.2</v>
      </c>
      <c r="I54" s="59">
        <v>17.8</v>
      </c>
      <c r="J54" s="59">
        <v>5.6</v>
      </c>
      <c r="K54" s="59">
        <v>1.1000000000000001</v>
      </c>
    </row>
    <row r="55" spans="1:11" ht="15" customHeight="1" x14ac:dyDescent="0.4">
      <c r="A55" s="60" t="s">
        <v>510</v>
      </c>
      <c r="B55" s="61"/>
      <c r="C55" s="61"/>
      <c r="D55" s="61"/>
      <c r="E55" s="61"/>
      <c r="F55" s="61"/>
      <c r="G55" s="61"/>
      <c r="H55" s="61"/>
      <c r="I55" s="61"/>
      <c r="J55" s="61"/>
      <c r="K55" s="59">
        <v>22.4</v>
      </c>
    </row>
    <row r="56" spans="1:11" ht="15" customHeight="1" x14ac:dyDescent="0.4">
      <c r="A56" s="60" t="s">
        <v>511</v>
      </c>
      <c r="B56" s="59">
        <v>4.0999999999999996</v>
      </c>
      <c r="C56" s="61"/>
      <c r="D56" s="59">
        <v>8.6</v>
      </c>
      <c r="E56" s="59">
        <v>5.0999999999999996</v>
      </c>
      <c r="F56" s="59">
        <v>5.7</v>
      </c>
      <c r="G56" s="59">
        <v>5.4</v>
      </c>
      <c r="H56" s="59">
        <v>1.1000000000000001</v>
      </c>
      <c r="I56" s="59">
        <v>2.4</v>
      </c>
      <c r="J56" s="59">
        <v>1.1000000000000001</v>
      </c>
      <c r="K56" s="59">
        <v>6.5</v>
      </c>
    </row>
    <row r="57" spans="1:11" ht="15" customHeight="1" x14ac:dyDescent="0.4">
      <c r="A57" s="58" t="s">
        <v>512</v>
      </c>
      <c r="B57" s="61"/>
      <c r="C57" s="61"/>
      <c r="D57" s="61"/>
      <c r="E57" s="61"/>
      <c r="F57" s="61"/>
      <c r="G57" s="61"/>
      <c r="H57" s="59">
        <v>5.9</v>
      </c>
      <c r="I57" s="62">
        <v>-34.5</v>
      </c>
      <c r="J57" s="62">
        <v>-79.7</v>
      </c>
      <c r="K57" s="62">
        <v>-45.8</v>
      </c>
    </row>
    <row r="58" spans="1:11" ht="15" customHeight="1" x14ac:dyDescent="0.4">
      <c r="A58" s="58" t="s">
        <v>513</v>
      </c>
      <c r="B58" s="62">
        <v>-27</v>
      </c>
      <c r="C58" s="62">
        <v>-81.3</v>
      </c>
      <c r="D58" s="67">
        <v>-176.2</v>
      </c>
      <c r="E58" s="61"/>
      <c r="F58" s="61"/>
      <c r="G58" s="62">
        <v>-1.6</v>
      </c>
      <c r="H58" s="61"/>
      <c r="I58" s="61"/>
      <c r="J58" s="61"/>
      <c r="K58" s="61"/>
    </row>
    <row r="59" spans="1:11" ht="15" customHeight="1" x14ac:dyDescent="0.4">
      <c r="A59" s="58" t="s">
        <v>514</v>
      </c>
      <c r="B59" s="62">
        <v>-33</v>
      </c>
      <c r="C59" s="62">
        <v>-47</v>
      </c>
      <c r="D59" s="62">
        <v>-40.1</v>
      </c>
      <c r="E59" s="62">
        <v>-21</v>
      </c>
      <c r="F59" s="62">
        <v>-42.9</v>
      </c>
      <c r="G59" s="62">
        <v>-65.099999999999994</v>
      </c>
      <c r="H59" s="67">
        <v>-122.6</v>
      </c>
      <c r="I59" s="67">
        <v>-124.2</v>
      </c>
      <c r="J59" s="67">
        <v>-129.9</v>
      </c>
      <c r="K59" s="67">
        <v>-139.4</v>
      </c>
    </row>
    <row r="60" spans="1:11" ht="15" customHeight="1" x14ac:dyDescent="0.4">
      <c r="A60" s="54" t="s">
        <v>515</v>
      </c>
      <c r="B60" s="55"/>
      <c r="C60" s="55"/>
      <c r="D60" s="55"/>
      <c r="E60" s="55"/>
      <c r="F60" s="55"/>
      <c r="G60" s="55"/>
      <c r="H60" s="55"/>
      <c r="I60" s="55"/>
      <c r="J60" s="55"/>
      <c r="K60" s="55"/>
    </row>
    <row r="61" spans="1:11" ht="15" customHeight="1" x14ac:dyDescent="0.4">
      <c r="A61" s="63" t="s">
        <v>516</v>
      </c>
      <c r="B61" s="64">
        <v>330.2</v>
      </c>
      <c r="C61" s="64">
        <v>339.2</v>
      </c>
      <c r="D61" s="64">
        <v>468.3</v>
      </c>
      <c r="E61" s="64">
        <v>545.29999999999995</v>
      </c>
      <c r="F61" s="64">
        <v>621.6</v>
      </c>
      <c r="G61" s="64">
        <v>301.60000000000002</v>
      </c>
      <c r="H61" s="64">
        <v>759.7</v>
      </c>
      <c r="I61" s="64">
        <v>138</v>
      </c>
      <c r="J61" s="64">
        <v>459.8</v>
      </c>
      <c r="K61" s="64">
        <v>589.79999999999995</v>
      </c>
    </row>
    <row r="62" spans="1:11" ht="15" customHeight="1" x14ac:dyDescent="0.4">
      <c r="A62" s="54" t="s">
        <v>70</v>
      </c>
      <c r="B62" s="55"/>
      <c r="C62" s="55"/>
      <c r="D62" s="55"/>
      <c r="E62" s="55"/>
      <c r="F62" s="55"/>
      <c r="G62" s="55"/>
      <c r="H62" s="55"/>
      <c r="I62" s="55"/>
      <c r="J62" s="55"/>
      <c r="K62" s="55"/>
    </row>
    <row r="63" spans="1:11" ht="15" customHeight="1" x14ac:dyDescent="0.4">
      <c r="A63" s="56" t="s">
        <v>517</v>
      </c>
      <c r="B63" s="57">
        <v>109.2</v>
      </c>
      <c r="C63" s="59">
        <v>93.1</v>
      </c>
      <c r="D63" s="59">
        <v>41.9</v>
      </c>
      <c r="E63" s="57">
        <v>143.69999999999999</v>
      </c>
      <c r="F63" s="57">
        <v>176.8</v>
      </c>
      <c r="G63" s="59">
        <v>90.7</v>
      </c>
      <c r="H63" s="57">
        <v>191.7</v>
      </c>
      <c r="I63" s="59">
        <v>32.200000000000003</v>
      </c>
      <c r="J63" s="57">
        <v>145.4</v>
      </c>
      <c r="K63" s="57">
        <v>220.5</v>
      </c>
    </row>
    <row r="64" spans="1:11" ht="15" customHeight="1" x14ac:dyDescent="0.4">
      <c r="A64" s="58" t="s">
        <v>518</v>
      </c>
      <c r="B64" s="57">
        <v>132.5</v>
      </c>
      <c r="C64" s="59">
        <v>86.2</v>
      </c>
      <c r="D64" s="57">
        <v>184.9</v>
      </c>
      <c r="E64" s="57">
        <v>166.5</v>
      </c>
      <c r="F64" s="57">
        <v>212.8</v>
      </c>
      <c r="G64" s="57">
        <v>145.19999999999999</v>
      </c>
      <c r="H64" s="57">
        <v>203.8</v>
      </c>
      <c r="I64" s="57">
        <v>107.2</v>
      </c>
      <c r="J64" s="57">
        <v>286.60000000000002</v>
      </c>
      <c r="K64" s="57">
        <v>265.60000000000002</v>
      </c>
    </row>
    <row r="65" spans="1:11" ht="15" customHeight="1" x14ac:dyDescent="0.4">
      <c r="A65" s="58" t="s">
        <v>519</v>
      </c>
      <c r="B65" s="62">
        <v>-23.3</v>
      </c>
      <c r="C65" s="59">
        <v>6.9</v>
      </c>
      <c r="D65" s="67">
        <v>-143</v>
      </c>
      <c r="E65" s="62">
        <v>-22.9</v>
      </c>
      <c r="F65" s="62">
        <v>-36</v>
      </c>
      <c r="G65" s="62">
        <v>-54.5</v>
      </c>
      <c r="H65" s="62">
        <v>-12.1</v>
      </c>
      <c r="I65" s="62">
        <v>-75</v>
      </c>
      <c r="J65" s="67">
        <v>-141.19999999999999</v>
      </c>
      <c r="K65" s="62">
        <v>-45.1</v>
      </c>
    </row>
    <row r="66" spans="1:11" ht="15" customHeight="1" x14ac:dyDescent="0.4">
      <c r="A66" s="58" t="s">
        <v>520</v>
      </c>
      <c r="B66" s="61"/>
      <c r="C66" s="61"/>
      <c r="D66" s="61"/>
      <c r="E66" s="59">
        <v>0.1</v>
      </c>
      <c r="F66" s="61"/>
      <c r="G66" s="61"/>
      <c r="H66" s="61"/>
      <c r="I66" s="61"/>
      <c r="J66" s="61"/>
      <c r="K66" s="61"/>
    </row>
    <row r="67" spans="1:11" ht="15" customHeight="1" x14ac:dyDescent="0.4">
      <c r="A67" s="54" t="s">
        <v>521</v>
      </c>
      <c r="B67" s="92"/>
      <c r="C67" s="55"/>
      <c r="D67" s="55"/>
      <c r="E67" s="55"/>
      <c r="F67" s="55"/>
      <c r="G67" s="55"/>
      <c r="H67" s="55"/>
      <c r="I67" s="55"/>
      <c r="J67" s="55"/>
      <c r="K67" s="55"/>
    </row>
    <row r="68" spans="1:11" ht="15" customHeight="1" x14ac:dyDescent="0.4">
      <c r="A68" s="56" t="s">
        <v>522</v>
      </c>
      <c r="B68" s="57">
        <v>221</v>
      </c>
      <c r="C68" s="57">
        <v>246.1</v>
      </c>
      <c r="D68" s="57">
        <v>426.4</v>
      </c>
      <c r="E68" s="57">
        <v>401.6</v>
      </c>
      <c r="F68" s="57">
        <v>444.8</v>
      </c>
      <c r="G68" s="57">
        <v>210.9</v>
      </c>
      <c r="H68" s="57">
        <v>568</v>
      </c>
      <c r="I68" s="57">
        <v>105.8</v>
      </c>
      <c r="J68" s="57">
        <v>314.39999999999998</v>
      </c>
      <c r="K68" s="57">
        <v>369.3</v>
      </c>
    </row>
    <row r="69" spans="1:11" ht="15" customHeight="1" x14ac:dyDescent="0.4">
      <c r="A69" s="54" t="s">
        <v>523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</row>
    <row r="70" spans="1:11" ht="15" customHeight="1" x14ac:dyDescent="0.4">
      <c r="A70" s="56" t="s">
        <v>524</v>
      </c>
      <c r="B70" s="59">
        <v>0.1</v>
      </c>
      <c r="C70" s="61"/>
      <c r="D70" s="61"/>
      <c r="E70" s="61"/>
      <c r="F70" s="61"/>
      <c r="G70" s="61"/>
      <c r="H70" s="61"/>
      <c r="I70" s="61"/>
      <c r="J70" s="61"/>
      <c r="K70" s="61"/>
    </row>
    <row r="71" spans="1:11" ht="15" customHeight="1" x14ac:dyDescent="0.4">
      <c r="A71" s="63" t="s">
        <v>525</v>
      </c>
      <c r="B71" s="64">
        <v>221.1</v>
      </c>
      <c r="C71" s="64">
        <v>246.1</v>
      </c>
      <c r="D71" s="64">
        <v>426.4</v>
      </c>
      <c r="E71" s="64">
        <v>401.6</v>
      </c>
      <c r="F71" s="64">
        <v>444.8</v>
      </c>
      <c r="G71" s="64">
        <v>210.9</v>
      </c>
      <c r="H71" s="64">
        <v>568</v>
      </c>
      <c r="I71" s="64">
        <v>105.8</v>
      </c>
      <c r="J71" s="64">
        <v>314.39999999999998</v>
      </c>
      <c r="K71" s="64">
        <v>369.3</v>
      </c>
    </row>
    <row r="72" spans="1:11" ht="15" customHeight="1" x14ac:dyDescent="0.4">
      <c r="A72" s="56" t="s">
        <v>526</v>
      </c>
      <c r="B72" s="57">
        <v>221.1</v>
      </c>
      <c r="C72" s="57">
        <v>246.1</v>
      </c>
      <c r="D72" s="57">
        <v>426.4</v>
      </c>
      <c r="E72" s="57">
        <v>401.6</v>
      </c>
      <c r="F72" s="57">
        <v>444.8</v>
      </c>
      <c r="G72" s="57">
        <v>210.9</v>
      </c>
      <c r="H72" s="57">
        <v>568</v>
      </c>
      <c r="I72" s="57">
        <v>105.8</v>
      </c>
      <c r="J72" s="57">
        <v>314.39999999999998</v>
      </c>
      <c r="K72" s="57">
        <v>369.3</v>
      </c>
    </row>
    <row r="73" spans="1:11" ht="15" customHeight="1" x14ac:dyDescent="0.4">
      <c r="A73" s="56" t="s">
        <v>527</v>
      </c>
      <c r="B73" s="59">
        <v>3.9</v>
      </c>
      <c r="C73" s="59">
        <v>0.5</v>
      </c>
      <c r="D73" s="59">
        <v>1.6</v>
      </c>
      <c r="E73" s="59">
        <v>1.8</v>
      </c>
      <c r="F73" s="62">
        <v>-10</v>
      </c>
      <c r="G73" s="62">
        <v>-4.4000000000000004</v>
      </c>
      <c r="H73" s="62">
        <v>-0.3</v>
      </c>
      <c r="I73" s="59">
        <v>7.8</v>
      </c>
      <c r="J73" s="59">
        <v>8.6</v>
      </c>
      <c r="K73" s="59">
        <v>8.9</v>
      </c>
    </row>
    <row r="74" spans="1:11" ht="15" customHeight="1" x14ac:dyDescent="0.4">
      <c r="A74" s="56" t="s">
        <v>528</v>
      </c>
      <c r="B74" s="57">
        <v>217.2</v>
      </c>
      <c r="C74" s="57">
        <v>245.6</v>
      </c>
      <c r="D74" s="57">
        <v>424.8</v>
      </c>
      <c r="E74" s="57">
        <v>399.8</v>
      </c>
      <c r="F74" s="57">
        <v>454.8</v>
      </c>
      <c r="G74" s="57">
        <v>215.3</v>
      </c>
      <c r="H74" s="57">
        <v>568.29999999999995</v>
      </c>
      <c r="I74" s="59">
        <v>98</v>
      </c>
      <c r="J74" s="57">
        <v>305.8</v>
      </c>
      <c r="K74" s="57">
        <v>360.4</v>
      </c>
    </row>
    <row r="75" spans="1:11" ht="15" customHeight="1" x14ac:dyDescent="0.4">
      <c r="A75" s="54" t="s">
        <v>131</v>
      </c>
      <c r="B75" s="55"/>
      <c r="C75" s="55"/>
      <c r="D75" s="55"/>
      <c r="E75" s="55"/>
      <c r="F75" s="55"/>
      <c r="G75" s="55"/>
      <c r="H75" s="55"/>
      <c r="I75" s="55"/>
      <c r="J75" s="55"/>
      <c r="K75" s="55"/>
    </row>
    <row r="76" spans="1:11" ht="15" customHeight="1" x14ac:dyDescent="0.4">
      <c r="A76" s="56" t="s">
        <v>529</v>
      </c>
      <c r="B76" s="59">
        <v>0.1</v>
      </c>
      <c r="C76" s="59">
        <v>0.1</v>
      </c>
      <c r="D76" s="61"/>
      <c r="E76" s="62">
        <v>-0.1</v>
      </c>
      <c r="F76" s="61"/>
      <c r="G76" s="61"/>
      <c r="H76" s="61"/>
      <c r="I76" s="61"/>
      <c r="J76" s="61"/>
      <c r="K76" s="59">
        <v>0.1</v>
      </c>
    </row>
    <row r="77" spans="1:11" ht="15" customHeight="1" x14ac:dyDescent="0.4">
      <c r="A77" s="63" t="s">
        <v>530</v>
      </c>
      <c r="B77" s="64">
        <v>217.1</v>
      </c>
      <c r="C77" s="64">
        <v>245.5</v>
      </c>
      <c r="D77" s="64">
        <v>424.8</v>
      </c>
      <c r="E77" s="64">
        <v>399.9</v>
      </c>
      <c r="F77" s="64">
        <v>454.8</v>
      </c>
      <c r="G77" s="64">
        <v>215.3</v>
      </c>
      <c r="H77" s="64">
        <v>568.29999999999995</v>
      </c>
      <c r="I77" s="68">
        <v>98</v>
      </c>
      <c r="J77" s="64">
        <v>305.8</v>
      </c>
      <c r="K77" s="64">
        <v>360.3</v>
      </c>
    </row>
    <row r="78" spans="1:11" ht="15" customHeight="1" x14ac:dyDescent="0.4">
      <c r="A78" s="54" t="s">
        <v>531</v>
      </c>
      <c r="B78" s="55"/>
      <c r="C78" s="55"/>
      <c r="D78" s="55"/>
      <c r="E78" s="55"/>
      <c r="F78" s="55"/>
      <c r="G78" s="55"/>
      <c r="H78" s="55"/>
      <c r="I78" s="55"/>
      <c r="J78" s="55"/>
      <c r="K78" s="55"/>
    </row>
    <row r="79" spans="1:11" ht="15" customHeight="1" x14ac:dyDescent="0.4">
      <c r="A79" s="56" t="s">
        <v>532</v>
      </c>
      <c r="B79" s="61"/>
      <c r="C79" s="61"/>
      <c r="D79" s="57">
        <v>426.4</v>
      </c>
      <c r="E79" s="57">
        <v>401.6</v>
      </c>
      <c r="F79" s="57">
        <v>444.8</v>
      </c>
      <c r="G79" s="57">
        <v>210.9</v>
      </c>
      <c r="H79" s="57">
        <v>568</v>
      </c>
      <c r="I79" s="57">
        <v>105.8</v>
      </c>
      <c r="J79" s="57">
        <v>314.39999999999998</v>
      </c>
      <c r="K79" s="57">
        <v>369.2</v>
      </c>
    </row>
    <row r="80" spans="1:11" ht="15" customHeight="1" x14ac:dyDescent="0.4">
      <c r="A80" s="56" t="s">
        <v>533</v>
      </c>
      <c r="B80" s="61"/>
      <c r="C80" s="61"/>
      <c r="D80" s="61"/>
      <c r="E80" s="61"/>
      <c r="F80" s="59">
        <v>76.099999999999994</v>
      </c>
      <c r="G80" s="67">
        <v>-204.4</v>
      </c>
      <c r="H80" s="57">
        <v>234.5</v>
      </c>
      <c r="I80" s="59">
        <v>92.6</v>
      </c>
      <c r="J80" s="62">
        <v>-79</v>
      </c>
      <c r="K80" s="57">
        <v>151.5</v>
      </c>
    </row>
    <row r="81" spans="1:11" ht="15" customHeight="1" x14ac:dyDescent="0.4">
      <c r="A81" s="56" t="s">
        <v>534</v>
      </c>
      <c r="B81" s="61"/>
      <c r="C81" s="61"/>
      <c r="D81" s="67">
        <v>-306.8</v>
      </c>
      <c r="E81" s="59">
        <v>29.1</v>
      </c>
      <c r="F81" s="62">
        <v>-1.9</v>
      </c>
      <c r="G81" s="59">
        <v>1.6</v>
      </c>
      <c r="H81" s="59">
        <v>2.2000000000000002</v>
      </c>
      <c r="I81" s="59">
        <v>14.4</v>
      </c>
      <c r="J81" s="59">
        <v>31.2</v>
      </c>
      <c r="K81" s="59">
        <v>27</v>
      </c>
    </row>
    <row r="82" spans="1:11" ht="15" customHeight="1" x14ac:dyDescent="0.4">
      <c r="A82" s="56" t="s">
        <v>535</v>
      </c>
      <c r="B82" s="61"/>
      <c r="C82" s="61"/>
      <c r="D82" s="59">
        <v>3.7</v>
      </c>
      <c r="E82" s="62">
        <v>-12.2</v>
      </c>
      <c r="F82" s="62">
        <v>-6.3</v>
      </c>
      <c r="G82" s="59">
        <v>15.6</v>
      </c>
      <c r="H82" s="62">
        <v>-3.3</v>
      </c>
      <c r="I82" s="59">
        <v>7</v>
      </c>
      <c r="J82" s="59">
        <v>1.9</v>
      </c>
      <c r="K82" s="62">
        <v>-14.5</v>
      </c>
    </row>
    <row r="83" spans="1:11" ht="15" customHeight="1" x14ac:dyDescent="0.4">
      <c r="A83" s="56" t="s">
        <v>536</v>
      </c>
      <c r="B83" s="61"/>
      <c r="C83" s="61"/>
      <c r="D83" s="61"/>
      <c r="E83" s="62">
        <v>-0.1</v>
      </c>
      <c r="F83" s="62">
        <v>-0.2</v>
      </c>
      <c r="G83" s="62">
        <v>-0.1</v>
      </c>
      <c r="H83" s="59">
        <v>0.2</v>
      </c>
      <c r="I83" s="61"/>
      <c r="J83" s="62">
        <v>-0.1</v>
      </c>
      <c r="K83" s="61"/>
    </row>
    <row r="84" spans="1:11" ht="15" customHeight="1" x14ac:dyDescent="0.4">
      <c r="A84" s="56" t="s">
        <v>537</v>
      </c>
      <c r="B84" s="61"/>
      <c r="C84" s="61"/>
      <c r="D84" s="59">
        <v>1.6</v>
      </c>
      <c r="E84" s="59">
        <v>0.2</v>
      </c>
      <c r="F84" s="62">
        <v>-0.3</v>
      </c>
      <c r="G84" s="62">
        <v>-2</v>
      </c>
      <c r="H84" s="62">
        <v>-0.4</v>
      </c>
      <c r="I84" s="59">
        <v>5.0999999999999996</v>
      </c>
      <c r="J84" s="59">
        <v>0.7</v>
      </c>
      <c r="K84" s="62">
        <v>-0.4</v>
      </c>
    </row>
    <row r="85" spans="1:11" ht="15" customHeight="1" x14ac:dyDescent="0.4">
      <c r="A85" s="56" t="s">
        <v>538</v>
      </c>
      <c r="B85" s="61"/>
      <c r="C85" s="61"/>
      <c r="D85" s="59">
        <v>18.7</v>
      </c>
      <c r="E85" s="62">
        <v>-0.2</v>
      </c>
      <c r="F85" s="67">
        <v>-168.1</v>
      </c>
      <c r="G85" s="67">
        <v>-151.30000000000001</v>
      </c>
      <c r="H85" s="57">
        <v>212.5</v>
      </c>
      <c r="I85" s="57">
        <v>587.70000000000005</v>
      </c>
      <c r="J85" s="62">
        <v>-84.7</v>
      </c>
      <c r="K85" s="62">
        <v>-22</v>
      </c>
    </row>
    <row r="86" spans="1:11" ht="15" customHeight="1" x14ac:dyDescent="0.4">
      <c r="A86" s="56" t="s">
        <v>539</v>
      </c>
      <c r="B86" s="61"/>
      <c r="C86" s="61"/>
      <c r="D86" s="61"/>
      <c r="E86" s="61"/>
      <c r="F86" s="59">
        <v>52.3</v>
      </c>
      <c r="G86" s="59">
        <v>45.8</v>
      </c>
      <c r="H86" s="62">
        <v>-61.6</v>
      </c>
      <c r="I86" s="67">
        <v>-177.1</v>
      </c>
      <c r="J86" s="59">
        <v>26</v>
      </c>
      <c r="K86" s="59">
        <v>6.8</v>
      </c>
    </row>
    <row r="87" spans="1:11" ht="15" customHeight="1" x14ac:dyDescent="0.4">
      <c r="A87" s="56" t="s">
        <v>540</v>
      </c>
      <c r="B87" s="61"/>
      <c r="C87" s="61"/>
      <c r="D87" s="67">
        <v>-282.8</v>
      </c>
      <c r="E87" s="59">
        <v>16.8</v>
      </c>
      <c r="F87" s="62">
        <v>-48.4</v>
      </c>
      <c r="G87" s="67">
        <v>-294.8</v>
      </c>
      <c r="H87" s="57">
        <v>384.1</v>
      </c>
      <c r="I87" s="57">
        <v>529.70000000000005</v>
      </c>
      <c r="J87" s="67">
        <v>-104</v>
      </c>
      <c r="K87" s="57">
        <v>148.4</v>
      </c>
    </row>
    <row r="88" spans="1:11" ht="15" customHeight="1" x14ac:dyDescent="0.4">
      <c r="A88" s="63" t="s">
        <v>541</v>
      </c>
      <c r="B88" s="66"/>
      <c r="C88" s="66"/>
      <c r="D88" s="64">
        <v>143.6</v>
      </c>
      <c r="E88" s="64">
        <v>418.4</v>
      </c>
      <c r="F88" s="64">
        <v>396.4</v>
      </c>
      <c r="G88" s="69">
        <v>-83.9</v>
      </c>
      <c r="H88" s="64">
        <v>952.1</v>
      </c>
      <c r="I88" s="64">
        <v>635.5</v>
      </c>
      <c r="J88" s="64">
        <v>210.4</v>
      </c>
      <c r="K88" s="64">
        <v>517.6</v>
      </c>
    </row>
    <row r="89" spans="1:11" ht="15" customHeight="1" x14ac:dyDescent="0.4">
      <c r="A89" s="56" t="s">
        <v>542</v>
      </c>
      <c r="B89" s="61"/>
      <c r="C89" s="61"/>
      <c r="D89" s="59">
        <v>1.1000000000000001</v>
      </c>
      <c r="E89" s="59">
        <v>1.5</v>
      </c>
      <c r="F89" s="62">
        <v>-9.4</v>
      </c>
      <c r="G89" s="62">
        <v>-1.9</v>
      </c>
      <c r="H89" s="59">
        <v>5.8</v>
      </c>
      <c r="I89" s="59">
        <v>7.6</v>
      </c>
      <c r="J89" s="59">
        <v>8.4</v>
      </c>
      <c r="K89" s="59">
        <v>9.1</v>
      </c>
    </row>
    <row r="90" spans="1:11" ht="15" customHeight="1" x14ac:dyDescent="0.4">
      <c r="A90" s="56" t="s">
        <v>543</v>
      </c>
      <c r="B90" s="61"/>
      <c r="C90" s="61"/>
      <c r="D90" s="57">
        <v>142.5</v>
      </c>
      <c r="E90" s="57">
        <v>416.9</v>
      </c>
      <c r="F90" s="57">
        <v>405.9</v>
      </c>
      <c r="G90" s="62">
        <v>-81.900000000000006</v>
      </c>
      <c r="H90" s="57">
        <v>946.3</v>
      </c>
      <c r="I90" s="57">
        <v>627.9</v>
      </c>
      <c r="J90" s="57">
        <v>202</v>
      </c>
      <c r="K90" s="57">
        <v>508.5</v>
      </c>
    </row>
    <row r="91" spans="1:11" ht="15" customHeight="1" x14ac:dyDescent="0.4">
      <c r="A91" s="54" t="s">
        <v>544</v>
      </c>
      <c r="B91" s="55"/>
      <c r="C91" s="55"/>
      <c r="D91" s="55"/>
      <c r="E91" s="55"/>
      <c r="F91" s="55"/>
      <c r="G91" s="55"/>
      <c r="H91" s="55"/>
      <c r="I91" s="55"/>
      <c r="J91" s="55"/>
      <c r="K91" s="55"/>
    </row>
    <row r="92" spans="1:11" ht="15" customHeight="1" x14ac:dyDescent="0.4">
      <c r="A92" s="56" t="s">
        <v>545</v>
      </c>
      <c r="B92" s="57">
        <v>217.1</v>
      </c>
      <c r="C92" s="57">
        <v>245.5</v>
      </c>
      <c r="D92" s="57">
        <v>424.8</v>
      </c>
      <c r="E92" s="57">
        <v>399.9</v>
      </c>
      <c r="F92" s="57">
        <v>454.8</v>
      </c>
      <c r="G92" s="57">
        <v>215.3</v>
      </c>
      <c r="H92" s="57">
        <v>568.29999999999995</v>
      </c>
      <c r="I92" s="59">
        <v>98</v>
      </c>
      <c r="J92" s="57">
        <v>305.8</v>
      </c>
      <c r="K92" s="57">
        <v>360.3</v>
      </c>
    </row>
    <row r="93" spans="1:11" ht="15" customHeight="1" x14ac:dyDescent="0.4">
      <c r="A93" s="58" t="s">
        <v>546</v>
      </c>
      <c r="B93" s="57">
        <v>217.1</v>
      </c>
      <c r="C93" s="57">
        <v>245.5</v>
      </c>
      <c r="D93" s="57">
        <v>424.8</v>
      </c>
      <c r="E93" s="57">
        <v>399.9</v>
      </c>
      <c r="F93" s="57">
        <v>454.8</v>
      </c>
      <c r="G93" s="57">
        <v>215.3</v>
      </c>
      <c r="H93" s="57">
        <v>568.29999999999995</v>
      </c>
      <c r="I93" s="59">
        <v>98</v>
      </c>
      <c r="J93" s="57">
        <v>305.8</v>
      </c>
      <c r="K93" s="57">
        <v>360.3</v>
      </c>
    </row>
    <row r="94" spans="1:11" ht="15" customHeight="1" x14ac:dyDescent="0.4">
      <c r="A94" s="58" t="s">
        <v>547</v>
      </c>
      <c r="B94" s="59">
        <v>99.42</v>
      </c>
      <c r="C94" s="57">
        <v>103.97</v>
      </c>
      <c r="D94" s="57">
        <v>115.14</v>
      </c>
      <c r="E94" s="57">
        <v>118.75</v>
      </c>
      <c r="F94" s="57">
        <v>118.74</v>
      </c>
      <c r="G94" s="57">
        <v>118.9</v>
      </c>
      <c r="H94" s="57">
        <v>131.09</v>
      </c>
      <c r="I94" s="57">
        <v>131.11000000000001</v>
      </c>
      <c r="J94" s="57">
        <v>131.11000000000001</v>
      </c>
      <c r="K94" s="57">
        <v>131.11000000000001</v>
      </c>
    </row>
    <row r="95" spans="1:11" ht="15" customHeight="1" x14ac:dyDescent="0.4">
      <c r="A95" s="60" t="s">
        <v>548</v>
      </c>
      <c r="B95" s="59">
        <v>2.1800000000000002</v>
      </c>
      <c r="C95" s="59">
        <v>2.36</v>
      </c>
      <c r="D95" s="59">
        <v>3.69</v>
      </c>
      <c r="E95" s="59">
        <v>3.37</v>
      </c>
      <c r="F95" s="59">
        <v>3.83</v>
      </c>
      <c r="G95" s="59">
        <v>1.81</v>
      </c>
      <c r="H95" s="59">
        <v>4.34</v>
      </c>
      <c r="I95" s="59">
        <v>0.75</v>
      </c>
      <c r="J95" s="59">
        <v>2.33</v>
      </c>
      <c r="K95" s="59">
        <v>2.75</v>
      </c>
    </row>
    <row r="96" spans="1:11" ht="15" customHeight="1" x14ac:dyDescent="0.4">
      <c r="A96" s="60" t="s">
        <v>549</v>
      </c>
      <c r="B96" s="59">
        <v>2.1800000000000002</v>
      </c>
      <c r="C96" s="59">
        <v>2.36</v>
      </c>
      <c r="D96" s="59">
        <v>3.69</v>
      </c>
      <c r="E96" s="59">
        <v>3.37</v>
      </c>
      <c r="F96" s="59">
        <v>3.83</v>
      </c>
      <c r="G96" s="59">
        <v>1.81</v>
      </c>
      <c r="H96" s="59">
        <v>4.34</v>
      </c>
      <c r="I96" s="59">
        <v>0.75</v>
      </c>
      <c r="J96" s="59">
        <v>2.33</v>
      </c>
      <c r="K96" s="59">
        <v>2.75</v>
      </c>
    </row>
    <row r="97" spans="1:11" ht="15" customHeight="1" x14ac:dyDescent="0.4">
      <c r="A97" s="60" t="s">
        <v>550</v>
      </c>
      <c r="B97" s="59">
        <v>2.83</v>
      </c>
      <c r="C97" s="59">
        <v>3.6</v>
      </c>
      <c r="D97" s="59">
        <v>5.7</v>
      </c>
      <c r="E97" s="59">
        <v>3.6</v>
      </c>
      <c r="F97" s="59">
        <v>4.25</v>
      </c>
      <c r="G97" s="59">
        <v>2.5499999999999998</v>
      </c>
      <c r="H97" s="59">
        <v>5.24</v>
      </c>
      <c r="I97" s="59">
        <v>2.11</v>
      </c>
      <c r="J97" s="59">
        <v>3.98</v>
      </c>
      <c r="K97" s="59">
        <v>4.3899999999999997</v>
      </c>
    </row>
    <row r="98" spans="1:11" ht="15" customHeight="1" x14ac:dyDescent="0.4">
      <c r="A98" s="56" t="s">
        <v>551</v>
      </c>
      <c r="B98" s="57">
        <v>217.1</v>
      </c>
      <c r="C98" s="57">
        <v>245.5</v>
      </c>
      <c r="D98" s="57">
        <v>424.8</v>
      </c>
      <c r="E98" s="57">
        <v>399.9</v>
      </c>
      <c r="F98" s="57">
        <v>454.8</v>
      </c>
      <c r="G98" s="57">
        <v>215.3</v>
      </c>
      <c r="H98" s="57">
        <v>568.29999999999995</v>
      </c>
      <c r="I98" s="59">
        <v>98</v>
      </c>
      <c r="J98" s="57">
        <v>305.8</v>
      </c>
      <c r="K98" s="57">
        <v>360.3</v>
      </c>
    </row>
    <row r="99" spans="1:11" ht="15" customHeight="1" x14ac:dyDescent="0.4">
      <c r="A99" s="56" t="s">
        <v>552</v>
      </c>
      <c r="B99" s="59">
        <v>1</v>
      </c>
      <c r="C99" s="59">
        <v>1</v>
      </c>
      <c r="D99" s="59">
        <v>1</v>
      </c>
      <c r="E99" s="59">
        <v>1</v>
      </c>
      <c r="F99" s="59">
        <v>1</v>
      </c>
      <c r="G99" s="59">
        <v>1</v>
      </c>
      <c r="H99" s="59">
        <v>1</v>
      </c>
      <c r="I99" s="59">
        <v>1</v>
      </c>
      <c r="J99" s="59">
        <v>1</v>
      </c>
      <c r="K99" s="59">
        <v>1</v>
      </c>
    </row>
    <row r="100" spans="1:11" ht="15" customHeight="1" x14ac:dyDescent="0.4">
      <c r="A100" s="58" t="s">
        <v>553</v>
      </c>
      <c r="B100" s="59">
        <v>99.42</v>
      </c>
      <c r="C100" s="57">
        <v>103.97</v>
      </c>
      <c r="D100" s="57">
        <v>115.14</v>
      </c>
      <c r="E100" s="57">
        <v>118.75</v>
      </c>
      <c r="F100" s="57">
        <v>118.74</v>
      </c>
      <c r="G100" s="57">
        <v>118.9</v>
      </c>
      <c r="H100" s="57">
        <v>131.09</v>
      </c>
      <c r="I100" s="57">
        <v>131.11000000000001</v>
      </c>
      <c r="J100" s="57">
        <v>131.11000000000001</v>
      </c>
      <c r="K100" s="57">
        <v>131.11000000000001</v>
      </c>
    </row>
    <row r="101" spans="1:11" ht="15" customHeight="1" x14ac:dyDescent="0.4">
      <c r="A101" s="60" t="s">
        <v>554</v>
      </c>
      <c r="B101" s="59">
        <v>2.1800000000000002</v>
      </c>
      <c r="C101" s="59">
        <v>2.36</v>
      </c>
      <c r="D101" s="59">
        <v>3.69</v>
      </c>
      <c r="E101" s="59">
        <v>3.37</v>
      </c>
      <c r="F101" s="59">
        <v>3.83</v>
      </c>
      <c r="G101" s="59">
        <v>1.81</v>
      </c>
      <c r="H101" s="59">
        <v>4.34</v>
      </c>
      <c r="I101" s="59">
        <v>0.75</v>
      </c>
      <c r="J101" s="59">
        <v>2.33</v>
      </c>
      <c r="K101" s="59">
        <v>2.75</v>
      </c>
    </row>
    <row r="102" spans="1:11" ht="15" customHeight="1" x14ac:dyDescent="0.4">
      <c r="A102" s="60" t="s">
        <v>555</v>
      </c>
      <c r="B102" s="59">
        <v>2.1800000000000002</v>
      </c>
      <c r="C102" s="59">
        <v>2.36</v>
      </c>
      <c r="D102" s="59">
        <v>3.69</v>
      </c>
      <c r="E102" s="59">
        <v>3.37</v>
      </c>
      <c r="F102" s="59">
        <v>3.83</v>
      </c>
      <c r="G102" s="59">
        <v>1.81</v>
      </c>
      <c r="H102" s="59">
        <v>4.34</v>
      </c>
      <c r="I102" s="59">
        <v>0.75</v>
      </c>
      <c r="J102" s="59">
        <v>2.33</v>
      </c>
      <c r="K102" s="59">
        <v>2.75</v>
      </c>
    </row>
    <row r="103" spans="1:11" ht="15" customHeight="1" x14ac:dyDescent="0.4">
      <c r="A103" s="60" t="s">
        <v>556</v>
      </c>
      <c r="B103" s="59">
        <v>2.83</v>
      </c>
      <c r="C103" s="59">
        <v>3.6</v>
      </c>
      <c r="D103" s="59">
        <v>5.7</v>
      </c>
      <c r="E103" s="59">
        <v>3.6</v>
      </c>
      <c r="F103" s="59">
        <v>4.25</v>
      </c>
      <c r="G103" s="59">
        <v>2.5499999999999998</v>
      </c>
      <c r="H103" s="59">
        <v>5.24</v>
      </c>
      <c r="I103" s="59">
        <v>2.11</v>
      </c>
      <c r="J103" s="59">
        <v>3.98</v>
      </c>
      <c r="K103" s="59">
        <v>4.3899999999999997</v>
      </c>
    </row>
    <row r="104" spans="1:11" ht="15" customHeight="1" x14ac:dyDescent="0.4">
      <c r="A104" s="56" t="s">
        <v>557</v>
      </c>
      <c r="B104" s="70">
        <v>0</v>
      </c>
      <c r="C104" s="70">
        <v>0</v>
      </c>
      <c r="D104" s="61"/>
      <c r="E104" s="61">
        <v>0</v>
      </c>
      <c r="F104" s="61"/>
      <c r="G104" s="61"/>
      <c r="H104" s="61"/>
      <c r="I104" s="61"/>
      <c r="J104" s="61"/>
      <c r="K104" s="70">
        <v>0</v>
      </c>
    </row>
    <row r="105" spans="1:11" ht="15" customHeight="1" x14ac:dyDescent="0.4">
      <c r="A105" s="56" t="s">
        <v>558</v>
      </c>
      <c r="B105" s="61"/>
      <c r="C105" s="61"/>
      <c r="D105" s="59">
        <v>1.24</v>
      </c>
      <c r="E105" s="59">
        <v>3.51</v>
      </c>
      <c r="F105" s="59">
        <v>3.42</v>
      </c>
      <c r="G105" s="62">
        <v>-0.69</v>
      </c>
      <c r="H105" s="59">
        <v>7.22</v>
      </c>
      <c r="I105" s="59">
        <v>4.79</v>
      </c>
      <c r="J105" s="59">
        <v>1.54</v>
      </c>
      <c r="K105" s="59">
        <v>3.88</v>
      </c>
    </row>
    <row r="106" spans="1:11" ht="15" customHeight="1" x14ac:dyDescent="0.4">
      <c r="A106" s="54" t="s">
        <v>559</v>
      </c>
      <c r="B106" s="55"/>
      <c r="C106" s="55"/>
      <c r="D106" s="55"/>
      <c r="E106" s="55"/>
      <c r="F106" s="55"/>
      <c r="G106" s="55"/>
      <c r="H106" s="55"/>
      <c r="I106" s="55"/>
      <c r="J106" s="55"/>
      <c r="K106" s="55"/>
    </row>
    <row r="107" spans="1:11" ht="15" customHeight="1" x14ac:dyDescent="0.4">
      <c r="A107" s="56" t="s">
        <v>560</v>
      </c>
      <c r="B107" s="57">
        <v>217.1</v>
      </c>
      <c r="C107" s="57">
        <v>245.5</v>
      </c>
      <c r="D107" s="57">
        <v>424.8</v>
      </c>
      <c r="E107" s="57">
        <v>399.9</v>
      </c>
      <c r="F107" s="57">
        <v>454.8</v>
      </c>
      <c r="G107" s="57">
        <v>215.3</v>
      </c>
      <c r="H107" s="57">
        <v>568.29999999999995</v>
      </c>
      <c r="I107" s="59">
        <v>98</v>
      </c>
      <c r="J107" s="57">
        <v>305.8</v>
      </c>
      <c r="K107" s="57">
        <v>360.3</v>
      </c>
    </row>
    <row r="108" spans="1:11" ht="15" customHeight="1" x14ac:dyDescent="0.4">
      <c r="A108" s="58" t="s">
        <v>561</v>
      </c>
      <c r="B108" s="57">
        <v>217.1</v>
      </c>
      <c r="C108" s="57">
        <v>245.5</v>
      </c>
      <c r="D108" s="57">
        <v>424.8</v>
      </c>
      <c r="E108" s="57">
        <v>399.9</v>
      </c>
      <c r="F108" s="57">
        <v>454.8</v>
      </c>
      <c r="G108" s="57">
        <v>215.3</v>
      </c>
      <c r="H108" s="57">
        <v>568.29999999999995</v>
      </c>
      <c r="I108" s="59">
        <v>98</v>
      </c>
      <c r="J108" s="57">
        <v>305.8</v>
      </c>
      <c r="K108" s="57">
        <v>360.3</v>
      </c>
    </row>
    <row r="109" spans="1:11" ht="15" customHeight="1" x14ac:dyDescent="0.4">
      <c r="A109" s="58" t="s">
        <v>562</v>
      </c>
      <c r="B109" s="59">
        <v>99.42</v>
      </c>
      <c r="C109" s="57">
        <v>104.01</v>
      </c>
      <c r="D109" s="57">
        <v>115.17</v>
      </c>
      <c r="E109" s="57">
        <v>118.77</v>
      </c>
      <c r="F109" s="57">
        <v>118.74</v>
      </c>
      <c r="G109" s="57">
        <v>118.9</v>
      </c>
      <c r="H109" s="57">
        <v>131.09</v>
      </c>
      <c r="I109" s="57">
        <v>131.11000000000001</v>
      </c>
      <c r="J109" s="57">
        <v>131.11000000000001</v>
      </c>
      <c r="K109" s="57">
        <v>131.11000000000001</v>
      </c>
    </row>
    <row r="110" spans="1:11" ht="15" customHeight="1" x14ac:dyDescent="0.4">
      <c r="A110" s="60" t="s">
        <v>563</v>
      </c>
      <c r="B110" s="59">
        <v>2.1800000000000002</v>
      </c>
      <c r="C110" s="59">
        <v>2.36</v>
      </c>
      <c r="D110" s="59">
        <v>3.69</v>
      </c>
      <c r="E110" s="59">
        <v>3.37</v>
      </c>
      <c r="F110" s="59">
        <v>3.83</v>
      </c>
      <c r="G110" s="59">
        <v>1.81</v>
      </c>
      <c r="H110" s="59">
        <v>4.34</v>
      </c>
      <c r="I110" s="59">
        <v>0.75</v>
      </c>
      <c r="J110" s="59">
        <v>2.33</v>
      </c>
      <c r="K110" s="59">
        <v>2.75</v>
      </c>
    </row>
    <row r="111" spans="1:11" ht="15" customHeight="1" x14ac:dyDescent="0.4">
      <c r="A111" s="60" t="s">
        <v>564</v>
      </c>
      <c r="B111" s="59">
        <v>2.1800000000000002</v>
      </c>
      <c r="C111" s="59">
        <v>2.36</v>
      </c>
      <c r="D111" s="59">
        <v>3.69</v>
      </c>
      <c r="E111" s="59">
        <v>3.37</v>
      </c>
      <c r="F111" s="59">
        <v>3.83</v>
      </c>
      <c r="G111" s="59">
        <v>1.81</v>
      </c>
      <c r="H111" s="59">
        <v>4.34</v>
      </c>
      <c r="I111" s="59">
        <v>0.75</v>
      </c>
      <c r="J111" s="59">
        <v>2.33</v>
      </c>
      <c r="K111" s="59">
        <v>2.75</v>
      </c>
    </row>
    <row r="112" spans="1:11" ht="15" customHeight="1" x14ac:dyDescent="0.4">
      <c r="A112" s="60" t="s">
        <v>565</v>
      </c>
      <c r="B112" s="59">
        <v>2.83</v>
      </c>
      <c r="C112" s="59">
        <v>3.59</v>
      </c>
      <c r="D112" s="59">
        <v>5.7</v>
      </c>
      <c r="E112" s="59">
        <v>3.6</v>
      </c>
      <c r="F112" s="59">
        <v>4.25</v>
      </c>
      <c r="G112" s="59">
        <v>2.5499999999999998</v>
      </c>
      <c r="H112" s="59">
        <v>5.24</v>
      </c>
      <c r="I112" s="59">
        <v>2.11</v>
      </c>
      <c r="J112" s="59">
        <v>3.98</v>
      </c>
      <c r="K112" s="59">
        <v>4.3899999999999997</v>
      </c>
    </row>
    <row r="113" spans="1:11" ht="15" customHeight="1" x14ac:dyDescent="0.4">
      <c r="A113" s="56" t="s">
        <v>566</v>
      </c>
      <c r="B113" s="57">
        <v>217.1</v>
      </c>
      <c r="C113" s="57">
        <v>245.5</v>
      </c>
      <c r="D113" s="57">
        <v>424.8</v>
      </c>
      <c r="E113" s="57">
        <v>399.9</v>
      </c>
      <c r="F113" s="57">
        <v>454.8</v>
      </c>
      <c r="G113" s="57">
        <v>215.3</v>
      </c>
      <c r="H113" s="57">
        <v>568.29999999999995</v>
      </c>
      <c r="I113" s="59">
        <v>98</v>
      </c>
      <c r="J113" s="57">
        <v>305.8</v>
      </c>
      <c r="K113" s="57">
        <v>360.3</v>
      </c>
    </row>
    <row r="114" spans="1:11" ht="15" customHeight="1" x14ac:dyDescent="0.4">
      <c r="A114" s="56" t="s">
        <v>567</v>
      </c>
      <c r="B114" s="59">
        <v>1</v>
      </c>
      <c r="C114" s="59">
        <v>1</v>
      </c>
      <c r="D114" s="59">
        <v>1</v>
      </c>
      <c r="E114" s="59">
        <v>1</v>
      </c>
      <c r="F114" s="59">
        <v>1</v>
      </c>
      <c r="G114" s="59">
        <v>1</v>
      </c>
      <c r="H114" s="59">
        <v>1</v>
      </c>
      <c r="I114" s="59">
        <v>1</v>
      </c>
      <c r="J114" s="59">
        <v>1</v>
      </c>
      <c r="K114" s="59">
        <v>1</v>
      </c>
    </row>
    <row r="115" spans="1:11" ht="15" customHeight="1" x14ac:dyDescent="0.4">
      <c r="A115" s="58" t="s">
        <v>568</v>
      </c>
      <c r="B115" s="59">
        <v>99.42</v>
      </c>
      <c r="C115" s="57">
        <v>104.01</v>
      </c>
      <c r="D115" s="57">
        <v>115.17</v>
      </c>
      <c r="E115" s="57">
        <v>118.77</v>
      </c>
      <c r="F115" s="57">
        <v>118.74</v>
      </c>
      <c r="G115" s="57">
        <v>118.9</v>
      </c>
      <c r="H115" s="57">
        <v>131.09</v>
      </c>
      <c r="I115" s="57">
        <v>131.11000000000001</v>
      </c>
      <c r="J115" s="57">
        <v>131.11000000000001</v>
      </c>
      <c r="K115" s="57">
        <v>131.11000000000001</v>
      </c>
    </row>
    <row r="116" spans="1:11" ht="15" customHeight="1" x14ac:dyDescent="0.4">
      <c r="A116" s="60" t="s">
        <v>569</v>
      </c>
      <c r="B116" s="59">
        <v>2.1800000000000002</v>
      </c>
      <c r="C116" s="59">
        <v>2.36</v>
      </c>
      <c r="D116" s="59">
        <v>3.69</v>
      </c>
      <c r="E116" s="59">
        <v>3.37</v>
      </c>
      <c r="F116" s="59">
        <v>3.83</v>
      </c>
      <c r="G116" s="59">
        <v>1.81</v>
      </c>
      <c r="H116" s="59">
        <v>4.34</v>
      </c>
      <c r="I116" s="59">
        <v>0.75</v>
      </c>
      <c r="J116" s="59">
        <v>2.33</v>
      </c>
      <c r="K116" s="59">
        <v>2.75</v>
      </c>
    </row>
    <row r="117" spans="1:11" ht="15" customHeight="1" x14ac:dyDescent="0.4">
      <c r="A117" s="60" t="s">
        <v>570</v>
      </c>
      <c r="B117" s="59">
        <v>2.1800000000000002</v>
      </c>
      <c r="C117" s="59">
        <v>2.36</v>
      </c>
      <c r="D117" s="59">
        <v>3.69</v>
      </c>
      <c r="E117" s="59">
        <v>3.37</v>
      </c>
      <c r="F117" s="59">
        <v>3.83</v>
      </c>
      <c r="G117" s="59">
        <v>1.81</v>
      </c>
      <c r="H117" s="59">
        <v>4.34</v>
      </c>
      <c r="I117" s="59">
        <v>0.75</v>
      </c>
      <c r="J117" s="59">
        <v>2.33</v>
      </c>
      <c r="K117" s="59">
        <v>2.75</v>
      </c>
    </row>
    <row r="118" spans="1:11" ht="15" customHeight="1" x14ac:dyDescent="0.4">
      <c r="A118" s="60" t="s">
        <v>571</v>
      </c>
      <c r="B118" s="59">
        <v>2.83</v>
      </c>
      <c r="C118" s="59">
        <v>3.59</v>
      </c>
      <c r="D118" s="59">
        <v>5.7</v>
      </c>
      <c r="E118" s="59">
        <v>3.6</v>
      </c>
      <c r="F118" s="59">
        <v>4.25</v>
      </c>
      <c r="G118" s="59">
        <v>2.5499999999999998</v>
      </c>
      <c r="H118" s="59">
        <v>5.24</v>
      </c>
      <c r="I118" s="59">
        <v>2.11</v>
      </c>
      <c r="J118" s="59">
        <v>3.98</v>
      </c>
      <c r="K118" s="59">
        <v>4.3899999999999997</v>
      </c>
    </row>
    <row r="119" spans="1:11" ht="15" customHeight="1" x14ac:dyDescent="0.4">
      <c r="A119" s="56" t="s">
        <v>572</v>
      </c>
      <c r="B119" s="70">
        <v>0</v>
      </c>
      <c r="C119" s="61"/>
      <c r="D119" s="61"/>
      <c r="E119" s="61"/>
      <c r="F119" s="61"/>
      <c r="G119" s="61"/>
      <c r="H119" s="61"/>
      <c r="I119" s="61"/>
      <c r="J119" s="61"/>
      <c r="K119" s="70">
        <v>0</v>
      </c>
    </row>
    <row r="120" spans="1:11" ht="15" customHeight="1" x14ac:dyDescent="0.4">
      <c r="A120" s="56" t="s">
        <v>573</v>
      </c>
      <c r="B120" s="61"/>
      <c r="C120" s="61"/>
      <c r="D120" s="59">
        <v>1.24</v>
      </c>
      <c r="E120" s="59">
        <v>3.51</v>
      </c>
      <c r="F120" s="59">
        <v>3.42</v>
      </c>
      <c r="G120" s="62">
        <v>-0.69</v>
      </c>
      <c r="H120" s="59">
        <v>7.22</v>
      </c>
      <c r="I120" s="59">
        <v>4.79</v>
      </c>
      <c r="J120" s="59">
        <v>1.54</v>
      </c>
      <c r="K120" s="59">
        <v>3.88</v>
      </c>
    </row>
    <row r="121" spans="1:11" ht="15" customHeight="1" x14ac:dyDescent="0.4">
      <c r="A121" s="54" t="s">
        <v>574</v>
      </c>
      <c r="B121" s="55"/>
      <c r="C121" s="55"/>
      <c r="D121" s="55"/>
      <c r="E121" s="55"/>
      <c r="F121" s="55"/>
      <c r="G121" s="55"/>
      <c r="H121" s="55"/>
      <c r="I121" s="55"/>
      <c r="J121" s="55"/>
      <c r="K121" s="55"/>
    </row>
    <row r="122" spans="1:11" ht="15" customHeight="1" x14ac:dyDescent="0.4">
      <c r="A122" s="56" t="s">
        <v>575</v>
      </c>
      <c r="B122" s="59">
        <v>0.55000000000000004</v>
      </c>
      <c r="C122" s="59">
        <v>0.76</v>
      </c>
      <c r="D122" s="59">
        <v>0.79</v>
      </c>
      <c r="E122" s="59">
        <v>0.98</v>
      </c>
      <c r="F122" s="59">
        <v>1.19</v>
      </c>
      <c r="G122" s="59">
        <v>0.04</v>
      </c>
      <c r="H122" s="59">
        <v>0.41</v>
      </c>
      <c r="I122" s="59">
        <v>1.5</v>
      </c>
      <c r="J122" s="59">
        <v>0.19</v>
      </c>
      <c r="K122" s="59">
        <v>0.7</v>
      </c>
    </row>
    <row r="123" spans="1:11" ht="15" customHeight="1" x14ac:dyDescent="0.4">
      <c r="A123" s="56" t="s">
        <v>576</v>
      </c>
      <c r="B123" s="59">
        <v>0.55000000000000004</v>
      </c>
      <c r="C123" s="59">
        <v>0.76</v>
      </c>
      <c r="D123" s="59">
        <v>0.57999999999999996</v>
      </c>
      <c r="E123" s="59">
        <v>0.72</v>
      </c>
      <c r="F123" s="59">
        <v>0.88</v>
      </c>
      <c r="G123" s="59">
        <v>0.03</v>
      </c>
      <c r="H123" s="59">
        <v>0.3</v>
      </c>
      <c r="I123" s="59">
        <v>1.1000000000000001</v>
      </c>
      <c r="J123" s="59">
        <v>0.14000000000000001</v>
      </c>
      <c r="K123" s="59">
        <v>0.52</v>
      </c>
    </row>
    <row r="124" spans="1:11" ht="15" customHeight="1" x14ac:dyDescent="0.4">
      <c r="A124" s="54" t="s">
        <v>577</v>
      </c>
      <c r="B124" s="55"/>
      <c r="C124" s="55"/>
      <c r="D124" s="55"/>
      <c r="E124" s="55"/>
      <c r="F124" s="55"/>
      <c r="G124" s="55"/>
      <c r="H124" s="55"/>
      <c r="I124" s="55"/>
      <c r="J124" s="55"/>
      <c r="K124" s="55"/>
    </row>
    <row r="125" spans="1:11" ht="15" customHeight="1" x14ac:dyDescent="0.4">
      <c r="A125" s="56" t="s">
        <v>578</v>
      </c>
      <c r="B125" s="57">
        <v>451.7</v>
      </c>
      <c r="C125" s="57">
        <v>533.4</v>
      </c>
      <c r="D125" s="57">
        <v>771.3</v>
      </c>
      <c r="E125" s="57">
        <v>661.4</v>
      </c>
      <c r="F125" s="57">
        <v>755.7</v>
      </c>
      <c r="G125" s="57">
        <v>497.7</v>
      </c>
      <c r="H125" s="57">
        <v>906.8</v>
      </c>
      <c r="I125" s="57">
        <v>292.8</v>
      </c>
      <c r="J125" s="57">
        <v>786.5</v>
      </c>
      <c r="K125" s="57">
        <v>926.7</v>
      </c>
    </row>
    <row r="126" spans="1:11" ht="15" customHeight="1" x14ac:dyDescent="0.4">
      <c r="A126" s="56" t="s">
        <v>579</v>
      </c>
      <c r="B126" s="57">
        <v>849</v>
      </c>
      <c r="C126" s="57">
        <v>988.1</v>
      </c>
      <c r="D126" s="57">
        <v>1392.7</v>
      </c>
      <c r="E126" s="57">
        <v>1552.9</v>
      </c>
      <c r="F126" s="57">
        <v>1646.7</v>
      </c>
      <c r="G126" s="57">
        <v>1413.8</v>
      </c>
      <c r="H126" s="57">
        <v>1845.7</v>
      </c>
      <c r="I126" s="57">
        <v>1306.0999999999999</v>
      </c>
      <c r="J126" s="57">
        <v>1833</v>
      </c>
      <c r="K126" s="57">
        <v>2037.5</v>
      </c>
    </row>
    <row r="127" spans="1:11" ht="15" customHeight="1" x14ac:dyDescent="0.4">
      <c r="A127" s="56" t="s">
        <v>580</v>
      </c>
      <c r="B127" s="57">
        <v>970.8</v>
      </c>
      <c r="C127" s="57">
        <v>1114</v>
      </c>
      <c r="D127" s="61">
        <f>C126-C129</f>
        <v>476.40000000000003</v>
      </c>
      <c r="E127" s="61">
        <f>E126-E129</f>
        <v>584.80000000000007</v>
      </c>
      <c r="F127" s="61"/>
      <c r="G127" s="61"/>
      <c r="H127" s="61"/>
      <c r="I127" s="61"/>
      <c r="J127" s="61"/>
      <c r="K127" s="61"/>
    </row>
    <row r="128" spans="1:11" ht="15" customHeight="1" x14ac:dyDescent="0.4">
      <c r="A128" s="54" t="s">
        <v>581</v>
      </c>
      <c r="B128" s="55"/>
      <c r="C128" s="55"/>
      <c r="D128" s="55"/>
      <c r="E128" s="55"/>
      <c r="F128" s="55"/>
      <c r="G128" s="55"/>
      <c r="H128" s="55"/>
      <c r="I128" s="55"/>
      <c r="J128" s="55"/>
      <c r="K128" s="55"/>
    </row>
    <row r="129" spans="1:11" ht="15" customHeight="1" x14ac:dyDescent="0.4">
      <c r="A129" s="56" t="s">
        <v>582</v>
      </c>
      <c r="B129" s="57">
        <v>397.3</v>
      </c>
      <c r="C129" s="57">
        <v>511.7</v>
      </c>
      <c r="D129" s="57">
        <v>690.4</v>
      </c>
      <c r="E129" s="57">
        <v>968.1</v>
      </c>
      <c r="F129" s="57">
        <v>891</v>
      </c>
      <c r="G129" s="57">
        <v>916.1</v>
      </c>
      <c r="H129" s="57">
        <v>938.9</v>
      </c>
      <c r="I129" s="57">
        <v>1013.3</v>
      </c>
      <c r="J129" s="57">
        <v>1046.5</v>
      </c>
      <c r="K129" s="57">
        <v>1110.8</v>
      </c>
    </row>
    <row r="130" spans="1:11" ht="15" customHeight="1" x14ac:dyDescent="0.4">
      <c r="A130" s="58" t="s">
        <v>583</v>
      </c>
      <c r="B130" s="57">
        <v>310.39999999999998</v>
      </c>
      <c r="C130" s="57">
        <v>339.5</v>
      </c>
      <c r="D130" s="57">
        <v>404</v>
      </c>
      <c r="E130" s="57">
        <v>708.7</v>
      </c>
      <c r="F130" s="57">
        <v>733.2</v>
      </c>
      <c r="G130" s="57">
        <v>743.7</v>
      </c>
      <c r="H130" s="57">
        <v>768.4</v>
      </c>
      <c r="I130" s="57">
        <v>824.4</v>
      </c>
      <c r="J130" s="57">
        <v>854.3</v>
      </c>
      <c r="K130" s="57">
        <v>917.5</v>
      </c>
    </row>
    <row r="131" spans="1:11" ht="15" customHeight="1" x14ac:dyDescent="0.4">
      <c r="A131" s="60" t="s">
        <v>584</v>
      </c>
      <c r="B131" s="61"/>
      <c r="C131" s="61"/>
      <c r="D131" s="61"/>
      <c r="E131" s="57">
        <v>502.3</v>
      </c>
      <c r="F131" s="57">
        <v>641</v>
      </c>
      <c r="G131" s="57">
        <v>636.70000000000005</v>
      </c>
      <c r="H131" s="57">
        <v>652</v>
      </c>
      <c r="I131" s="57">
        <v>687.1</v>
      </c>
      <c r="J131" s="57">
        <v>706.1</v>
      </c>
      <c r="K131" s="57">
        <v>750.3</v>
      </c>
    </row>
    <row r="132" spans="1:11" ht="15" customHeight="1" x14ac:dyDescent="0.4">
      <c r="A132" s="58" t="s">
        <v>585</v>
      </c>
      <c r="B132" s="59">
        <v>86.9</v>
      </c>
      <c r="C132" s="57">
        <v>172.2</v>
      </c>
      <c r="D132" s="57">
        <v>286.39999999999998</v>
      </c>
      <c r="E132" s="57">
        <v>259.39999999999998</v>
      </c>
      <c r="F132" s="57">
        <v>157.80000000000001</v>
      </c>
      <c r="G132" s="57">
        <v>172.4</v>
      </c>
      <c r="H132" s="57">
        <v>170.5</v>
      </c>
      <c r="I132" s="57">
        <v>188.9</v>
      </c>
      <c r="J132" s="57">
        <v>192.2</v>
      </c>
      <c r="K132" s="57">
        <v>193.3</v>
      </c>
    </row>
    <row r="133" spans="1:11" ht="15" customHeight="1" x14ac:dyDescent="0.4">
      <c r="A133" s="60" t="s">
        <v>586</v>
      </c>
      <c r="B133" s="61"/>
      <c r="C133" s="57">
        <v>172.2</v>
      </c>
      <c r="D133" s="57">
        <v>286.39999999999998</v>
      </c>
      <c r="E133" s="57">
        <v>259.39999999999998</v>
      </c>
      <c r="F133" s="57">
        <v>157.80000000000001</v>
      </c>
      <c r="G133" s="57">
        <v>172.4</v>
      </c>
      <c r="H133" s="57">
        <v>170.5</v>
      </c>
      <c r="I133" s="57">
        <v>188.9</v>
      </c>
      <c r="J133" s="57">
        <v>192.2</v>
      </c>
      <c r="K133" s="57">
        <v>193.3</v>
      </c>
    </row>
    <row r="134" spans="1:11" ht="15" customHeight="1" x14ac:dyDescent="0.4">
      <c r="A134" s="65" t="s">
        <v>587</v>
      </c>
      <c r="B134" s="61"/>
      <c r="C134" s="59">
        <v>0.3</v>
      </c>
      <c r="D134" s="59">
        <v>0.2</v>
      </c>
      <c r="E134" s="59">
        <v>0.1</v>
      </c>
      <c r="F134" s="59">
        <v>0.2</v>
      </c>
      <c r="G134" s="59">
        <v>0.2</v>
      </c>
      <c r="H134" s="59">
        <v>0.2</v>
      </c>
      <c r="I134" s="61"/>
      <c r="J134" s="61"/>
      <c r="K134" s="61"/>
    </row>
    <row r="135" spans="1:11" ht="15" customHeight="1" x14ac:dyDescent="0.4">
      <c r="A135" s="65" t="s">
        <v>588</v>
      </c>
      <c r="B135" s="61"/>
      <c r="C135" s="59">
        <v>57</v>
      </c>
      <c r="D135" s="59">
        <v>69</v>
      </c>
      <c r="E135" s="59">
        <v>76.599999999999994</v>
      </c>
      <c r="F135" s="59">
        <v>82.1</v>
      </c>
      <c r="G135" s="59">
        <v>97.1</v>
      </c>
      <c r="H135" s="59">
        <v>99.9</v>
      </c>
      <c r="I135" s="57">
        <v>112.6</v>
      </c>
      <c r="J135" s="57">
        <v>117.6</v>
      </c>
      <c r="K135" s="57">
        <v>116.2</v>
      </c>
    </row>
    <row r="136" spans="1:11" ht="15" customHeight="1" x14ac:dyDescent="0.4">
      <c r="A136" s="54" t="s">
        <v>589</v>
      </c>
      <c r="B136" s="55"/>
      <c r="C136" s="55"/>
      <c r="D136" s="55"/>
      <c r="E136" s="55"/>
      <c r="F136" s="55"/>
      <c r="G136" s="55"/>
      <c r="H136" s="55"/>
      <c r="I136" s="55"/>
      <c r="J136" s="55"/>
      <c r="K136" s="55"/>
    </row>
    <row r="137" spans="1:11" ht="15" customHeight="1" x14ac:dyDescent="0.4">
      <c r="A137" s="56" t="s">
        <v>590</v>
      </c>
      <c r="B137" s="57">
        <v>397.3</v>
      </c>
      <c r="C137" s="57">
        <v>454.7</v>
      </c>
      <c r="D137" s="57">
        <v>621.4</v>
      </c>
      <c r="E137" s="57">
        <v>891.5</v>
      </c>
      <c r="F137" s="57">
        <v>891</v>
      </c>
      <c r="G137" s="57">
        <v>916.1</v>
      </c>
      <c r="H137" s="57">
        <v>938.9</v>
      </c>
      <c r="I137" s="57">
        <v>1013.3</v>
      </c>
      <c r="J137" s="57">
        <v>1046.5</v>
      </c>
      <c r="K137" s="57">
        <v>1110.8</v>
      </c>
    </row>
    <row r="138" spans="1:11" ht="15" customHeight="1" x14ac:dyDescent="0.4">
      <c r="A138" s="58" t="s">
        <v>591</v>
      </c>
      <c r="B138" s="57">
        <v>310.39999999999998</v>
      </c>
      <c r="C138" s="57">
        <v>339.5</v>
      </c>
      <c r="D138" s="57">
        <v>404</v>
      </c>
      <c r="E138" s="57">
        <v>708.7</v>
      </c>
      <c r="F138" s="57">
        <v>733.2</v>
      </c>
      <c r="G138" s="57">
        <v>743.7</v>
      </c>
      <c r="H138" s="57">
        <v>768.4</v>
      </c>
      <c r="I138" s="57">
        <v>824.4</v>
      </c>
      <c r="J138" s="57">
        <v>854.3</v>
      </c>
      <c r="K138" s="57">
        <v>917.5</v>
      </c>
    </row>
    <row r="139" spans="1:11" ht="15" customHeight="1" x14ac:dyDescent="0.4">
      <c r="A139" s="58" t="s">
        <v>592</v>
      </c>
      <c r="B139" s="59">
        <v>86.9</v>
      </c>
      <c r="C139" s="61"/>
      <c r="D139" s="61"/>
      <c r="E139" s="61"/>
      <c r="F139" s="61"/>
      <c r="G139" s="61"/>
      <c r="H139" s="61"/>
      <c r="I139" s="61"/>
      <c r="J139" s="61"/>
      <c r="K139" s="61"/>
    </row>
    <row r="140" spans="1:11" ht="15" customHeight="1" x14ac:dyDescent="0.4">
      <c r="A140" s="58" t="s">
        <v>593</v>
      </c>
      <c r="B140" s="61"/>
      <c r="C140" s="57">
        <v>115.2</v>
      </c>
      <c r="D140" s="57">
        <v>217.4</v>
      </c>
      <c r="E140" s="57">
        <v>182.8</v>
      </c>
      <c r="F140" s="57">
        <v>157.80000000000001</v>
      </c>
      <c r="G140" s="57">
        <v>172.4</v>
      </c>
      <c r="H140" s="57">
        <v>170.5</v>
      </c>
      <c r="I140" s="57">
        <v>188.9</v>
      </c>
      <c r="J140" s="57">
        <v>192.2</v>
      </c>
      <c r="K140" s="57">
        <v>193.3</v>
      </c>
    </row>
    <row r="141" spans="1:11" ht="15" customHeight="1" x14ac:dyDescent="0.4">
      <c r="A141" s="54" t="s">
        <v>594</v>
      </c>
      <c r="B141" s="55"/>
      <c r="C141" s="55"/>
      <c r="D141" s="55"/>
      <c r="E141" s="55"/>
      <c r="F141" s="55"/>
      <c r="G141" s="55"/>
      <c r="H141" s="55"/>
      <c r="I141" s="55"/>
      <c r="J141" s="55"/>
      <c r="K141" s="55"/>
    </row>
    <row r="142" spans="1:11" ht="15" customHeight="1" x14ac:dyDescent="0.4">
      <c r="A142" s="56" t="s">
        <v>595</v>
      </c>
      <c r="B142" s="57">
        <v>143</v>
      </c>
      <c r="C142" s="57">
        <v>147.1</v>
      </c>
      <c r="D142" s="57">
        <v>212.3</v>
      </c>
      <c r="E142" s="57">
        <v>221.7</v>
      </c>
      <c r="F142" s="57">
        <v>237.3</v>
      </c>
      <c r="G142" s="57">
        <v>235.3</v>
      </c>
      <c r="H142" s="57">
        <v>273</v>
      </c>
      <c r="I142" s="57">
        <v>321.3</v>
      </c>
      <c r="J142" s="57">
        <v>351</v>
      </c>
      <c r="K142" s="57">
        <v>392.8</v>
      </c>
    </row>
    <row r="143" spans="1:11" ht="15" customHeight="1" x14ac:dyDescent="0.4">
      <c r="A143" s="58" t="s">
        <v>596</v>
      </c>
      <c r="B143" s="57">
        <v>143</v>
      </c>
      <c r="C143" s="59">
        <v>96.5</v>
      </c>
      <c r="D143" s="57">
        <v>137</v>
      </c>
      <c r="E143" s="57">
        <v>137.69999999999999</v>
      </c>
      <c r="F143" s="57">
        <v>155.30000000000001</v>
      </c>
      <c r="G143" s="57">
        <v>156.80000000000001</v>
      </c>
      <c r="H143" s="57">
        <v>174.7</v>
      </c>
      <c r="I143" s="57">
        <v>203.3</v>
      </c>
      <c r="J143" s="57">
        <v>235.1</v>
      </c>
      <c r="K143" s="57">
        <v>259.60000000000002</v>
      </c>
    </row>
    <row r="144" spans="1:11" ht="15" customHeight="1" x14ac:dyDescent="0.4">
      <c r="A144" s="58" t="s">
        <v>597</v>
      </c>
      <c r="B144" s="61"/>
      <c r="C144" s="59">
        <v>50.6</v>
      </c>
      <c r="D144" s="59">
        <v>75.400000000000006</v>
      </c>
      <c r="E144" s="59">
        <v>84</v>
      </c>
      <c r="F144" s="59">
        <v>81.900000000000006</v>
      </c>
      <c r="G144" s="59">
        <v>78.5</v>
      </c>
      <c r="H144" s="59">
        <v>98.3</v>
      </c>
      <c r="I144" s="57">
        <v>118</v>
      </c>
      <c r="J144" s="57">
        <v>116</v>
      </c>
      <c r="K144" s="57">
        <v>133.19999999999999</v>
      </c>
    </row>
    <row r="145" spans="1:11" ht="15" customHeight="1" x14ac:dyDescent="0.4">
      <c r="A145" s="54" t="s">
        <v>598</v>
      </c>
      <c r="B145" s="55"/>
      <c r="C145" s="55"/>
      <c r="D145" s="55"/>
      <c r="E145" s="55"/>
      <c r="F145" s="55"/>
      <c r="G145" s="55"/>
      <c r="H145" s="55"/>
      <c r="I145" s="55"/>
      <c r="J145" s="55"/>
      <c r="K145" s="55"/>
    </row>
    <row r="146" spans="1:11" ht="15" customHeight="1" x14ac:dyDescent="0.4">
      <c r="A146" s="56" t="s">
        <v>599</v>
      </c>
      <c r="B146" s="57">
        <v>1351.7</v>
      </c>
      <c r="C146" s="57">
        <v>1520.3</v>
      </c>
      <c r="D146" s="57">
        <v>1989.7</v>
      </c>
      <c r="E146" s="57">
        <v>2100.1999999999998</v>
      </c>
      <c r="F146" s="57">
        <v>2292.8000000000002</v>
      </c>
      <c r="G146" s="57">
        <v>2300.8000000000002</v>
      </c>
      <c r="H146" s="57">
        <v>2612</v>
      </c>
      <c r="I146" s="57">
        <v>2848.7</v>
      </c>
      <c r="J146" s="57">
        <v>3169.6</v>
      </c>
      <c r="K146" s="57">
        <v>3314.4</v>
      </c>
    </row>
    <row r="147" spans="1:11" ht="15" customHeight="1" x14ac:dyDescent="0.4">
      <c r="A147" s="56" t="s">
        <v>600</v>
      </c>
      <c r="B147" s="57">
        <v>1351.7</v>
      </c>
      <c r="C147" s="57">
        <v>1520.3</v>
      </c>
      <c r="D147" s="57">
        <v>1989.7</v>
      </c>
      <c r="E147" s="57">
        <v>2100.1999999999998</v>
      </c>
      <c r="F147" s="57">
        <v>2292.8000000000002</v>
      </c>
      <c r="G147" s="57">
        <v>2300.8000000000002</v>
      </c>
      <c r="H147" s="57">
        <v>2612</v>
      </c>
      <c r="I147" s="57">
        <v>2848.7</v>
      </c>
      <c r="J147" s="57">
        <v>3169.6</v>
      </c>
      <c r="K147" s="57">
        <v>3314.4</v>
      </c>
    </row>
    <row r="148" spans="1:11" ht="15" customHeight="1" x14ac:dyDescent="0.4">
      <c r="A148" s="54" t="s">
        <v>601</v>
      </c>
      <c r="B148" s="55"/>
      <c r="C148" s="55"/>
      <c r="D148" s="55"/>
      <c r="E148" s="55"/>
      <c r="F148" s="55"/>
      <c r="G148" s="55"/>
      <c r="H148" s="55"/>
      <c r="I148" s="55"/>
      <c r="J148" s="55"/>
      <c r="K148" s="55"/>
    </row>
    <row r="149" spans="1:11" ht="15" customHeight="1" x14ac:dyDescent="0.4">
      <c r="A149" s="56" t="s">
        <v>601</v>
      </c>
      <c r="B149" s="59">
        <v>2.5</v>
      </c>
      <c r="C149" s="59">
        <v>1.9</v>
      </c>
      <c r="D149" s="59">
        <v>2.2999999999999998</v>
      </c>
      <c r="E149" s="59">
        <v>2.4</v>
      </c>
      <c r="F149" s="59">
        <v>2.2999999999999998</v>
      </c>
      <c r="G149" s="59">
        <v>2.8</v>
      </c>
      <c r="H149" s="59">
        <v>2.5</v>
      </c>
      <c r="I149" s="59">
        <v>2.6</v>
      </c>
      <c r="J149" s="59">
        <v>4.3</v>
      </c>
      <c r="K149" s="59">
        <v>5.0999999999999996</v>
      </c>
    </row>
    <row r="150" spans="1:11" ht="15" customHeight="1" x14ac:dyDescent="0.4">
      <c r="A150" s="58" t="s">
        <v>602</v>
      </c>
      <c r="B150" s="59">
        <v>1.7</v>
      </c>
      <c r="C150" s="59">
        <v>1.8</v>
      </c>
      <c r="D150" s="59">
        <v>2.2000000000000002</v>
      </c>
      <c r="E150" s="59">
        <v>2.4</v>
      </c>
      <c r="F150" s="59">
        <v>2.2999999999999998</v>
      </c>
      <c r="G150" s="59">
        <v>2.8</v>
      </c>
      <c r="H150" s="59">
        <v>2.5</v>
      </c>
      <c r="I150" s="59">
        <v>2.6</v>
      </c>
      <c r="J150" s="59">
        <v>3.2</v>
      </c>
      <c r="K150" s="59">
        <v>4.5999999999999996</v>
      </c>
    </row>
    <row r="151" spans="1:11" ht="15" customHeight="1" x14ac:dyDescent="0.4">
      <c r="A151" s="58" t="s">
        <v>603</v>
      </c>
      <c r="B151" s="61"/>
      <c r="C151" s="61"/>
      <c r="D151" s="61"/>
      <c r="E151" s="61"/>
      <c r="F151" s="61"/>
      <c r="G151" s="61"/>
      <c r="H151" s="61"/>
      <c r="I151" s="61"/>
      <c r="J151" s="61"/>
      <c r="K151" s="61"/>
    </row>
    <row r="152" spans="1:11" ht="15" customHeight="1" x14ac:dyDescent="0.4">
      <c r="A152" s="58" t="s">
        <v>604</v>
      </c>
      <c r="B152" s="59">
        <v>0.8</v>
      </c>
      <c r="C152" s="59">
        <v>0.1</v>
      </c>
      <c r="D152" s="59">
        <v>0.1</v>
      </c>
      <c r="E152" s="61"/>
      <c r="F152" s="61"/>
      <c r="G152" s="61"/>
      <c r="H152" s="61"/>
      <c r="I152" s="61"/>
      <c r="J152" s="59">
        <v>1.1000000000000001</v>
      </c>
      <c r="K152" s="59">
        <v>0.5</v>
      </c>
    </row>
    <row r="153" spans="1:11" ht="15" customHeight="1" x14ac:dyDescent="0.4">
      <c r="A153" s="54" t="s">
        <v>605</v>
      </c>
      <c r="B153" s="55"/>
      <c r="C153" s="55"/>
      <c r="D153" s="55"/>
      <c r="E153" s="55"/>
      <c r="F153" s="55"/>
      <c r="G153" s="55"/>
      <c r="H153" s="55"/>
      <c r="I153" s="55"/>
      <c r="J153" s="55"/>
      <c r="K153" s="55"/>
    </row>
    <row r="154" spans="1:11" ht="15" customHeight="1" x14ac:dyDescent="0.4">
      <c r="A154" s="56" t="s">
        <v>606</v>
      </c>
      <c r="B154" s="61"/>
      <c r="C154" s="61"/>
      <c r="D154" s="61"/>
      <c r="E154" s="57">
        <v>789.9</v>
      </c>
      <c r="F154" s="57">
        <v>850.5</v>
      </c>
      <c r="G154" s="57">
        <v>546.9</v>
      </c>
      <c r="H154" s="57">
        <v>841.8</v>
      </c>
      <c r="I154" s="57">
        <v>292.39999999999998</v>
      </c>
      <c r="J154" s="57">
        <v>790.5</v>
      </c>
      <c r="K154" s="57">
        <v>917.2</v>
      </c>
    </row>
    <row r="155" spans="1:11" ht="15" customHeight="1" x14ac:dyDescent="0.4">
      <c r="A155" s="56" t="s">
        <v>607</v>
      </c>
      <c r="B155" s="61"/>
      <c r="C155" s="61"/>
      <c r="D155" s="61"/>
      <c r="E155" s="57">
        <v>1555.1</v>
      </c>
      <c r="F155" s="57">
        <v>1657.5</v>
      </c>
      <c r="G155" s="57">
        <v>1383.5</v>
      </c>
      <c r="H155" s="57">
        <v>1696.9</v>
      </c>
      <c r="I155" s="57">
        <v>1218.7</v>
      </c>
      <c r="J155" s="57">
        <v>1748.7</v>
      </c>
      <c r="K155" s="57">
        <v>1945</v>
      </c>
    </row>
    <row r="156" spans="1:11" ht="15" customHeight="1" x14ac:dyDescent="0.4">
      <c r="A156" s="56" t="s">
        <v>608</v>
      </c>
      <c r="B156" s="71"/>
      <c r="C156" s="71"/>
      <c r="D156" s="71"/>
      <c r="E156" s="71">
        <v>9.9</v>
      </c>
      <c r="F156" s="71">
        <v>9.6999999999999993</v>
      </c>
      <c r="G156" s="71">
        <v>6.6</v>
      </c>
      <c r="H156" s="71">
        <v>8.1999999999999993</v>
      </c>
      <c r="I156" s="71">
        <v>2.6</v>
      </c>
      <c r="J156" s="71">
        <v>6.9</v>
      </c>
      <c r="K156" s="71">
        <v>8</v>
      </c>
    </row>
    <row r="157" spans="1:11" ht="15" customHeight="1" x14ac:dyDescent="0.4">
      <c r="A157" s="54" t="s">
        <v>609</v>
      </c>
      <c r="B157" s="55"/>
      <c r="C157" s="55"/>
      <c r="D157" s="55"/>
      <c r="E157" s="55"/>
      <c r="F157" s="55"/>
      <c r="G157" s="55"/>
      <c r="H157" s="55"/>
      <c r="I157" s="55"/>
      <c r="J157" s="55"/>
      <c r="K157" s="55"/>
    </row>
    <row r="158" spans="1:11" ht="15" customHeight="1" x14ac:dyDescent="0.4">
      <c r="A158" s="56" t="s">
        <v>610</v>
      </c>
      <c r="B158" s="57">
        <v>285.10000000000002</v>
      </c>
      <c r="C158" s="57">
        <v>374.4</v>
      </c>
      <c r="D158" s="57">
        <v>657.5</v>
      </c>
      <c r="E158" s="57">
        <v>429</v>
      </c>
      <c r="F158" s="57">
        <v>494.6</v>
      </c>
      <c r="G158" s="57">
        <v>299.2</v>
      </c>
      <c r="H158" s="57">
        <v>687</v>
      </c>
      <c r="I158" s="57">
        <v>284.7</v>
      </c>
      <c r="J158" s="57">
        <v>530.70000000000005</v>
      </c>
      <c r="K158" s="57">
        <v>584.5</v>
      </c>
    </row>
    <row r="159" spans="1:11" ht="15" customHeight="1" x14ac:dyDescent="0.4">
      <c r="A159" s="56" t="s">
        <v>611</v>
      </c>
      <c r="B159" s="57">
        <v>285.2</v>
      </c>
      <c r="C159" s="57">
        <v>374.4</v>
      </c>
      <c r="D159" s="57">
        <v>657.5</v>
      </c>
      <c r="E159" s="57">
        <v>429</v>
      </c>
      <c r="F159" s="57">
        <v>494.6</v>
      </c>
      <c r="G159" s="57">
        <v>299.2</v>
      </c>
      <c r="H159" s="57">
        <v>687</v>
      </c>
      <c r="I159" s="57">
        <v>284.7</v>
      </c>
      <c r="J159" s="57">
        <v>530.70000000000005</v>
      </c>
      <c r="K159" s="57">
        <v>584.5</v>
      </c>
    </row>
    <row r="160" spans="1:11" ht="15" customHeight="1" x14ac:dyDescent="0.4">
      <c r="A160" s="56" t="s">
        <v>612</v>
      </c>
      <c r="B160" s="57">
        <v>281.2</v>
      </c>
      <c r="C160" s="57">
        <v>373.8</v>
      </c>
      <c r="D160" s="57">
        <v>655.9</v>
      </c>
      <c r="E160" s="57">
        <v>427.3</v>
      </c>
      <c r="F160" s="57">
        <v>504.6</v>
      </c>
      <c r="G160" s="57">
        <v>303.60000000000002</v>
      </c>
      <c r="H160" s="57">
        <v>687.3</v>
      </c>
      <c r="I160" s="57">
        <v>276.89999999999998</v>
      </c>
      <c r="J160" s="57">
        <v>522.1</v>
      </c>
      <c r="K160" s="57">
        <v>575.5</v>
      </c>
    </row>
    <row r="161" spans="1:11" ht="15" customHeight="1" x14ac:dyDescent="0.4">
      <c r="A161" s="56" t="s">
        <v>613</v>
      </c>
      <c r="B161" s="57">
        <v>440</v>
      </c>
      <c r="C161" s="57">
        <v>518.4</v>
      </c>
      <c r="D161" s="57">
        <v>752.6</v>
      </c>
      <c r="E161" s="57">
        <v>636.29999999999995</v>
      </c>
      <c r="F161" s="57">
        <v>725.2</v>
      </c>
      <c r="G161" s="57">
        <v>430.7</v>
      </c>
      <c r="H161" s="57">
        <v>894.4</v>
      </c>
      <c r="I161" s="57">
        <v>351</v>
      </c>
      <c r="J161" s="57">
        <v>814.9</v>
      </c>
      <c r="K161" s="57">
        <v>978</v>
      </c>
    </row>
    <row r="162" spans="1:11" ht="15" customHeight="1" x14ac:dyDescent="0.4">
      <c r="A162" s="56" t="s">
        <v>614</v>
      </c>
      <c r="B162" s="57">
        <v>837.3</v>
      </c>
      <c r="C162" s="57">
        <v>973.1</v>
      </c>
      <c r="D162" s="57">
        <v>1374</v>
      </c>
      <c r="E162" s="57">
        <v>1527.8</v>
      </c>
      <c r="F162" s="57">
        <v>1616.2</v>
      </c>
      <c r="G162" s="57">
        <v>1346.8</v>
      </c>
      <c r="H162" s="57">
        <v>1833.3</v>
      </c>
      <c r="I162" s="57">
        <v>1364.3</v>
      </c>
      <c r="J162" s="57">
        <v>1861.4</v>
      </c>
      <c r="K162" s="57">
        <v>2088.8000000000002</v>
      </c>
    </row>
    <row r="163" spans="1:11" ht="15" customHeight="1" x14ac:dyDescent="0.4">
      <c r="A163" s="54" t="s">
        <v>615</v>
      </c>
      <c r="B163" s="55"/>
      <c r="C163" s="55"/>
      <c r="D163" s="55"/>
      <c r="E163" s="55"/>
      <c r="F163" s="55"/>
      <c r="G163" s="55"/>
      <c r="H163" s="55"/>
      <c r="I163" s="55"/>
      <c r="J163" s="55"/>
      <c r="K163" s="55"/>
    </row>
    <row r="164" spans="1:11" ht="15" customHeight="1" x14ac:dyDescent="0.4">
      <c r="A164" s="56" t="s">
        <v>616</v>
      </c>
      <c r="B164" s="61"/>
      <c r="C164" s="61"/>
      <c r="D164" s="61"/>
      <c r="E164" s="61"/>
      <c r="F164" s="61"/>
      <c r="G164" s="61"/>
      <c r="H164" s="59">
        <v>5.9</v>
      </c>
      <c r="I164" s="62">
        <v>-34.5</v>
      </c>
      <c r="J164" s="62">
        <v>-79.7</v>
      </c>
      <c r="K164" s="62">
        <v>-45.8</v>
      </c>
    </row>
    <row r="165" spans="1:11" ht="15" customHeight="1" x14ac:dyDescent="0.4">
      <c r="A165" s="54" t="s">
        <v>617</v>
      </c>
      <c r="B165" s="55"/>
      <c r="C165" s="55"/>
      <c r="D165" s="55"/>
      <c r="E165" s="55"/>
      <c r="F165" s="55"/>
      <c r="G165" s="55"/>
      <c r="H165" s="55"/>
      <c r="I165" s="55"/>
      <c r="J165" s="55"/>
      <c r="K165" s="55"/>
    </row>
    <row r="166" spans="1:11" ht="15" customHeight="1" x14ac:dyDescent="0.4">
      <c r="A166" s="56" t="s">
        <v>618</v>
      </c>
      <c r="B166" s="61"/>
      <c r="C166" s="61"/>
      <c r="D166" s="61"/>
      <c r="E166" s="61"/>
      <c r="F166" s="61"/>
      <c r="G166" s="61"/>
      <c r="H166" s="61"/>
      <c r="I166" s="61"/>
      <c r="J166" s="61"/>
      <c r="K166" s="61"/>
    </row>
    <row r="167" spans="1:11" ht="15" customHeight="1" x14ac:dyDescent="0.4">
      <c r="A167" s="58" t="s">
        <v>619</v>
      </c>
      <c r="B167" s="61"/>
      <c r="C167" s="61"/>
      <c r="D167" s="61"/>
      <c r="E167" s="57">
        <v>502.3</v>
      </c>
      <c r="F167" s="57">
        <v>641</v>
      </c>
      <c r="G167" s="57">
        <v>636.70000000000005</v>
      </c>
      <c r="H167" s="57">
        <v>652</v>
      </c>
      <c r="I167" s="57">
        <v>687.1</v>
      </c>
      <c r="J167" s="57">
        <v>706.1</v>
      </c>
      <c r="K167" s="57">
        <v>750.3</v>
      </c>
    </row>
    <row r="168" spans="1:11" ht="15" customHeight="1" x14ac:dyDescent="0.4">
      <c r="A168" s="58" t="s">
        <v>620</v>
      </c>
      <c r="B168" s="61"/>
      <c r="C168" s="61"/>
      <c r="D168" s="61"/>
      <c r="E168" s="61"/>
      <c r="F168" s="59">
        <v>72.7</v>
      </c>
      <c r="G168" s="59">
        <v>67.400000000000006</v>
      </c>
      <c r="H168" s="59">
        <v>62.9</v>
      </c>
      <c r="I168" s="59">
        <v>86</v>
      </c>
      <c r="J168" s="57">
        <v>185</v>
      </c>
      <c r="K168" s="57">
        <v>254.4</v>
      </c>
    </row>
    <row r="169" spans="1:11" ht="15" customHeight="1" x14ac:dyDescent="0.4">
      <c r="A169" s="54" t="s">
        <v>431</v>
      </c>
      <c r="B169" s="55"/>
      <c r="C169" s="55"/>
      <c r="D169" s="55"/>
      <c r="E169" s="55"/>
      <c r="F169" s="55"/>
      <c r="G169" s="55"/>
      <c r="H169" s="55"/>
      <c r="I169" s="55"/>
      <c r="J169" s="55"/>
      <c r="K169" s="55"/>
    </row>
    <row r="170" spans="1:11" ht="15" customHeight="1" x14ac:dyDescent="0.4">
      <c r="A170" s="56" t="s">
        <v>621</v>
      </c>
      <c r="B170" s="57">
        <v>121.8</v>
      </c>
      <c r="C170" s="57">
        <v>125.9</v>
      </c>
      <c r="D170" s="61"/>
      <c r="E170" s="61"/>
      <c r="F170" s="61"/>
      <c r="G170" s="61"/>
      <c r="H170" s="61"/>
      <c r="I170" s="61"/>
      <c r="J170" s="61"/>
      <c r="K170" s="61"/>
    </row>
    <row r="171" spans="1:11" ht="15" customHeight="1" x14ac:dyDescent="0.4">
      <c r="A171" s="56" t="s">
        <v>622</v>
      </c>
      <c r="B171" s="57">
        <v>3601.7</v>
      </c>
      <c r="C171" s="57">
        <v>4034.6</v>
      </c>
      <c r="D171" s="57">
        <v>5699.1</v>
      </c>
      <c r="E171" s="57">
        <v>5898.1</v>
      </c>
      <c r="F171" s="57">
        <v>6474.6</v>
      </c>
      <c r="G171" s="57">
        <v>6296.8</v>
      </c>
      <c r="H171" s="57">
        <v>7770.7</v>
      </c>
      <c r="I171" s="57">
        <v>9011.5</v>
      </c>
      <c r="J171" s="57">
        <v>8652.5</v>
      </c>
      <c r="K171" s="57">
        <v>8409.7000000000007</v>
      </c>
    </row>
    <row r="172" spans="1:11" ht="15" customHeight="1" x14ac:dyDescent="0.4">
      <c r="A172" s="56" t="s">
        <v>623</v>
      </c>
      <c r="B172" s="57">
        <v>3601.7</v>
      </c>
      <c r="C172" s="57">
        <v>3977.6</v>
      </c>
      <c r="D172" s="57">
        <v>5630.1</v>
      </c>
      <c r="E172" s="57">
        <v>5821.5</v>
      </c>
      <c r="F172" s="57">
        <v>6474.6</v>
      </c>
      <c r="G172" s="57">
        <v>6296.8</v>
      </c>
      <c r="H172" s="57">
        <v>7670.8</v>
      </c>
      <c r="I172" s="57">
        <v>8898.9</v>
      </c>
      <c r="J172" s="57">
        <v>8534.9</v>
      </c>
      <c r="K172" s="57">
        <v>8293.5</v>
      </c>
    </row>
    <row r="173" spans="1:11" ht="15" customHeight="1" x14ac:dyDescent="0.4">
      <c r="A173" s="56" t="s">
        <v>624</v>
      </c>
      <c r="B173" s="59">
        <v>90.5</v>
      </c>
      <c r="C173" s="59">
        <v>87.3</v>
      </c>
      <c r="D173" s="59">
        <v>89.4</v>
      </c>
      <c r="E173" s="57">
        <v>107.4</v>
      </c>
      <c r="F173" s="57">
        <v>105.7</v>
      </c>
      <c r="G173" s="59">
        <v>99.6</v>
      </c>
      <c r="H173" s="59">
        <v>87.5</v>
      </c>
      <c r="I173" s="57">
        <v>114.7</v>
      </c>
      <c r="J173" s="57">
        <v>240.8</v>
      </c>
      <c r="K173" s="57">
        <v>313.2</v>
      </c>
    </row>
    <row r="174" spans="1:11" ht="15" customHeight="1" x14ac:dyDescent="0.4">
      <c r="A174" s="56" t="s">
        <v>475</v>
      </c>
      <c r="B174" s="57">
        <v>4646.2</v>
      </c>
      <c r="C174" s="57">
        <v>5053.8</v>
      </c>
      <c r="D174" s="57">
        <v>6882.3</v>
      </c>
      <c r="E174" s="57">
        <v>7334.3</v>
      </c>
      <c r="F174" s="57">
        <v>8050.8</v>
      </c>
      <c r="G174" s="57">
        <v>7843.9</v>
      </c>
      <c r="H174" s="57">
        <v>9387.5</v>
      </c>
      <c r="I174" s="61">
        <v>10842.8</v>
      </c>
      <c r="J174" s="61">
        <v>10647.2</v>
      </c>
      <c r="K174" s="61">
        <v>10576.5</v>
      </c>
    </row>
    <row r="175" spans="1:11" ht="15" customHeight="1" x14ac:dyDescent="0.4">
      <c r="A175" s="56" t="s">
        <v>625</v>
      </c>
      <c r="B175" s="57">
        <v>973.9</v>
      </c>
      <c r="C175" s="57">
        <v>1052.7</v>
      </c>
      <c r="D175" s="57">
        <v>1286.4000000000001</v>
      </c>
      <c r="E175" s="57">
        <v>1352.6</v>
      </c>
      <c r="F175" s="57">
        <v>1487.1</v>
      </c>
      <c r="G175" s="57">
        <v>1470.2</v>
      </c>
      <c r="H175" s="57">
        <v>1585.2</v>
      </c>
      <c r="I175" s="57">
        <v>1774.6</v>
      </c>
      <c r="J175" s="57">
        <v>1904.2</v>
      </c>
      <c r="K175" s="57">
        <v>2041.4</v>
      </c>
    </row>
    <row r="176" spans="1:11" ht="15" customHeight="1" x14ac:dyDescent="0.4">
      <c r="A176" s="54" t="s">
        <v>467</v>
      </c>
      <c r="B176" s="55"/>
      <c r="C176" s="55"/>
      <c r="D176" s="55"/>
      <c r="E176" s="55"/>
      <c r="F176" s="55"/>
      <c r="G176" s="55"/>
      <c r="H176" s="55"/>
      <c r="I176" s="55"/>
      <c r="J176" s="55"/>
      <c r="K176" s="55"/>
    </row>
    <row r="177" spans="1:11" ht="15" customHeight="1" x14ac:dyDescent="0.4">
      <c r="A177" s="56" t="s">
        <v>626</v>
      </c>
      <c r="B177" s="61">
        <v>23129</v>
      </c>
      <c r="C177" s="61">
        <v>24957</v>
      </c>
      <c r="D177" s="61">
        <v>31064</v>
      </c>
      <c r="E177" s="61">
        <v>32524</v>
      </c>
      <c r="F177" s="61">
        <v>34002</v>
      </c>
      <c r="G177" s="61">
        <v>35563</v>
      </c>
      <c r="H177" s="61">
        <v>37954</v>
      </c>
      <c r="I177" s="61">
        <v>40781</v>
      </c>
      <c r="J177" s="61">
        <v>41552</v>
      </c>
      <c r="K177" s="61">
        <v>42439</v>
      </c>
    </row>
    <row r="179" spans="1:11" x14ac:dyDescent="0.4">
      <c r="A179" s="63" t="s">
        <v>491</v>
      </c>
      <c r="B179" s="64">
        <v>451.7</v>
      </c>
      <c r="C179" s="95">
        <f>B179-B193</f>
        <v>57.399999999999977</v>
      </c>
    </row>
    <row r="180" spans="1:11" x14ac:dyDescent="0.4">
      <c r="A180" s="54" t="s">
        <v>492</v>
      </c>
      <c r="B180" s="93">
        <f>SUM(B181,B188,B189,B190)</f>
        <v>-57.400000000000006</v>
      </c>
      <c r="C180" s="44">
        <f>SUM(C181:C193)</f>
        <v>-57.400000000000006</v>
      </c>
    </row>
    <row r="181" spans="1:11" x14ac:dyDescent="0.4">
      <c r="A181" s="56" t="s">
        <v>493</v>
      </c>
      <c r="B181" s="67">
        <v>-104.6</v>
      </c>
    </row>
    <row r="182" spans="1:11" x14ac:dyDescent="0.4">
      <c r="A182" s="58" t="s">
        <v>494</v>
      </c>
      <c r="B182" s="59">
        <v>45.7</v>
      </c>
      <c r="C182" s="94">
        <f>-B182</f>
        <v>-45.7</v>
      </c>
    </row>
    <row r="183" spans="1:11" x14ac:dyDescent="0.4">
      <c r="A183" s="60" t="s">
        <v>495</v>
      </c>
      <c r="B183" s="59">
        <v>44.8</v>
      </c>
    </row>
    <row r="184" spans="1:11" x14ac:dyDescent="0.4">
      <c r="A184" s="60" t="s">
        <v>496</v>
      </c>
      <c r="B184" s="59">
        <v>90.5</v>
      </c>
    </row>
    <row r="185" spans="1:11" x14ac:dyDescent="0.4">
      <c r="A185" s="58" t="s">
        <v>497</v>
      </c>
      <c r="B185" s="62">
        <v>-58.9</v>
      </c>
      <c r="C185" s="94">
        <f>B185</f>
        <v>-58.9</v>
      </c>
    </row>
    <row r="186" spans="1:11" x14ac:dyDescent="0.4">
      <c r="A186" s="60" t="s">
        <v>498</v>
      </c>
      <c r="B186" s="62">
        <v>-13.2</v>
      </c>
    </row>
    <row r="187" spans="1:11" x14ac:dyDescent="0.4">
      <c r="A187" s="60" t="s">
        <v>499</v>
      </c>
      <c r="B187" s="62">
        <v>-45.7</v>
      </c>
    </row>
    <row r="188" spans="1:11" x14ac:dyDescent="0.4">
      <c r="A188" s="56" t="s">
        <v>500</v>
      </c>
      <c r="B188" s="59">
        <v>2.2999999999999998</v>
      </c>
      <c r="C188" s="94">
        <f>B188</f>
        <v>2.2999999999999998</v>
      </c>
    </row>
    <row r="189" spans="1:11" x14ac:dyDescent="0.4">
      <c r="A189" s="56" t="s">
        <v>501</v>
      </c>
      <c r="B189" s="59">
        <v>10.6</v>
      </c>
      <c r="C189" s="94">
        <f>B189</f>
        <v>10.6</v>
      </c>
    </row>
    <row r="190" spans="1:11" x14ac:dyDescent="0.4">
      <c r="A190" s="56" t="s">
        <v>502</v>
      </c>
      <c r="B190" s="59">
        <v>34.299999999999997</v>
      </c>
      <c r="C190" s="94">
        <f>B190</f>
        <v>34.299999999999997</v>
      </c>
    </row>
    <row r="191" spans="1:11" x14ac:dyDescent="0.4">
      <c r="A191" s="58" t="s">
        <v>503</v>
      </c>
      <c r="B191" s="59">
        <v>1.3</v>
      </c>
    </row>
    <row r="192" spans="1:11" x14ac:dyDescent="0.4">
      <c r="A192" s="58" t="s">
        <v>504</v>
      </c>
      <c r="B192" s="59">
        <v>33</v>
      </c>
    </row>
    <row r="193" spans="1:2" x14ac:dyDescent="0.4">
      <c r="A193" s="56" t="s">
        <v>505</v>
      </c>
      <c r="B193" s="57">
        <v>394.3</v>
      </c>
    </row>
  </sheetData>
  <pageMargins left="0.5" right="0.5" top="1" bottom="1" header="0.5" footer="0.75"/>
  <pageSetup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B2D68-D3DD-456E-8712-C897464AFE67}">
  <sheetPr>
    <pageSetUpPr fitToPage="1"/>
  </sheetPr>
  <dimension ref="A1:L81"/>
  <sheetViews>
    <sheetView zoomScale="75" zoomScaleNormal="75" workbookViewId="0">
      <selection activeCell="S31" sqref="S31"/>
    </sheetView>
  </sheetViews>
  <sheetFormatPr defaultColWidth="9.3046875" defaultRowHeight="14.6" x14ac:dyDescent="0.4"/>
  <cols>
    <col min="1" max="1" width="85.69140625" style="44" customWidth="1"/>
    <col min="2" max="11" width="15.69140625" style="44" customWidth="1"/>
    <col min="12" max="16384" width="9.3046875" style="44"/>
  </cols>
  <sheetData>
    <row r="1" spans="1:11" ht="15" customHeight="1" thickBot="1" x14ac:dyDescent="0.45">
      <c r="A1" s="42" t="s">
        <v>627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ht="15" customHeight="1" thickTop="1" x14ac:dyDescent="0.4">
      <c r="A2" s="45" t="s">
        <v>209</v>
      </c>
      <c r="B2" s="46" t="s">
        <v>210</v>
      </c>
    </row>
    <row r="3" spans="1:11" x14ac:dyDescent="0.4">
      <c r="A3" s="45" t="s">
        <v>211</v>
      </c>
      <c r="B3" s="45" t="s">
        <v>212</v>
      </c>
    </row>
    <row r="4" spans="1:11" x14ac:dyDescent="0.4">
      <c r="A4" s="45" t="s">
        <v>213</v>
      </c>
      <c r="B4" s="45" t="s">
        <v>212</v>
      </c>
    </row>
    <row r="5" spans="1:11" x14ac:dyDescent="0.4">
      <c r="A5" s="45" t="s">
        <v>214</v>
      </c>
      <c r="B5" s="45" t="s">
        <v>215</v>
      </c>
    </row>
    <row r="6" spans="1:11" x14ac:dyDescent="0.4">
      <c r="A6" s="45" t="s">
        <v>216</v>
      </c>
      <c r="B6" s="45" t="s">
        <v>217</v>
      </c>
    </row>
    <row r="7" spans="1:11" x14ac:dyDescent="0.4">
      <c r="A7" s="45" t="s">
        <v>218</v>
      </c>
      <c r="B7" s="45" t="s">
        <v>219</v>
      </c>
    </row>
    <row r="8" spans="1:11" x14ac:dyDescent="0.4">
      <c r="A8" s="45" t="s">
        <v>220</v>
      </c>
      <c r="B8" s="45" t="s">
        <v>221</v>
      </c>
    </row>
    <row r="9" spans="1:11" x14ac:dyDescent="0.4">
      <c r="A9" s="45" t="s">
        <v>222</v>
      </c>
      <c r="B9" s="45" t="s">
        <v>223</v>
      </c>
    </row>
    <row r="10" spans="1:11" x14ac:dyDescent="0.4">
      <c r="A10" s="45" t="s">
        <v>224</v>
      </c>
      <c r="B10" s="47">
        <v>46010.540722453698</v>
      </c>
    </row>
    <row r="11" spans="1:11" x14ac:dyDescent="0.4">
      <c r="A11" s="48" t="s">
        <v>225</v>
      </c>
      <c r="B11" s="49" t="s">
        <v>226</v>
      </c>
      <c r="C11" s="49" t="s">
        <v>227</v>
      </c>
      <c r="D11" s="49" t="s">
        <v>228</v>
      </c>
      <c r="E11" s="49" t="s">
        <v>229</v>
      </c>
      <c r="F11" s="49" t="s">
        <v>230</v>
      </c>
      <c r="G11" s="49" t="s">
        <v>231</v>
      </c>
      <c r="H11" s="49" t="s">
        <v>232</v>
      </c>
      <c r="I11" s="49" t="s">
        <v>233</v>
      </c>
      <c r="J11" s="49" t="s">
        <v>234</v>
      </c>
      <c r="K11" s="49" t="s">
        <v>187</v>
      </c>
    </row>
    <row r="12" spans="1:11" ht="15" customHeight="1" x14ac:dyDescent="0.4">
      <c r="A12" s="50" t="s">
        <v>235</v>
      </c>
      <c r="B12" s="51">
        <v>42369</v>
      </c>
      <c r="C12" s="51">
        <v>42735</v>
      </c>
      <c r="D12" s="51">
        <v>43100</v>
      </c>
      <c r="E12" s="51">
        <v>43465</v>
      </c>
      <c r="F12" s="51">
        <v>43830</v>
      </c>
      <c r="G12" s="51">
        <v>44196</v>
      </c>
      <c r="H12" s="51">
        <v>44561</v>
      </c>
      <c r="I12" s="51">
        <v>44926</v>
      </c>
      <c r="J12" s="51">
        <v>45291</v>
      </c>
      <c r="K12" s="51">
        <v>45657</v>
      </c>
    </row>
    <row r="13" spans="1:11" ht="15" customHeight="1" x14ac:dyDescent="0.4">
      <c r="A13" s="50" t="s">
        <v>236</v>
      </c>
      <c r="B13" s="51" t="s">
        <v>237</v>
      </c>
      <c r="C13" s="51" t="s">
        <v>237</v>
      </c>
      <c r="D13" s="51" t="s">
        <v>237</v>
      </c>
      <c r="E13" s="51" t="s">
        <v>237</v>
      </c>
      <c r="F13" s="51" t="s">
        <v>237</v>
      </c>
      <c r="G13" s="51" t="s">
        <v>237</v>
      </c>
      <c r="H13" s="51" t="s">
        <v>237</v>
      </c>
      <c r="I13" s="51" t="s">
        <v>237</v>
      </c>
      <c r="J13" s="51" t="s">
        <v>237</v>
      </c>
      <c r="K13" s="51" t="s">
        <v>237</v>
      </c>
    </row>
    <row r="14" spans="1:11" x14ac:dyDescent="0.4">
      <c r="A14" s="52" t="s">
        <v>628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</row>
    <row r="15" spans="1:11" x14ac:dyDescent="0.4">
      <c r="A15" s="52" t="s">
        <v>239</v>
      </c>
      <c r="B15" s="53" t="s">
        <v>240</v>
      </c>
      <c r="C15" s="53" t="s">
        <v>241</v>
      </c>
      <c r="D15" s="53" t="s">
        <v>242</v>
      </c>
      <c r="E15" s="53" t="s">
        <v>243</v>
      </c>
      <c r="F15" s="53" t="s">
        <v>244</v>
      </c>
      <c r="G15" s="53" t="s">
        <v>245</v>
      </c>
      <c r="H15" s="53" t="s">
        <v>246</v>
      </c>
      <c r="I15" s="53" t="s">
        <v>247</v>
      </c>
      <c r="J15" s="53" t="s">
        <v>248</v>
      </c>
      <c r="K15" s="53" t="s">
        <v>249</v>
      </c>
    </row>
    <row r="16" spans="1:11" ht="15" customHeight="1" x14ac:dyDescent="0.4">
      <c r="A16" s="54" t="s">
        <v>629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</row>
    <row r="17" spans="1:12" ht="15" customHeight="1" x14ac:dyDescent="0.4">
      <c r="A17" s="56" t="s">
        <v>630</v>
      </c>
      <c r="B17" s="57">
        <v>422.8</v>
      </c>
      <c r="C17" s="57">
        <v>434.8</v>
      </c>
      <c r="D17" s="57">
        <v>561</v>
      </c>
      <c r="E17" s="57">
        <v>642.79999999999995</v>
      </c>
      <c r="F17" s="57">
        <v>716.6</v>
      </c>
      <c r="G17" s="57">
        <v>389.9</v>
      </c>
      <c r="H17" s="57">
        <v>794.8</v>
      </c>
      <c r="I17" s="57">
        <v>168.3</v>
      </c>
      <c r="J17" s="57">
        <v>660.6</v>
      </c>
      <c r="K17" s="57">
        <v>777.8</v>
      </c>
    </row>
    <row r="18" spans="1:12" ht="15" customHeight="1" x14ac:dyDescent="0.4">
      <c r="A18" s="56" t="s">
        <v>631</v>
      </c>
      <c r="B18" s="57">
        <v>387.6</v>
      </c>
      <c r="C18" s="57">
        <v>480.7</v>
      </c>
      <c r="D18" s="57">
        <v>636.9</v>
      </c>
      <c r="E18" s="57">
        <v>649.79999999999995</v>
      </c>
      <c r="F18" s="57">
        <v>687</v>
      </c>
      <c r="G18" s="57">
        <v>776</v>
      </c>
      <c r="H18" s="57">
        <v>759</v>
      </c>
      <c r="I18" s="57">
        <v>904.3</v>
      </c>
      <c r="J18" s="57">
        <v>886.2</v>
      </c>
      <c r="K18" s="57">
        <v>896.4</v>
      </c>
      <c r="L18" s="95"/>
    </row>
    <row r="19" spans="1:12" ht="15" customHeight="1" x14ac:dyDescent="0.4">
      <c r="A19" s="58" t="s">
        <v>632</v>
      </c>
      <c r="B19" s="61"/>
      <c r="C19" s="61"/>
      <c r="D19" s="61"/>
      <c r="E19" s="61"/>
      <c r="F19" s="61"/>
      <c r="G19" s="61"/>
      <c r="H19" s="61"/>
      <c r="I19" s="61"/>
      <c r="J19" s="61"/>
      <c r="K19" s="174">
        <v>-86.4</v>
      </c>
    </row>
    <row r="20" spans="1:12" ht="15" customHeight="1" x14ac:dyDescent="0.4">
      <c r="A20" s="58" t="s">
        <v>633</v>
      </c>
      <c r="B20" s="62">
        <v>-11.4</v>
      </c>
      <c r="C20" s="59">
        <v>24.3</v>
      </c>
      <c r="D20" s="67">
        <v>-259.5</v>
      </c>
      <c r="E20" s="67">
        <v>-246.9</v>
      </c>
      <c r="F20" s="67">
        <v>-207.4</v>
      </c>
      <c r="G20" s="67">
        <v>-156.9</v>
      </c>
      <c r="H20" s="67">
        <v>-176.6</v>
      </c>
      <c r="I20" s="67">
        <v>-124.3</v>
      </c>
      <c r="J20" s="67">
        <v>-160.9</v>
      </c>
      <c r="K20" s="175">
        <v>-150.80000000000001</v>
      </c>
    </row>
    <row r="21" spans="1:12" ht="15" customHeight="1" x14ac:dyDescent="0.4">
      <c r="A21" s="58" t="s">
        <v>634</v>
      </c>
      <c r="B21" s="57">
        <v>401.4</v>
      </c>
      <c r="C21" s="57">
        <v>454.7</v>
      </c>
      <c r="D21" s="57">
        <v>896.6</v>
      </c>
      <c r="E21" s="57">
        <v>897.9</v>
      </c>
      <c r="F21" s="57">
        <v>898</v>
      </c>
      <c r="G21" s="57">
        <v>937.8</v>
      </c>
      <c r="H21" s="57">
        <v>940.9</v>
      </c>
      <c r="I21" s="57">
        <v>1033.5</v>
      </c>
      <c r="J21" s="57">
        <v>1053</v>
      </c>
      <c r="K21" s="176">
        <v>1139.2</v>
      </c>
    </row>
    <row r="22" spans="1:12" ht="15" customHeight="1" x14ac:dyDescent="0.4">
      <c r="A22" s="58" t="s">
        <v>635</v>
      </c>
      <c r="B22" s="62">
        <v>-2.4</v>
      </c>
      <c r="C22" s="59">
        <v>1.7</v>
      </c>
      <c r="D22" s="62">
        <v>-0.2</v>
      </c>
      <c r="E22" s="62">
        <v>-1.2</v>
      </c>
      <c r="F22" s="62">
        <v>-3.6</v>
      </c>
      <c r="G22" s="62">
        <v>-4.9000000000000004</v>
      </c>
      <c r="H22" s="62">
        <v>-5.3</v>
      </c>
      <c r="I22" s="62">
        <v>-4.9000000000000004</v>
      </c>
      <c r="J22" s="62">
        <v>-5.9</v>
      </c>
      <c r="K22" s="174">
        <v>-5.6</v>
      </c>
    </row>
    <row r="23" spans="1:12" ht="15" customHeight="1" x14ac:dyDescent="0.4">
      <c r="A23" s="56" t="s">
        <v>636</v>
      </c>
      <c r="B23" s="59">
        <v>84.8</v>
      </c>
      <c r="C23" s="57">
        <v>108.7</v>
      </c>
      <c r="D23" s="57">
        <v>136.30000000000001</v>
      </c>
      <c r="E23" s="57">
        <v>193.2</v>
      </c>
      <c r="F23" s="57">
        <v>191.6</v>
      </c>
      <c r="G23" s="57">
        <v>216.8</v>
      </c>
      <c r="H23" s="57">
        <v>201.4</v>
      </c>
      <c r="I23" s="57">
        <v>160</v>
      </c>
      <c r="J23" s="57">
        <v>180</v>
      </c>
      <c r="K23" s="57">
        <v>302.89999999999998</v>
      </c>
    </row>
    <row r="24" spans="1:12" ht="15" customHeight="1" x14ac:dyDescent="0.4">
      <c r="A24" s="56" t="s">
        <v>637</v>
      </c>
      <c r="B24" s="59">
        <v>56</v>
      </c>
      <c r="C24" s="59">
        <v>99.5</v>
      </c>
      <c r="D24" s="57">
        <v>174.5</v>
      </c>
      <c r="E24" s="57">
        <v>161.9</v>
      </c>
      <c r="F24" s="57">
        <v>167</v>
      </c>
      <c r="G24" s="57">
        <v>185.1</v>
      </c>
      <c r="H24" s="57">
        <v>182.2</v>
      </c>
      <c r="I24" s="57">
        <v>187.5</v>
      </c>
      <c r="J24" s="57">
        <v>295.89999999999998</v>
      </c>
      <c r="K24" s="57">
        <v>103.9</v>
      </c>
    </row>
    <row r="25" spans="1:12" ht="15" customHeight="1" x14ac:dyDescent="0.4">
      <c r="A25" s="56" t="s">
        <v>638</v>
      </c>
      <c r="B25" s="59">
        <v>25.3</v>
      </c>
      <c r="C25" s="59">
        <v>17.600000000000001</v>
      </c>
      <c r="D25" s="59">
        <v>16.8</v>
      </c>
      <c r="E25" s="59">
        <v>16.7</v>
      </c>
      <c r="F25" s="59">
        <v>15.3</v>
      </c>
      <c r="G25" s="59">
        <v>7.1</v>
      </c>
      <c r="H25" s="59">
        <v>10.8</v>
      </c>
      <c r="I25" s="59">
        <v>15</v>
      </c>
      <c r="J25" s="59">
        <v>19.600000000000001</v>
      </c>
      <c r="K25" s="59">
        <v>22.9</v>
      </c>
    </row>
    <row r="26" spans="1:12" ht="15" customHeight="1" x14ac:dyDescent="0.4">
      <c r="A26" s="56" t="s">
        <v>639</v>
      </c>
      <c r="B26" s="57">
        <v>694.9</v>
      </c>
      <c r="C26" s="57">
        <v>724.9</v>
      </c>
      <c r="D26" s="57">
        <v>903.9</v>
      </c>
      <c r="E26" s="57">
        <v>954.2</v>
      </c>
      <c r="F26" s="57">
        <v>1060.3</v>
      </c>
      <c r="G26" s="57">
        <v>771.1</v>
      </c>
      <c r="H26" s="57">
        <v>1181</v>
      </c>
      <c r="I26" s="57">
        <v>740.1</v>
      </c>
      <c r="J26" s="57">
        <v>1090.5</v>
      </c>
      <c r="K26" s="176">
        <v>1290.3</v>
      </c>
    </row>
    <row r="27" spans="1:12" ht="15" customHeight="1" x14ac:dyDescent="0.4">
      <c r="A27" s="56" t="s">
        <v>640</v>
      </c>
      <c r="B27" s="67">
        <v>-270.60000000000002</v>
      </c>
      <c r="C27" s="67">
        <v>-392.5</v>
      </c>
      <c r="D27" s="67">
        <v>-349.7</v>
      </c>
      <c r="E27" s="67">
        <v>-333.9</v>
      </c>
      <c r="F27" s="67">
        <v>-365.7</v>
      </c>
      <c r="G27" s="67">
        <v>-421.9</v>
      </c>
      <c r="H27" s="67">
        <v>-470.8</v>
      </c>
      <c r="I27" s="67">
        <v>-1258.5</v>
      </c>
      <c r="J27" s="67">
        <v>-161.9</v>
      </c>
      <c r="K27" s="67">
        <v>-200.7</v>
      </c>
    </row>
    <row r="28" spans="1:12" ht="15" customHeight="1" x14ac:dyDescent="0.4">
      <c r="A28" s="58" t="s">
        <v>641</v>
      </c>
      <c r="B28" s="62">
        <v>-60.9</v>
      </c>
      <c r="C28" s="62">
        <v>-78.8</v>
      </c>
      <c r="D28" s="61"/>
      <c r="E28" s="61"/>
      <c r="F28" s="61"/>
      <c r="G28" s="61"/>
      <c r="H28" s="57">
        <v>356.4</v>
      </c>
      <c r="I28" s="67">
        <v>-590.9</v>
      </c>
      <c r="J28" s="62">
        <v>-22.3</v>
      </c>
      <c r="K28" s="59">
        <v>34.200000000000003</v>
      </c>
    </row>
    <row r="29" spans="1:12" ht="15" customHeight="1" x14ac:dyDescent="0.4">
      <c r="A29" s="58" t="s">
        <v>642</v>
      </c>
      <c r="B29" s="62">
        <v>-22.1</v>
      </c>
      <c r="C29" s="62">
        <v>-31.2</v>
      </c>
      <c r="D29" s="61"/>
      <c r="E29" s="61"/>
      <c r="F29" s="61"/>
      <c r="G29" s="61"/>
      <c r="H29" s="67">
        <v>-490.1</v>
      </c>
      <c r="I29" s="67">
        <v>-163.19999999999999</v>
      </c>
      <c r="J29" s="62">
        <v>-31.7</v>
      </c>
      <c r="K29" s="59">
        <v>93.8</v>
      </c>
    </row>
    <row r="30" spans="1:12" ht="15" customHeight="1" x14ac:dyDescent="0.4">
      <c r="A30" s="58" t="s">
        <v>643</v>
      </c>
      <c r="B30" s="59">
        <v>23.6</v>
      </c>
      <c r="C30" s="59">
        <v>4.7</v>
      </c>
      <c r="D30" s="62">
        <v>-4</v>
      </c>
      <c r="E30" s="62">
        <v>-19</v>
      </c>
      <c r="F30" s="59">
        <v>22.5</v>
      </c>
      <c r="G30" s="59">
        <v>59.8</v>
      </c>
      <c r="H30" s="59">
        <v>36.6</v>
      </c>
      <c r="I30" s="59">
        <v>30.9</v>
      </c>
      <c r="J30" s="59">
        <v>81.099999999999994</v>
      </c>
      <c r="K30" s="59">
        <v>19.3</v>
      </c>
    </row>
    <row r="31" spans="1:12" ht="15" customHeight="1" x14ac:dyDescent="0.4">
      <c r="A31" s="58" t="s">
        <v>644</v>
      </c>
      <c r="B31" s="67">
        <v>-211.2</v>
      </c>
      <c r="C31" s="67">
        <v>-287.2</v>
      </c>
      <c r="D31" s="67">
        <v>-345.7</v>
      </c>
      <c r="E31" s="67">
        <v>-314.89999999999998</v>
      </c>
      <c r="F31" s="67">
        <v>-388.2</v>
      </c>
      <c r="G31" s="67">
        <v>-481.7</v>
      </c>
      <c r="H31" s="67">
        <v>-373.7</v>
      </c>
      <c r="I31" s="67">
        <v>-535.29999999999995</v>
      </c>
      <c r="J31" s="67">
        <v>-189</v>
      </c>
      <c r="K31" s="67">
        <v>-348</v>
      </c>
    </row>
    <row r="32" spans="1:12" ht="15" customHeight="1" x14ac:dyDescent="0.4">
      <c r="A32" s="63" t="s">
        <v>645</v>
      </c>
      <c r="B32" s="64">
        <v>424.3</v>
      </c>
      <c r="C32" s="64">
        <v>332.4</v>
      </c>
      <c r="D32" s="64">
        <v>554.20000000000005</v>
      </c>
      <c r="E32" s="64">
        <v>620.29999999999995</v>
      </c>
      <c r="F32" s="64">
        <v>694.6</v>
      </c>
      <c r="G32" s="64">
        <v>349.2</v>
      </c>
      <c r="H32" s="64">
        <v>710.2</v>
      </c>
      <c r="I32" s="173">
        <v>-518.4</v>
      </c>
      <c r="J32" s="64">
        <v>928.6</v>
      </c>
      <c r="K32" s="64">
        <v>1089.5999999999999</v>
      </c>
    </row>
    <row r="33" spans="1:11" ht="15" customHeight="1" x14ac:dyDescent="0.4">
      <c r="A33" s="54" t="s">
        <v>646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</row>
    <row r="34" spans="1:11" ht="15" customHeight="1" x14ac:dyDescent="0.4">
      <c r="A34" s="56" t="s">
        <v>647</v>
      </c>
      <c r="B34" s="57">
        <v>128.5</v>
      </c>
      <c r="C34" s="57">
        <v>160.30000000000001</v>
      </c>
      <c r="D34" s="57">
        <v>214.3</v>
      </c>
      <c r="E34" s="57">
        <v>253.4</v>
      </c>
      <c r="F34" s="57">
        <v>283.8</v>
      </c>
      <c r="G34" s="57">
        <v>278.10000000000002</v>
      </c>
      <c r="H34" s="57">
        <v>317</v>
      </c>
      <c r="I34" s="57">
        <v>375.2</v>
      </c>
      <c r="J34" s="57">
        <v>427.6</v>
      </c>
      <c r="K34" s="57">
        <v>453.7</v>
      </c>
    </row>
    <row r="35" spans="1:11" ht="15" customHeight="1" x14ac:dyDescent="0.4">
      <c r="A35" s="58" t="s">
        <v>648</v>
      </c>
      <c r="B35" s="57">
        <v>142.6</v>
      </c>
      <c r="C35" s="57">
        <v>166.7</v>
      </c>
      <c r="D35" s="57">
        <v>218.3</v>
      </c>
      <c r="E35" s="57">
        <v>258.5</v>
      </c>
      <c r="F35" s="57">
        <v>287.39999999999998</v>
      </c>
      <c r="G35" s="57">
        <v>283.8</v>
      </c>
      <c r="H35" s="57">
        <v>333.8</v>
      </c>
      <c r="I35" s="57">
        <v>382.7</v>
      </c>
      <c r="J35" s="57">
        <v>442.8</v>
      </c>
      <c r="K35" s="57">
        <v>462.9</v>
      </c>
    </row>
    <row r="36" spans="1:11" ht="15" customHeight="1" x14ac:dyDescent="0.4">
      <c r="A36" s="56" t="s">
        <v>649</v>
      </c>
      <c r="B36" s="62">
        <v>-84.9</v>
      </c>
      <c r="C36" s="67">
        <v>-2118.6999999999998</v>
      </c>
      <c r="D36" s="62">
        <v>-13.3</v>
      </c>
      <c r="E36" s="62">
        <v>-1.6</v>
      </c>
      <c r="F36" s="62">
        <v>-10</v>
      </c>
      <c r="G36" s="67">
        <v>-133.5</v>
      </c>
      <c r="H36" s="62">
        <v>-17</v>
      </c>
      <c r="I36" s="62">
        <v>-4.9000000000000004</v>
      </c>
      <c r="J36" s="62">
        <v>-2.8</v>
      </c>
      <c r="K36" s="62">
        <v>-26.4</v>
      </c>
    </row>
    <row r="37" spans="1:11" ht="15" customHeight="1" x14ac:dyDescent="0.4">
      <c r="A37" s="58" t="s">
        <v>650</v>
      </c>
      <c r="B37" s="59">
        <v>84.9</v>
      </c>
      <c r="C37" s="57">
        <v>2118.6999999999998</v>
      </c>
      <c r="D37" s="59">
        <v>13.3</v>
      </c>
      <c r="E37" s="59">
        <v>1.6</v>
      </c>
      <c r="F37" s="59">
        <v>10</v>
      </c>
      <c r="G37" s="57">
        <v>133.5</v>
      </c>
      <c r="H37" s="59">
        <v>17</v>
      </c>
      <c r="I37" s="59">
        <v>4.9000000000000004</v>
      </c>
      <c r="J37" s="59">
        <v>2.8</v>
      </c>
      <c r="K37" s="59">
        <v>36.700000000000003</v>
      </c>
    </row>
    <row r="38" spans="1:11" ht="15" customHeight="1" x14ac:dyDescent="0.4">
      <c r="A38" s="58" t="s">
        <v>651</v>
      </c>
      <c r="B38" s="61"/>
      <c r="C38" s="61"/>
      <c r="D38" s="61"/>
      <c r="E38" s="61"/>
      <c r="F38" s="61"/>
      <c r="G38" s="61"/>
      <c r="H38" s="61"/>
      <c r="I38" s="61"/>
      <c r="J38" s="61"/>
      <c r="K38" s="59">
        <v>10.3</v>
      </c>
    </row>
    <row r="39" spans="1:11" ht="15" customHeight="1" x14ac:dyDescent="0.4">
      <c r="A39" s="56" t="s">
        <v>652</v>
      </c>
      <c r="B39" s="59">
        <v>77.400000000000006</v>
      </c>
      <c r="C39" s="61">
        <v>0</v>
      </c>
      <c r="D39" s="61"/>
      <c r="E39" s="61"/>
      <c r="F39" s="61"/>
      <c r="G39" s="61"/>
      <c r="H39" s="61"/>
      <c r="I39" s="61"/>
      <c r="J39" s="61"/>
      <c r="K39" s="61"/>
    </row>
    <row r="40" spans="1:11" ht="15" customHeight="1" x14ac:dyDescent="0.4">
      <c r="A40" s="56" t="s">
        <v>653</v>
      </c>
      <c r="B40" s="62">
        <v>-4.5</v>
      </c>
      <c r="C40" s="59">
        <v>5.0999999999999996</v>
      </c>
      <c r="D40" s="62">
        <v>-19.3</v>
      </c>
      <c r="E40" s="62">
        <v>-4.8</v>
      </c>
      <c r="F40" s="59">
        <v>3.7</v>
      </c>
      <c r="G40" s="62">
        <v>-0.3</v>
      </c>
      <c r="H40" s="62">
        <v>-12</v>
      </c>
      <c r="I40" s="62">
        <v>-0.1</v>
      </c>
      <c r="J40" s="62">
        <v>-8.3000000000000007</v>
      </c>
      <c r="K40" s="62">
        <v>-0.1</v>
      </c>
    </row>
    <row r="41" spans="1:11" ht="15" customHeight="1" x14ac:dyDescent="0.4">
      <c r="A41" s="63" t="s">
        <v>654</v>
      </c>
      <c r="B41" s="173">
        <v>-140.5</v>
      </c>
      <c r="C41" s="173">
        <v>-2273.9</v>
      </c>
      <c r="D41" s="173">
        <v>-246.9</v>
      </c>
      <c r="E41" s="173">
        <v>-259.8</v>
      </c>
      <c r="F41" s="173">
        <v>-290.10000000000002</v>
      </c>
      <c r="G41" s="173">
        <v>-411.9</v>
      </c>
      <c r="H41" s="173">
        <v>-346</v>
      </c>
      <c r="I41" s="173">
        <v>-380.2</v>
      </c>
      <c r="J41" s="173">
        <v>-438.7</v>
      </c>
      <c r="K41" s="173">
        <v>-480.2</v>
      </c>
    </row>
    <row r="42" spans="1:11" ht="15" customHeight="1" x14ac:dyDescent="0.4">
      <c r="A42" s="54" t="s">
        <v>655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</row>
    <row r="43" spans="1:11" ht="15" customHeight="1" x14ac:dyDescent="0.4">
      <c r="A43" s="56" t="s">
        <v>656</v>
      </c>
      <c r="B43" s="59">
        <v>54.3</v>
      </c>
      <c r="C43" s="59">
        <v>76</v>
      </c>
      <c r="D43" s="59">
        <v>86.9</v>
      </c>
      <c r="E43" s="57">
        <v>116.8</v>
      </c>
      <c r="F43" s="57">
        <v>141.5</v>
      </c>
      <c r="G43" s="59">
        <v>4.7</v>
      </c>
      <c r="H43" s="59">
        <v>53.7</v>
      </c>
      <c r="I43" s="57">
        <v>196.7</v>
      </c>
      <c r="J43" s="59">
        <v>24.9</v>
      </c>
      <c r="K43" s="59">
        <v>91.8</v>
      </c>
    </row>
    <row r="44" spans="1:11" ht="15" customHeight="1" x14ac:dyDescent="0.4">
      <c r="A44" s="58" t="s">
        <v>657</v>
      </c>
      <c r="B44" s="59">
        <v>54.3</v>
      </c>
      <c r="C44" s="59">
        <v>76</v>
      </c>
      <c r="D44" s="59">
        <v>86.9</v>
      </c>
      <c r="E44" s="57">
        <v>116.8</v>
      </c>
      <c r="F44" s="57">
        <v>141.5</v>
      </c>
      <c r="G44" s="59">
        <v>4.7</v>
      </c>
      <c r="H44" s="59">
        <v>53.7</v>
      </c>
      <c r="I44" s="57">
        <v>196.7</v>
      </c>
      <c r="J44" s="59">
        <v>24.9</v>
      </c>
      <c r="K44" s="59">
        <v>91.8</v>
      </c>
    </row>
    <row r="45" spans="1:11" ht="15" customHeight="1" x14ac:dyDescent="0.4">
      <c r="A45" s="56" t="s">
        <v>658</v>
      </c>
      <c r="B45" s="59">
        <v>0.4</v>
      </c>
      <c r="C45" s="57">
        <v>457.1</v>
      </c>
      <c r="D45" s="57">
        <v>596.6</v>
      </c>
      <c r="E45" s="62">
        <v>-1.9</v>
      </c>
      <c r="F45" s="59">
        <v>0.8</v>
      </c>
      <c r="G45" s="57">
        <v>813.6</v>
      </c>
      <c r="H45" s="61">
        <v>0</v>
      </c>
      <c r="I45" s="61"/>
      <c r="J45" s="61"/>
      <c r="K45" s="61"/>
    </row>
    <row r="46" spans="1:11" ht="15" customHeight="1" x14ac:dyDescent="0.4">
      <c r="A46" s="58" t="s">
        <v>659</v>
      </c>
      <c r="B46" s="59">
        <v>0.4</v>
      </c>
      <c r="C46" s="57">
        <v>457.1</v>
      </c>
      <c r="D46" s="57">
        <v>596.6</v>
      </c>
      <c r="E46" s="62">
        <v>-1.9</v>
      </c>
      <c r="F46" s="59">
        <v>0.8</v>
      </c>
      <c r="G46" s="57">
        <v>813.6</v>
      </c>
      <c r="H46" s="61">
        <v>0</v>
      </c>
      <c r="I46" s="61"/>
      <c r="J46" s="61"/>
      <c r="K46" s="61"/>
    </row>
    <row r="47" spans="1:11" ht="15" customHeight="1" x14ac:dyDescent="0.4">
      <c r="A47" s="60" t="s">
        <v>660</v>
      </c>
      <c r="B47" s="59">
        <v>0.4</v>
      </c>
      <c r="C47" s="57">
        <v>457.1</v>
      </c>
      <c r="D47" s="57">
        <v>596.6</v>
      </c>
      <c r="E47" s="62">
        <v>-1.9</v>
      </c>
      <c r="F47" s="59">
        <v>0.8</v>
      </c>
      <c r="G47" s="57">
        <v>813.6</v>
      </c>
      <c r="H47" s="61">
        <v>0</v>
      </c>
      <c r="I47" s="61"/>
      <c r="J47" s="61"/>
      <c r="K47" s="61"/>
    </row>
    <row r="48" spans="1:11" ht="15" customHeight="1" x14ac:dyDescent="0.4">
      <c r="A48" s="65" t="s">
        <v>661</v>
      </c>
      <c r="B48" s="59">
        <v>3.1</v>
      </c>
      <c r="C48" s="57">
        <v>459.9</v>
      </c>
      <c r="D48" s="57">
        <v>600.9</v>
      </c>
      <c r="E48" s="59">
        <v>1.7</v>
      </c>
      <c r="F48" s="59">
        <v>3.7</v>
      </c>
      <c r="G48" s="57">
        <v>813.6</v>
      </c>
      <c r="H48" s="61">
        <v>0</v>
      </c>
      <c r="I48" s="61"/>
      <c r="J48" s="61"/>
      <c r="K48" s="61"/>
    </row>
    <row r="49" spans="1:11" ht="15" customHeight="1" x14ac:dyDescent="0.4">
      <c r="A49" s="65" t="s">
        <v>662</v>
      </c>
      <c r="B49" s="59">
        <v>2.7</v>
      </c>
      <c r="C49" s="59">
        <v>2.8</v>
      </c>
      <c r="D49" s="59">
        <v>4.3</v>
      </c>
      <c r="E49" s="59">
        <v>3.6</v>
      </c>
      <c r="F49" s="59">
        <v>2.9</v>
      </c>
      <c r="G49" s="61">
        <v>0</v>
      </c>
      <c r="H49" s="61"/>
      <c r="I49" s="61"/>
      <c r="J49" s="61"/>
      <c r="K49" s="61"/>
    </row>
    <row r="50" spans="1:11" ht="15" customHeight="1" x14ac:dyDescent="0.4">
      <c r="A50" s="56" t="s">
        <v>663</v>
      </c>
      <c r="B50" s="59">
        <v>0.5</v>
      </c>
      <c r="C50" s="59">
        <v>0.3</v>
      </c>
      <c r="D50" s="59">
        <v>0.5</v>
      </c>
      <c r="E50" s="59">
        <v>0.6</v>
      </c>
      <c r="F50" s="61">
        <v>0</v>
      </c>
      <c r="G50" s="62">
        <v>-7.5</v>
      </c>
      <c r="H50" s="61">
        <v>0</v>
      </c>
      <c r="I50" s="61"/>
      <c r="J50" s="61"/>
      <c r="K50" s="61"/>
    </row>
    <row r="51" spans="1:11" ht="15" customHeight="1" x14ac:dyDescent="0.4">
      <c r="A51" s="56" t="s">
        <v>664</v>
      </c>
      <c r="B51" s="67">
        <v>-223.9</v>
      </c>
      <c r="C51" s="57">
        <v>1744</v>
      </c>
      <c r="D51" s="67">
        <v>-914.7</v>
      </c>
      <c r="E51" s="67">
        <v>-230.9</v>
      </c>
      <c r="F51" s="67">
        <v>-226.1</v>
      </c>
      <c r="G51" s="67">
        <v>-609.5</v>
      </c>
      <c r="H51" s="67">
        <v>-148.80000000000001</v>
      </c>
      <c r="I51" s="57">
        <v>942.4</v>
      </c>
      <c r="J51" s="67">
        <v>-474.2</v>
      </c>
      <c r="K51" s="59">
        <v>23.6</v>
      </c>
    </row>
    <row r="52" spans="1:11" ht="15" customHeight="1" x14ac:dyDescent="0.4">
      <c r="A52" s="58" t="s">
        <v>665</v>
      </c>
      <c r="B52" s="67">
        <v>-223.9</v>
      </c>
      <c r="C52" s="57">
        <v>1744</v>
      </c>
      <c r="D52" s="67">
        <v>-914.7</v>
      </c>
      <c r="E52" s="67">
        <v>-230.9</v>
      </c>
      <c r="F52" s="67">
        <v>-226.1</v>
      </c>
      <c r="G52" s="67">
        <v>-609.5</v>
      </c>
      <c r="H52" s="67">
        <v>-148.80000000000001</v>
      </c>
      <c r="I52" s="57">
        <v>942.4</v>
      </c>
      <c r="J52" s="67">
        <v>-474.2</v>
      </c>
      <c r="K52" s="59">
        <v>23.6</v>
      </c>
    </row>
    <row r="53" spans="1:11" ht="15" customHeight="1" x14ac:dyDescent="0.4">
      <c r="A53" s="60" t="s">
        <v>666</v>
      </c>
      <c r="B53" s="61"/>
      <c r="C53" s="61"/>
      <c r="D53" s="61"/>
      <c r="E53" s="61"/>
      <c r="F53" s="61"/>
      <c r="G53" s="61"/>
      <c r="H53" s="61"/>
      <c r="I53" s="61"/>
      <c r="J53" s="61"/>
      <c r="K53" s="67">
        <v>-147.30000000000001</v>
      </c>
    </row>
    <row r="54" spans="1:11" ht="15" customHeight="1" x14ac:dyDescent="0.4">
      <c r="A54" s="60" t="s">
        <v>667</v>
      </c>
      <c r="B54" s="57">
        <v>911</v>
      </c>
      <c r="C54" s="57">
        <v>4362.5</v>
      </c>
      <c r="D54" s="57">
        <v>2425.3000000000002</v>
      </c>
      <c r="E54" s="57">
        <v>1811.7</v>
      </c>
      <c r="F54" s="57">
        <v>2940.1</v>
      </c>
      <c r="G54" s="57">
        <v>3650.5</v>
      </c>
      <c r="H54" s="57">
        <v>623.9</v>
      </c>
      <c r="I54" s="57">
        <v>2699.7</v>
      </c>
      <c r="J54" s="57">
        <v>1147.5</v>
      </c>
      <c r="K54" s="57">
        <v>1016.6</v>
      </c>
    </row>
    <row r="55" spans="1:11" ht="15" customHeight="1" x14ac:dyDescent="0.4">
      <c r="A55" s="60" t="s">
        <v>668</v>
      </c>
      <c r="B55" s="57">
        <v>1134.9000000000001</v>
      </c>
      <c r="C55" s="57">
        <v>2618.5</v>
      </c>
      <c r="D55" s="57">
        <v>3340</v>
      </c>
      <c r="E55" s="57">
        <v>2042.6</v>
      </c>
      <c r="F55" s="57">
        <v>3166.2</v>
      </c>
      <c r="G55" s="57">
        <v>4260</v>
      </c>
      <c r="H55" s="57">
        <v>772.7</v>
      </c>
      <c r="I55" s="57">
        <v>1757.3</v>
      </c>
      <c r="J55" s="57">
        <v>1621.7</v>
      </c>
      <c r="K55" s="57">
        <v>993</v>
      </c>
    </row>
    <row r="56" spans="1:11" ht="15" customHeight="1" x14ac:dyDescent="0.4">
      <c r="A56" s="65" t="s">
        <v>669</v>
      </c>
      <c r="B56" s="61"/>
      <c r="C56" s="61"/>
      <c r="D56" s="61"/>
      <c r="E56" s="61"/>
      <c r="F56" s="61"/>
      <c r="G56" s="61"/>
      <c r="H56" s="61"/>
      <c r="I56" s="61"/>
      <c r="J56" s="61"/>
      <c r="K56" s="57">
        <v>147.30000000000001</v>
      </c>
    </row>
    <row r="57" spans="1:11" ht="15" customHeight="1" x14ac:dyDescent="0.4">
      <c r="A57" s="56" t="s">
        <v>670</v>
      </c>
      <c r="B57" s="62">
        <v>-2.9</v>
      </c>
      <c r="C57" s="62">
        <v>-7.6</v>
      </c>
      <c r="D57" s="59">
        <v>3</v>
      </c>
      <c r="E57" s="62">
        <v>-6.1</v>
      </c>
      <c r="F57" s="62">
        <v>-4.2</v>
      </c>
      <c r="G57" s="62">
        <v>-12.8</v>
      </c>
      <c r="H57" s="62">
        <v>-4</v>
      </c>
      <c r="I57" s="59">
        <v>0.1</v>
      </c>
      <c r="J57" s="59">
        <v>2.7</v>
      </c>
      <c r="K57" s="62">
        <v>-63.9</v>
      </c>
    </row>
    <row r="58" spans="1:11" ht="15" customHeight="1" x14ac:dyDescent="0.4">
      <c r="A58" s="63" t="s">
        <v>671</v>
      </c>
      <c r="B58" s="173">
        <v>-280.2</v>
      </c>
      <c r="C58" s="64">
        <v>2117.8000000000002</v>
      </c>
      <c r="D58" s="173">
        <v>-401.5</v>
      </c>
      <c r="E58" s="173">
        <v>-355.1</v>
      </c>
      <c r="F58" s="173">
        <v>-371</v>
      </c>
      <c r="G58" s="64">
        <v>179.1</v>
      </c>
      <c r="H58" s="173">
        <v>-206.5</v>
      </c>
      <c r="I58" s="64">
        <v>745.8</v>
      </c>
      <c r="J58" s="173">
        <v>-496.4</v>
      </c>
      <c r="K58" s="173">
        <v>-132.1</v>
      </c>
    </row>
    <row r="59" spans="1:11" ht="15" customHeight="1" x14ac:dyDescent="0.4">
      <c r="A59" s="54" t="s">
        <v>672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</row>
    <row r="60" spans="1:11" ht="15" customHeight="1" x14ac:dyDescent="0.4">
      <c r="A60" s="56" t="s">
        <v>673</v>
      </c>
      <c r="B60" s="61"/>
      <c r="C60" s="61"/>
      <c r="D60" s="61"/>
      <c r="E60" s="61"/>
      <c r="F60" s="61"/>
      <c r="G60" s="61"/>
      <c r="H60" s="61"/>
      <c r="I60" s="62">
        <v>-14.1</v>
      </c>
      <c r="J60" s="59">
        <v>5.2</v>
      </c>
      <c r="K60" s="61"/>
    </row>
    <row r="61" spans="1:11" ht="15" customHeight="1" x14ac:dyDescent="0.4">
      <c r="A61" s="54" t="s">
        <v>674</v>
      </c>
      <c r="B61" s="55"/>
      <c r="C61" s="55"/>
      <c r="D61" s="55"/>
      <c r="E61" s="55"/>
      <c r="F61" s="55"/>
      <c r="G61" s="55"/>
      <c r="H61" s="55"/>
      <c r="I61" s="55"/>
      <c r="J61" s="55"/>
      <c r="K61" s="55"/>
    </row>
    <row r="62" spans="1:11" ht="15" customHeight="1" x14ac:dyDescent="0.4">
      <c r="A62" s="56" t="s">
        <v>675</v>
      </c>
      <c r="B62" s="59">
        <v>0.5</v>
      </c>
      <c r="C62" s="59">
        <v>0.2</v>
      </c>
      <c r="D62" s="62">
        <v>-12.2</v>
      </c>
      <c r="E62" s="62">
        <v>-3.2</v>
      </c>
      <c r="F62" s="59">
        <v>2.4</v>
      </c>
      <c r="G62" s="62">
        <v>-13.1</v>
      </c>
      <c r="H62" s="59">
        <v>10.8</v>
      </c>
      <c r="I62" s="59">
        <v>2.1</v>
      </c>
      <c r="J62" s="62">
        <v>-5</v>
      </c>
      <c r="K62" s="62">
        <v>-2.1</v>
      </c>
    </row>
    <row r="63" spans="1:11" ht="15" customHeight="1" x14ac:dyDescent="0.4">
      <c r="A63" s="54" t="s">
        <v>676</v>
      </c>
      <c r="B63" s="55"/>
      <c r="C63" s="55"/>
      <c r="D63" s="55"/>
      <c r="E63" s="55"/>
      <c r="F63" s="55"/>
      <c r="G63" s="55"/>
      <c r="H63" s="55"/>
      <c r="I63" s="55"/>
      <c r="J63" s="55"/>
      <c r="K63" s="55"/>
    </row>
    <row r="64" spans="1:11" ht="15" customHeight="1" x14ac:dyDescent="0.4">
      <c r="A64" s="63" t="s">
        <v>677</v>
      </c>
      <c r="B64" s="68">
        <v>4.0999999999999996</v>
      </c>
      <c r="C64" s="64">
        <v>176.5</v>
      </c>
      <c r="D64" s="173">
        <v>-106.4</v>
      </c>
      <c r="E64" s="68">
        <v>2.2000000000000002</v>
      </c>
      <c r="F64" s="68">
        <v>35.9</v>
      </c>
      <c r="G64" s="64">
        <v>103.3</v>
      </c>
      <c r="H64" s="64">
        <v>168.5</v>
      </c>
      <c r="I64" s="173">
        <v>-164.8</v>
      </c>
      <c r="J64" s="69">
        <v>-6.3</v>
      </c>
      <c r="K64" s="64">
        <v>475.2</v>
      </c>
    </row>
    <row r="65" spans="1:11" ht="15" customHeight="1" x14ac:dyDescent="0.4">
      <c r="A65" s="58" t="s">
        <v>678</v>
      </c>
      <c r="B65" s="59">
        <v>4.0999999999999996</v>
      </c>
      <c r="C65" s="57">
        <v>176.5</v>
      </c>
      <c r="D65" s="67">
        <v>-106.4</v>
      </c>
      <c r="E65" s="59">
        <v>2.2000000000000002</v>
      </c>
      <c r="F65" s="59">
        <v>35.9</v>
      </c>
      <c r="G65" s="57">
        <v>103.3</v>
      </c>
      <c r="H65" s="57">
        <v>168.5</v>
      </c>
      <c r="I65" s="67">
        <v>-150.69999999999999</v>
      </c>
      <c r="J65" s="62">
        <v>-11.5</v>
      </c>
      <c r="K65" s="57">
        <v>475.2</v>
      </c>
    </row>
    <row r="66" spans="1:11" ht="15" customHeight="1" x14ac:dyDescent="0.4">
      <c r="A66" s="56" t="s">
        <v>679</v>
      </c>
      <c r="B66" s="59">
        <v>98.9</v>
      </c>
      <c r="C66" s="57">
        <v>103.1</v>
      </c>
      <c r="D66" s="57">
        <v>279.60000000000002</v>
      </c>
      <c r="E66" s="57">
        <v>173.2</v>
      </c>
      <c r="F66" s="57">
        <v>175.3</v>
      </c>
      <c r="G66" s="57">
        <v>211.2</v>
      </c>
      <c r="H66" s="57">
        <v>314.39999999999998</v>
      </c>
      <c r="I66" s="57">
        <v>483</v>
      </c>
      <c r="J66" s="57">
        <v>318.10000000000002</v>
      </c>
      <c r="K66" s="57">
        <v>311.8</v>
      </c>
    </row>
    <row r="67" spans="1:11" ht="15" customHeight="1" x14ac:dyDescent="0.4">
      <c r="A67" s="56" t="s">
        <v>680</v>
      </c>
      <c r="B67" s="57">
        <v>103.1</v>
      </c>
      <c r="C67" s="57">
        <v>279.60000000000002</v>
      </c>
      <c r="D67" s="57">
        <v>173.2</v>
      </c>
      <c r="E67" s="57">
        <v>175.3</v>
      </c>
      <c r="F67" s="57">
        <v>211.2</v>
      </c>
      <c r="G67" s="57">
        <v>314.39999999999998</v>
      </c>
      <c r="H67" s="57">
        <v>483</v>
      </c>
      <c r="I67" s="57">
        <v>318.10000000000002</v>
      </c>
      <c r="J67" s="57">
        <v>311.8</v>
      </c>
      <c r="K67" s="57">
        <v>787</v>
      </c>
    </row>
    <row r="68" spans="1:11" ht="15" customHeight="1" x14ac:dyDescent="0.4">
      <c r="A68" s="54" t="s">
        <v>681</v>
      </c>
      <c r="B68" s="55"/>
      <c r="C68" s="55"/>
      <c r="D68" s="55"/>
      <c r="E68" s="55"/>
      <c r="F68" s="55"/>
      <c r="G68" s="55"/>
      <c r="H68" s="55"/>
      <c r="I68" s="55"/>
      <c r="J68" s="55"/>
      <c r="K68" s="55"/>
    </row>
    <row r="69" spans="1:11" ht="15" customHeight="1" x14ac:dyDescent="0.4">
      <c r="A69" s="56" t="s">
        <v>682</v>
      </c>
      <c r="B69" s="59">
        <v>84.8</v>
      </c>
      <c r="C69" s="57">
        <v>108.7</v>
      </c>
      <c r="D69" s="57">
        <v>136.30000000000001</v>
      </c>
      <c r="E69" s="57">
        <v>193.2</v>
      </c>
      <c r="F69" s="57">
        <v>191.6</v>
      </c>
      <c r="G69" s="57">
        <v>216.8</v>
      </c>
      <c r="H69" s="57">
        <v>201.4</v>
      </c>
      <c r="I69" s="57">
        <v>160</v>
      </c>
      <c r="J69" s="57">
        <v>180</v>
      </c>
      <c r="K69" s="57">
        <v>302.89999999999998</v>
      </c>
    </row>
    <row r="70" spans="1:11" ht="15" customHeight="1" x14ac:dyDescent="0.4">
      <c r="A70" s="56" t="s">
        <v>683</v>
      </c>
      <c r="B70" s="59">
        <v>56</v>
      </c>
      <c r="C70" s="59">
        <v>99.5</v>
      </c>
      <c r="D70" s="57">
        <v>174.5</v>
      </c>
      <c r="E70" s="57">
        <v>161.9</v>
      </c>
      <c r="F70" s="57">
        <v>167</v>
      </c>
      <c r="G70" s="57">
        <v>185.1</v>
      </c>
      <c r="H70" s="57">
        <v>182.2</v>
      </c>
      <c r="I70" s="57">
        <v>187.5</v>
      </c>
      <c r="J70" s="57">
        <v>295.89999999999998</v>
      </c>
      <c r="K70" s="57">
        <v>103.9</v>
      </c>
    </row>
    <row r="71" spans="1:11" ht="15" customHeight="1" x14ac:dyDescent="0.4">
      <c r="A71" s="56" t="s">
        <v>684</v>
      </c>
      <c r="B71" s="61"/>
      <c r="C71" s="61"/>
      <c r="D71" s="57">
        <v>109</v>
      </c>
      <c r="E71" s="57">
        <v>114</v>
      </c>
      <c r="F71" s="57">
        <v>126.5</v>
      </c>
      <c r="G71" s="57">
        <v>133.30000000000001</v>
      </c>
      <c r="H71" s="57">
        <v>145.1</v>
      </c>
      <c r="I71" s="57">
        <v>151.69999999999999</v>
      </c>
      <c r="J71" s="57">
        <v>218.8</v>
      </c>
      <c r="K71" s="59">
        <v>27.8</v>
      </c>
    </row>
    <row r="72" spans="1:11" ht="15" customHeight="1" x14ac:dyDescent="0.4">
      <c r="A72" s="56" t="s">
        <v>685</v>
      </c>
      <c r="B72" s="59">
        <v>25.3</v>
      </c>
      <c r="C72" s="59">
        <v>17.600000000000001</v>
      </c>
      <c r="D72" s="59">
        <v>16.8</v>
      </c>
      <c r="E72" s="59">
        <v>16.7</v>
      </c>
      <c r="F72" s="59">
        <v>15.3</v>
      </c>
      <c r="G72" s="59">
        <v>7.1</v>
      </c>
      <c r="H72" s="59">
        <v>10.8</v>
      </c>
      <c r="I72" s="59">
        <v>15</v>
      </c>
      <c r="J72" s="59">
        <v>19.600000000000001</v>
      </c>
      <c r="K72" s="59">
        <v>22.9</v>
      </c>
    </row>
    <row r="73" spans="1:11" ht="15" customHeight="1" x14ac:dyDescent="0.4">
      <c r="A73" s="56" t="s">
        <v>686</v>
      </c>
      <c r="B73" s="57">
        <v>750.9</v>
      </c>
      <c r="C73" s="57">
        <v>824.4</v>
      </c>
      <c r="D73" s="57">
        <v>1078.4000000000001</v>
      </c>
      <c r="E73" s="57">
        <v>1116.0999999999999</v>
      </c>
      <c r="F73" s="57">
        <v>1227.3</v>
      </c>
      <c r="G73" s="57">
        <v>956.2</v>
      </c>
      <c r="H73" s="57">
        <v>1363.2</v>
      </c>
      <c r="I73" s="57">
        <v>927.6</v>
      </c>
      <c r="J73" s="57">
        <v>1386.4</v>
      </c>
      <c r="K73" s="57">
        <v>1394.2</v>
      </c>
    </row>
    <row r="74" spans="1:11" ht="15" customHeight="1" x14ac:dyDescent="0.4">
      <c r="A74" s="56" t="s">
        <v>687</v>
      </c>
      <c r="B74" s="61"/>
      <c r="C74" s="61"/>
      <c r="D74" s="61"/>
      <c r="E74" s="57">
        <v>519.9</v>
      </c>
      <c r="F74" s="57">
        <v>568.4</v>
      </c>
      <c r="G74" s="57">
        <v>120.9</v>
      </c>
      <c r="H74" s="57">
        <v>543.79999999999995</v>
      </c>
      <c r="I74" s="67">
        <v>-715.6</v>
      </c>
      <c r="J74" s="57">
        <v>715.2</v>
      </c>
      <c r="K74" s="57">
        <v>702</v>
      </c>
    </row>
    <row r="75" spans="1:11" ht="15" customHeight="1" x14ac:dyDescent="0.4">
      <c r="A75" s="56" t="s">
        <v>688</v>
      </c>
      <c r="B75" s="61"/>
      <c r="C75" s="61"/>
      <c r="D75" s="61"/>
      <c r="E75" s="61"/>
      <c r="F75" s="61"/>
      <c r="G75" s="61"/>
      <c r="H75" s="62">
        <v>-68.2</v>
      </c>
      <c r="I75" s="62">
        <v>-50.3</v>
      </c>
      <c r="J75" s="59">
        <v>81.400000000000006</v>
      </c>
      <c r="K75" s="57">
        <v>115</v>
      </c>
    </row>
    <row r="76" spans="1:11" ht="15" customHeight="1" x14ac:dyDescent="0.4">
      <c r="A76" s="56" t="s">
        <v>689</v>
      </c>
      <c r="B76" s="59">
        <v>53.9</v>
      </c>
      <c r="C76" s="67">
        <v>-381.1</v>
      </c>
      <c r="D76" s="67">
        <v>-509.7</v>
      </c>
      <c r="E76" s="57">
        <v>118.7</v>
      </c>
      <c r="F76" s="57">
        <v>140.69999999999999</v>
      </c>
      <c r="G76" s="67">
        <v>-808.9</v>
      </c>
      <c r="H76" s="59">
        <v>53.7</v>
      </c>
      <c r="I76" s="61"/>
      <c r="J76" s="61"/>
      <c r="K76" s="61"/>
    </row>
    <row r="77" spans="1:11" ht="15" customHeight="1" x14ac:dyDescent="0.4">
      <c r="A77" s="56" t="s">
        <v>690</v>
      </c>
      <c r="B77" s="62">
        <v>-0.4</v>
      </c>
      <c r="C77" s="67">
        <v>-457.1</v>
      </c>
      <c r="D77" s="67">
        <v>-596.6</v>
      </c>
      <c r="E77" s="59">
        <v>1.9</v>
      </c>
      <c r="F77" s="62">
        <v>-0.8</v>
      </c>
      <c r="G77" s="67">
        <v>-813.6</v>
      </c>
      <c r="H77" s="61">
        <v>0</v>
      </c>
      <c r="I77" s="61"/>
      <c r="J77" s="61"/>
      <c r="K77" s="61"/>
    </row>
    <row r="78" spans="1:11" ht="15" customHeight="1" x14ac:dyDescent="0.4">
      <c r="A78" s="56" t="s">
        <v>691</v>
      </c>
      <c r="B78" s="59">
        <v>71.900000000000006</v>
      </c>
      <c r="C78" s="57">
        <v>1916.1</v>
      </c>
      <c r="D78" s="67">
        <v>-574.79999999999995</v>
      </c>
      <c r="E78" s="57">
        <v>136</v>
      </c>
      <c r="F78" s="57">
        <v>184.7</v>
      </c>
      <c r="G78" s="67">
        <v>-538.4</v>
      </c>
      <c r="H78" s="57">
        <v>244.4</v>
      </c>
      <c r="I78" s="59">
        <v>48.8</v>
      </c>
      <c r="J78" s="59">
        <v>26.8</v>
      </c>
      <c r="K78" s="57">
        <v>659.5</v>
      </c>
    </row>
    <row r="79" spans="1:11" ht="15" customHeight="1" x14ac:dyDescent="0.4">
      <c r="A79" s="56" t="s">
        <v>692</v>
      </c>
      <c r="B79" s="57">
        <v>227.4</v>
      </c>
      <c r="C79" s="59">
        <v>89.7</v>
      </c>
      <c r="D79" s="57">
        <v>249</v>
      </c>
      <c r="E79" s="57">
        <v>245</v>
      </c>
      <c r="F79" s="57">
        <v>265.7</v>
      </c>
      <c r="G79" s="59">
        <v>60.7</v>
      </c>
      <c r="H79" s="57">
        <v>322.7</v>
      </c>
      <c r="I79" s="67">
        <v>-1097.8</v>
      </c>
      <c r="J79" s="57">
        <v>460.9</v>
      </c>
      <c r="K79" s="57">
        <v>534.9</v>
      </c>
    </row>
    <row r="80" spans="1:11" ht="15" customHeight="1" x14ac:dyDescent="0.4">
      <c r="A80" s="56" t="s">
        <v>183</v>
      </c>
      <c r="B80" s="57">
        <v>281.7</v>
      </c>
      <c r="C80" s="57">
        <v>165.7</v>
      </c>
      <c r="D80" s="57">
        <v>335.9</v>
      </c>
      <c r="E80" s="57">
        <v>361.8</v>
      </c>
      <c r="F80" s="57">
        <v>407.2</v>
      </c>
      <c r="G80" s="59">
        <v>65.400000000000006</v>
      </c>
      <c r="H80" s="57">
        <v>376.4</v>
      </c>
      <c r="I80" s="67">
        <v>-901.1</v>
      </c>
      <c r="J80" s="57">
        <v>485.8</v>
      </c>
      <c r="K80" s="57">
        <v>626.70000000000005</v>
      </c>
    </row>
    <row r="81" spans="1:11" ht="15" customHeight="1" x14ac:dyDescent="0.4">
      <c r="A81" s="56" t="s">
        <v>693</v>
      </c>
      <c r="B81" s="59">
        <v>76</v>
      </c>
      <c r="C81" s="59">
        <v>86.9</v>
      </c>
      <c r="D81" s="57">
        <v>116.7</v>
      </c>
      <c r="E81" s="57">
        <v>141.5</v>
      </c>
      <c r="F81" s="57">
        <v>153.4</v>
      </c>
      <c r="G81" s="59">
        <v>53.7</v>
      </c>
      <c r="H81" s="57">
        <v>196.7</v>
      </c>
      <c r="I81" s="59">
        <v>24.9</v>
      </c>
      <c r="J81" s="59">
        <v>91.8</v>
      </c>
      <c r="K81" s="57">
        <v>107.5</v>
      </c>
    </row>
  </sheetData>
  <pageMargins left="0.5" right="0.5" top="1" bottom="1" header="0.5" footer="0.75"/>
  <pageSetup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78CC-68B1-477A-AF90-325DB3F20706}">
  <dimension ref="A1"/>
  <sheetViews>
    <sheetView topLeftCell="XFD1" workbookViewId="0"/>
  </sheetViews>
  <sheetFormatPr defaultColWidth="0" defaultRowHeight="12.45" x14ac:dyDescent="0.3"/>
  <cols>
    <col min="1" max="16384" width="8.53515625" hidden="1"/>
  </cols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5AFC-2E6A-4AD1-B34A-300EDB99531F}">
  <dimension ref="A2:X71"/>
  <sheetViews>
    <sheetView showGridLines="0" topLeftCell="A25" zoomScale="115" zoomScaleNormal="115" workbookViewId="0">
      <selection activeCell="I52" sqref="I52"/>
    </sheetView>
  </sheetViews>
  <sheetFormatPr defaultRowHeight="12.45" x14ac:dyDescent="0.3"/>
  <cols>
    <col min="1" max="1" width="2.69140625" customWidth="1"/>
    <col min="2" max="2" width="18.53515625" customWidth="1"/>
    <col min="3" max="3" width="19.3828125" bestFit="1" customWidth="1"/>
    <col min="4" max="4" width="6.69140625" customWidth="1"/>
    <col min="5" max="18" width="10.53515625" customWidth="1"/>
  </cols>
  <sheetData>
    <row r="2" spans="1:23" x14ac:dyDescent="0.3">
      <c r="A2" t="s">
        <v>1</v>
      </c>
      <c r="B2" s="97" t="s">
        <v>694</v>
      </c>
      <c r="C2" s="97"/>
      <c r="D2" s="97"/>
      <c r="E2" s="97"/>
      <c r="F2" s="97"/>
      <c r="G2" s="97"/>
      <c r="H2" s="97"/>
      <c r="I2" s="97"/>
      <c r="K2" s="98"/>
      <c r="L2" s="98"/>
      <c r="M2" s="98"/>
      <c r="N2" s="98"/>
      <c r="O2" s="98"/>
      <c r="P2" s="98"/>
      <c r="Q2" s="98"/>
      <c r="R2" s="98"/>
      <c r="S2" s="98"/>
      <c r="T2" s="98"/>
    </row>
    <row r="4" spans="1:23" x14ac:dyDescent="0.3">
      <c r="B4" s="99" t="s">
        <v>695</v>
      </c>
      <c r="C4" s="99"/>
      <c r="E4" s="99" t="s">
        <v>696</v>
      </c>
      <c r="F4" s="99"/>
      <c r="G4" s="99"/>
      <c r="H4" s="99"/>
      <c r="I4" s="99"/>
    </row>
    <row r="5" spans="1:23" x14ac:dyDescent="0.3">
      <c r="B5" t="s">
        <v>697</v>
      </c>
      <c r="C5" s="100" t="s">
        <v>698</v>
      </c>
      <c r="E5" t="s">
        <v>699</v>
      </c>
      <c r="F5" s="101" t="s">
        <v>187</v>
      </c>
      <c r="H5" t="s">
        <v>700</v>
      </c>
      <c r="I5" s="102">
        <v>3</v>
      </c>
    </row>
    <row r="6" spans="1:23" x14ac:dyDescent="0.3">
      <c r="B6" t="s">
        <v>701</v>
      </c>
      <c r="C6" s="100" t="s">
        <v>702</v>
      </c>
      <c r="E6" t="s">
        <v>703</v>
      </c>
      <c r="F6" s="102" t="s">
        <v>704</v>
      </c>
      <c r="H6" t="s">
        <v>703</v>
      </c>
      <c r="I6" s="102" t="s">
        <v>705</v>
      </c>
      <c r="V6" t="s">
        <v>702</v>
      </c>
      <c r="W6" t="s">
        <v>189</v>
      </c>
    </row>
    <row r="7" spans="1:23" x14ac:dyDescent="0.3">
      <c r="B7" t="s">
        <v>706</v>
      </c>
      <c r="C7" s="100">
        <v>-5</v>
      </c>
      <c r="V7" t="s">
        <v>707</v>
      </c>
      <c r="W7" t="s">
        <v>190</v>
      </c>
    </row>
    <row r="8" spans="1:23" x14ac:dyDescent="0.3">
      <c r="B8" t="s">
        <v>708</v>
      </c>
      <c r="C8" s="100">
        <v>0</v>
      </c>
      <c r="E8" t="s">
        <v>709</v>
      </c>
      <c r="F8" s="103">
        <v>163.55975000000001</v>
      </c>
      <c r="V8" t="s">
        <v>710</v>
      </c>
      <c r="W8" t="s">
        <v>196</v>
      </c>
    </row>
    <row r="9" spans="1:23" x14ac:dyDescent="0.3">
      <c r="B9" t="s">
        <v>711</v>
      </c>
      <c r="C9" s="100" t="s">
        <v>712</v>
      </c>
      <c r="V9" t="s">
        <v>713</v>
      </c>
      <c r="W9" t="s">
        <v>714</v>
      </c>
    </row>
    <row r="10" spans="1:23" x14ac:dyDescent="0.3">
      <c r="B10" t="s">
        <v>715</v>
      </c>
      <c r="C10" s="100" t="s">
        <v>237</v>
      </c>
      <c r="V10" t="s">
        <v>716</v>
      </c>
      <c r="W10" t="s">
        <v>717</v>
      </c>
    </row>
    <row r="11" spans="1:23" x14ac:dyDescent="0.3">
      <c r="B11" t="s">
        <v>718</v>
      </c>
      <c r="C11" s="104">
        <v>45992</v>
      </c>
      <c r="V11" t="s">
        <v>719</v>
      </c>
      <c r="W11" t="s">
        <v>720</v>
      </c>
    </row>
    <row r="12" spans="1:23" x14ac:dyDescent="0.3">
      <c r="V12" t="s">
        <v>721</v>
      </c>
      <c r="W12" t="s">
        <v>194</v>
      </c>
    </row>
    <row r="13" spans="1:23" x14ac:dyDescent="0.3">
      <c r="A13" t="s">
        <v>1</v>
      </c>
      <c r="B13" s="97" t="s">
        <v>722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V13" t="s">
        <v>723</v>
      </c>
      <c r="W13" t="s">
        <v>195</v>
      </c>
    </row>
    <row r="14" spans="1:23" ht="12.9" x14ac:dyDescent="0.35">
      <c r="B14" s="1" t="s">
        <v>724</v>
      </c>
      <c r="V14" t="s">
        <v>725</v>
      </c>
      <c r="W14" t="s">
        <v>726</v>
      </c>
    </row>
    <row r="15" spans="1:23" x14ac:dyDescent="0.3">
      <c r="B15" s="105"/>
      <c r="C15" s="105"/>
      <c r="D15" s="105"/>
      <c r="E15" s="106">
        <v>2019</v>
      </c>
      <c r="F15" s="106">
        <v>2020</v>
      </c>
      <c r="G15" s="106">
        <v>2021</v>
      </c>
      <c r="H15" s="106">
        <v>2022</v>
      </c>
      <c r="I15" s="106">
        <v>2023</v>
      </c>
      <c r="J15" s="106" t="s">
        <v>187</v>
      </c>
      <c r="L15" s="107" t="s">
        <v>188</v>
      </c>
    </row>
    <row r="16" spans="1:23" x14ac:dyDescent="0.3">
      <c r="B16" t="s">
        <v>57</v>
      </c>
      <c r="E16" s="108">
        <v>32795.214973568902</v>
      </c>
      <c r="F16" s="109">
        <v>28632.2206878662</v>
      </c>
      <c r="G16" s="109">
        <v>29092.685606300802</v>
      </c>
      <c r="H16" s="109">
        <v>33733.459714889497</v>
      </c>
      <c r="I16" s="109">
        <v>33897.392008483403</v>
      </c>
      <c r="J16" s="109">
        <v>35588.730113983198</v>
      </c>
      <c r="L16" s="108">
        <v>36839.905123650999</v>
      </c>
      <c r="Q16" s="108"/>
    </row>
    <row r="17" spans="2:17" x14ac:dyDescent="0.3">
      <c r="B17" t="s">
        <v>727</v>
      </c>
      <c r="E17" s="108">
        <v>20167.993995487701</v>
      </c>
      <c r="F17" s="108">
        <v>17970.578217268001</v>
      </c>
      <c r="G17" s="108">
        <v>18286.250812649701</v>
      </c>
      <c r="H17" s="108">
        <v>20779.765512466402</v>
      </c>
      <c r="I17" s="108">
        <v>20675.864424526699</v>
      </c>
      <c r="J17" s="108">
        <v>21945.2741959095</v>
      </c>
      <c r="L17" s="108">
        <v>22816.266385376501</v>
      </c>
      <c r="Q17" s="108"/>
    </row>
    <row r="18" spans="2:17" x14ac:dyDescent="0.3">
      <c r="B18" t="s">
        <v>64</v>
      </c>
      <c r="E18" s="108">
        <v>7518.4366</v>
      </c>
      <c r="F18" s="108">
        <v>6396.6346000000003</v>
      </c>
      <c r="G18" s="108">
        <v>6741.2254300000004</v>
      </c>
      <c r="H18" s="108">
        <v>8028.7403899999999</v>
      </c>
      <c r="I18" s="108">
        <v>8370.0575900000003</v>
      </c>
      <c r="J18" s="108">
        <v>8508.9014999999999</v>
      </c>
      <c r="L18" s="108">
        <v>8893.1717499999995</v>
      </c>
      <c r="Q18" s="108"/>
    </row>
    <row r="19" spans="2:17" x14ac:dyDescent="0.3">
      <c r="B19" t="s">
        <v>728</v>
      </c>
      <c r="E19" s="108">
        <v>972.08069229125999</v>
      </c>
      <c r="F19" s="108">
        <v>878.96706891059898</v>
      </c>
      <c r="G19" s="108">
        <v>1034.7036524415</v>
      </c>
      <c r="H19" s="108">
        <v>1145.60363006592</v>
      </c>
      <c r="I19" s="108">
        <v>1087.7652468681299</v>
      </c>
      <c r="J19" s="108">
        <v>1233.2545192241701</v>
      </c>
      <c r="L19" s="108">
        <v>1405.80592441559</v>
      </c>
      <c r="Q19" s="108"/>
    </row>
    <row r="20" spans="2:17" x14ac:dyDescent="0.3">
      <c r="B20" t="s">
        <v>67</v>
      </c>
      <c r="E20" s="108">
        <v>6546.3559100000002</v>
      </c>
      <c r="F20" s="108">
        <v>5517.6675299999997</v>
      </c>
      <c r="G20" s="108">
        <v>5706.52178</v>
      </c>
      <c r="H20" s="108">
        <v>6883.1367600000003</v>
      </c>
      <c r="I20" s="108">
        <v>7282.29234</v>
      </c>
      <c r="J20" s="108">
        <v>7275.6469800000004</v>
      </c>
      <c r="L20" s="108">
        <v>7487.3658299999997</v>
      </c>
      <c r="Q20" s="108"/>
    </row>
    <row r="21" spans="2:17" x14ac:dyDescent="0.3">
      <c r="B21" t="s">
        <v>729</v>
      </c>
      <c r="E21" s="108">
        <v>381.505933463573</v>
      </c>
      <c r="F21" s="108">
        <v>314.91933906078299</v>
      </c>
      <c r="G21" s="108">
        <v>290.19080358743702</v>
      </c>
      <c r="H21" s="108">
        <v>393.92018508911099</v>
      </c>
      <c r="I21" s="108">
        <v>707.60239273309696</v>
      </c>
      <c r="J21" s="108">
        <v>978.09841179847695</v>
      </c>
      <c r="L21" s="108">
        <v>1142.2173135876701</v>
      </c>
      <c r="Q21" s="108"/>
    </row>
    <row r="22" spans="2:17" x14ac:dyDescent="0.3">
      <c r="B22" t="s">
        <v>70</v>
      </c>
      <c r="E22" s="108">
        <v>1187.40371328592</v>
      </c>
      <c r="F22" s="108">
        <v>1006.16290223598</v>
      </c>
      <c r="G22" s="108">
        <v>1374.8106583952899</v>
      </c>
      <c r="H22" s="108">
        <v>1343.5152206420901</v>
      </c>
      <c r="I22" s="108">
        <v>1375.43105620146</v>
      </c>
      <c r="J22" s="108">
        <v>1361.7570515871</v>
      </c>
      <c r="L22" s="108">
        <v>1210.15252256393</v>
      </c>
      <c r="Q22" s="108"/>
    </row>
    <row r="23" spans="2:17" x14ac:dyDescent="0.3">
      <c r="B23" t="s">
        <v>131</v>
      </c>
      <c r="E23" s="108">
        <v>5488.5033940672902</v>
      </c>
      <c r="F23" s="108">
        <v>4192.1992238760004</v>
      </c>
      <c r="G23" s="108">
        <v>4688.7388731241199</v>
      </c>
      <c r="H23" s="108">
        <v>4725.1392250060999</v>
      </c>
      <c r="I23" s="108">
        <v>5233.4827948808697</v>
      </c>
      <c r="J23" s="108">
        <v>5274.1506987810099</v>
      </c>
      <c r="L23" s="108">
        <v>5551.6652775406801</v>
      </c>
      <c r="Q23" s="108"/>
    </row>
    <row r="24" spans="2:17" x14ac:dyDescent="0.3">
      <c r="E24" s="108"/>
      <c r="F24" s="108"/>
      <c r="G24" s="108"/>
      <c r="H24" s="108"/>
      <c r="I24" s="108"/>
      <c r="J24" s="108"/>
      <c r="L24" s="108"/>
      <c r="Q24" s="108"/>
    </row>
    <row r="25" spans="2:17" x14ac:dyDescent="0.3">
      <c r="B25" t="s">
        <v>183</v>
      </c>
      <c r="E25" s="108">
        <v>5412.5595899999998</v>
      </c>
      <c r="F25" s="108">
        <v>4650.9814399999996</v>
      </c>
      <c r="G25" s="108">
        <v>4351.1699799999997</v>
      </c>
      <c r="H25" s="108">
        <v>4289.3531300000004</v>
      </c>
      <c r="I25" s="108">
        <v>3978.2979</v>
      </c>
      <c r="J25" s="108">
        <v>4560.4531800000004</v>
      </c>
      <c r="L25" s="108">
        <v>1864.70749</v>
      </c>
      <c r="Q25" s="108"/>
    </row>
    <row r="26" spans="2:17" x14ac:dyDescent="0.3">
      <c r="E26" s="108"/>
      <c r="F26" s="108"/>
      <c r="G26" s="108"/>
      <c r="H26" s="108"/>
      <c r="I26" s="108"/>
      <c r="J26" s="108"/>
      <c r="L26" s="108"/>
      <c r="Q26" s="108"/>
    </row>
    <row r="27" spans="2:17" x14ac:dyDescent="0.3">
      <c r="B27" t="s">
        <v>730</v>
      </c>
      <c r="E27" s="108">
        <v>9279.2873811721802</v>
      </c>
      <c r="F27" s="108">
        <v>12439.213796853999</v>
      </c>
      <c r="G27" s="108">
        <v>10132.7824065685</v>
      </c>
      <c r="H27" s="108">
        <v>9472.9444223642295</v>
      </c>
      <c r="I27" s="108">
        <v>7328.1132066249802</v>
      </c>
      <c r="J27" s="108">
        <v>10577.498494327099</v>
      </c>
      <c r="L27" s="108">
        <v>11369.361939311</v>
      </c>
      <c r="Q27" s="108"/>
    </row>
    <row r="28" spans="2:17" x14ac:dyDescent="0.3">
      <c r="B28" t="s">
        <v>731</v>
      </c>
      <c r="E28" s="108">
        <v>3938.5300990939099</v>
      </c>
      <c r="F28" s="108">
        <v>3668.8325055241598</v>
      </c>
      <c r="G28" s="108">
        <v>4518.1147274970999</v>
      </c>
      <c r="H28" s="108">
        <v>5189.0372117757797</v>
      </c>
      <c r="I28" s="108">
        <v>5592.7218518257096</v>
      </c>
      <c r="J28" s="108">
        <v>6221.1490277051898</v>
      </c>
      <c r="L28" s="108">
        <v>6057.8724668025998</v>
      </c>
      <c r="Q28" s="108"/>
    </row>
    <row r="29" spans="2:17" x14ac:dyDescent="0.3">
      <c r="B29" t="s">
        <v>124</v>
      </c>
      <c r="E29" s="108">
        <v>21650.779687464201</v>
      </c>
      <c r="F29" s="108">
        <v>23027.256815135501</v>
      </c>
      <c r="G29" s="108">
        <v>22310.939444541898</v>
      </c>
      <c r="H29" s="108">
        <v>23407.823695301999</v>
      </c>
      <c r="I29" s="108">
        <v>21275.517798900601</v>
      </c>
      <c r="J29" s="108">
        <v>26951.2305285931</v>
      </c>
      <c r="L29" s="108">
        <v>26167.660120368</v>
      </c>
      <c r="Q29" s="108"/>
    </row>
    <row r="30" spans="2:17" x14ac:dyDescent="0.3">
      <c r="B30" t="s">
        <v>144</v>
      </c>
      <c r="E30" s="108">
        <v>16122.9399985075</v>
      </c>
      <c r="F30" s="108">
        <v>15689.5918040872</v>
      </c>
      <c r="G30" s="108">
        <v>17154.414578437802</v>
      </c>
      <c r="H30" s="108">
        <v>18681.658347487399</v>
      </c>
      <c r="I30" s="108">
        <v>16782.691876173001</v>
      </c>
      <c r="J30" s="108">
        <v>20527.2809271812</v>
      </c>
      <c r="L30" s="108">
        <v>19267.234444499001</v>
      </c>
      <c r="Q30" s="108"/>
    </row>
    <row r="31" spans="2:17" x14ac:dyDescent="0.3">
      <c r="B31" t="s">
        <v>732</v>
      </c>
      <c r="E31" s="108">
        <v>14883.7417700887</v>
      </c>
      <c r="F31" s="108">
        <v>18971.026981115301</v>
      </c>
      <c r="G31" s="108">
        <v>18141.927781820301</v>
      </c>
      <c r="H31" s="108">
        <v>19242.9139072299</v>
      </c>
      <c r="I31" s="108">
        <v>19495.768501281698</v>
      </c>
      <c r="J31" s="108">
        <v>31120.2308937907</v>
      </c>
      <c r="L31" s="108">
        <v>32523.404933810201</v>
      </c>
      <c r="Q31" s="108"/>
    </row>
    <row r="32" spans="2:17" x14ac:dyDescent="0.3">
      <c r="B32" t="s">
        <v>733</v>
      </c>
      <c r="E32" s="108">
        <v>16475.723965763998</v>
      </c>
      <c r="F32" s="108">
        <v>14342.691387712999</v>
      </c>
      <c r="G32" s="108">
        <v>16328.702291727101</v>
      </c>
      <c r="H32" s="108">
        <v>15644.881604373501</v>
      </c>
      <c r="I32" s="108">
        <v>14353.868190765401</v>
      </c>
      <c r="J32" s="108">
        <v>17980.6851516366</v>
      </c>
      <c r="L32" s="108">
        <v>14282.5534894466</v>
      </c>
      <c r="Q32" s="108"/>
    </row>
    <row r="33" spans="2:24" x14ac:dyDescent="0.3">
      <c r="E33" s="108"/>
      <c r="F33" s="108"/>
      <c r="G33" s="108"/>
      <c r="H33" s="108"/>
      <c r="I33" s="108"/>
      <c r="J33" s="108"/>
      <c r="L33" s="108"/>
      <c r="Q33" s="108"/>
    </row>
    <row r="34" spans="2:24" x14ac:dyDescent="0.3">
      <c r="B34" t="s">
        <v>734</v>
      </c>
      <c r="E34" s="108">
        <v>711.1</v>
      </c>
      <c r="F34" s="108">
        <v>696.8</v>
      </c>
      <c r="G34" s="108">
        <v>684.8</v>
      </c>
      <c r="H34" s="108">
        <v>668.14025200000003</v>
      </c>
      <c r="I34" s="108">
        <v>652.18181200000004</v>
      </c>
      <c r="J34" s="108">
        <v>649.79999999999995</v>
      </c>
      <c r="L34" s="108">
        <v>634.88720799999999</v>
      </c>
      <c r="Q34" s="108"/>
    </row>
    <row r="35" spans="2:24" x14ac:dyDescent="0.3">
      <c r="E35" s="108"/>
      <c r="F35" s="108"/>
      <c r="G35" s="108"/>
      <c r="H35" s="108"/>
      <c r="I35" s="108"/>
      <c r="J35" s="108"/>
      <c r="L35" s="108"/>
      <c r="Q35" s="108"/>
    </row>
    <row r="36" spans="2:24" x14ac:dyDescent="0.3">
      <c r="E36" s="108"/>
      <c r="F36" s="108"/>
      <c r="G36" s="108"/>
      <c r="H36" s="108"/>
      <c r="I36" s="108"/>
      <c r="J36" s="108"/>
      <c r="L36" s="108"/>
      <c r="Q36" s="108"/>
    </row>
    <row r="38" spans="2:24" ht="12.9" x14ac:dyDescent="0.35">
      <c r="B38" s="1" t="s">
        <v>735</v>
      </c>
    </row>
    <row r="41" spans="2:24" x14ac:dyDescent="0.3">
      <c r="X41" s="110"/>
    </row>
    <row r="42" spans="2:24" ht="12.65" customHeight="1" x14ac:dyDescent="0.3">
      <c r="N42" s="111"/>
    </row>
    <row r="43" spans="2:24" x14ac:dyDescent="0.3">
      <c r="C43" s="112"/>
    </row>
    <row r="50" spans="1:11" ht="17.600000000000001" x14ac:dyDescent="0.4">
      <c r="A50" t="s">
        <v>1</v>
      </c>
      <c r="B50" s="2" t="s">
        <v>163</v>
      </c>
      <c r="C50" s="2"/>
      <c r="D50" s="2"/>
      <c r="E50" s="2"/>
      <c r="F50" s="2"/>
      <c r="G50" s="2"/>
      <c r="H50" s="2"/>
      <c r="I50" s="2"/>
      <c r="J50" s="2"/>
      <c r="K50" s="2"/>
    </row>
    <row r="52" spans="1:11" x14ac:dyDescent="0.3">
      <c r="B52" s="31" t="s">
        <v>93</v>
      </c>
      <c r="C52" s="31"/>
      <c r="D52" s="31"/>
      <c r="E52" s="213">
        <v>2019</v>
      </c>
      <c r="F52" s="213">
        <v>2020</v>
      </c>
      <c r="G52" s="213">
        <v>2021</v>
      </c>
      <c r="H52" s="213">
        <v>2022</v>
      </c>
      <c r="I52" s="213">
        <v>2023</v>
      </c>
      <c r="J52" s="213" t="s">
        <v>187</v>
      </c>
      <c r="K52" s="213" t="s">
        <v>188</v>
      </c>
    </row>
    <row r="54" spans="1:11" x14ac:dyDescent="0.3">
      <c r="B54" s="32" t="s">
        <v>164</v>
      </c>
      <c r="C54" s="32"/>
      <c r="D54" s="32"/>
      <c r="E54" s="32"/>
      <c r="F54" s="32"/>
      <c r="G54" s="32"/>
      <c r="H54" s="32"/>
      <c r="I54" s="32"/>
      <c r="J54" s="32"/>
      <c r="K54" s="32"/>
    </row>
    <row r="55" spans="1:11" x14ac:dyDescent="0.3">
      <c r="B55" s="37" t="s">
        <v>165</v>
      </c>
      <c r="E55" s="114">
        <f t="shared" ref="E55:J55" si="0">IFERROR((E16-E17)/E16,"-")</f>
        <v>0.38503241976788477</v>
      </c>
      <c r="F55" s="114">
        <f t="shared" si="0"/>
        <v>0.37236519607843077</v>
      </c>
      <c r="G55" s="114">
        <f t="shared" si="0"/>
        <v>0.37144851251926625</v>
      </c>
      <c r="H55" s="114">
        <f t="shared" si="0"/>
        <v>0.38400135390517054</v>
      </c>
      <c r="I55" s="114">
        <f t="shared" si="0"/>
        <v>0.39004556989658057</v>
      </c>
      <c r="J55" s="114">
        <f t="shared" si="0"/>
        <v>0.38336450540315953</v>
      </c>
      <c r="K55" s="114">
        <f>IFERROR((L16-L17)/L16,"-")</f>
        <v>0.38066435543753357</v>
      </c>
    </row>
    <row r="56" spans="1:11" x14ac:dyDescent="0.3">
      <c r="B56" s="37" t="s">
        <v>121</v>
      </c>
      <c r="E56" s="114">
        <f t="shared" ref="E56:J56" si="1">IFERROR(E18/E16,"-")</f>
        <v>0.22925407276822052</v>
      </c>
      <c r="F56" s="114">
        <f t="shared" si="1"/>
        <v>0.22340686283934569</v>
      </c>
      <c r="G56" s="114">
        <f t="shared" si="1"/>
        <v>0.23171547382136515</v>
      </c>
      <c r="H56" s="114">
        <f t="shared" si="1"/>
        <v>0.23800524635948389</v>
      </c>
      <c r="I56" s="114">
        <f t="shared" si="1"/>
        <v>0.24692334997055967</v>
      </c>
      <c r="J56" s="114">
        <f t="shared" si="1"/>
        <v>0.23908977568875828</v>
      </c>
      <c r="K56" s="114">
        <f>IFERROR(L18/L16,"-")</f>
        <v>0.24140050633004037</v>
      </c>
    </row>
    <row r="57" spans="1:11" x14ac:dyDescent="0.3">
      <c r="B57" s="37" t="s">
        <v>166</v>
      </c>
      <c r="E57" s="114">
        <f t="shared" ref="E57:J57" si="2">IFERROR(E20/E16,"-")</f>
        <v>0.19961314220004336</v>
      </c>
      <c r="F57" s="114">
        <f t="shared" si="2"/>
        <v>0.19270833338953286</v>
      </c>
      <c r="G57" s="114">
        <f t="shared" si="2"/>
        <v>0.19614970777273652</v>
      </c>
      <c r="H57" s="114">
        <f t="shared" si="2"/>
        <v>0.20404479167495163</v>
      </c>
      <c r="I57" s="114">
        <f t="shared" si="2"/>
        <v>0.2148334107289871</v>
      </c>
      <c r="J57" s="114">
        <f t="shared" si="2"/>
        <v>0.2044368247110149</v>
      </c>
      <c r="K57" s="114">
        <f>IFERROR(L20/L16,"-")</f>
        <v>0.20324063823913477</v>
      </c>
    </row>
    <row r="58" spans="1:11" x14ac:dyDescent="0.3">
      <c r="B58" s="37" t="s">
        <v>167</v>
      </c>
      <c r="E58" s="115">
        <f t="shared" ref="E58:J58" si="3">IFERROR(E23/E16,"-")</f>
        <v>0.16735683539475851</v>
      </c>
      <c r="F58" s="115">
        <f t="shared" si="3"/>
        <v>0.14641544117647068</v>
      </c>
      <c r="G58" s="115">
        <f t="shared" si="3"/>
        <v>0.16116555675109787</v>
      </c>
      <c r="H58" s="115">
        <f t="shared" si="3"/>
        <v>0.14007277240289961</v>
      </c>
      <c r="I58" s="115">
        <f t="shared" si="3"/>
        <v>0.15439190111059581</v>
      </c>
      <c r="J58" s="115">
        <f t="shared" si="3"/>
        <v>0.1481972152950953</v>
      </c>
      <c r="K58" s="115">
        <f>IFERROR(L23/L16,"-")</f>
        <v>0.15069705687098917</v>
      </c>
    </row>
    <row r="59" spans="1:11" x14ac:dyDescent="0.3">
      <c r="E59" s="116"/>
      <c r="F59" s="116"/>
      <c r="G59" s="116"/>
      <c r="H59" s="116"/>
      <c r="I59" s="116"/>
      <c r="J59" s="116"/>
      <c r="K59" s="116"/>
    </row>
    <row r="60" spans="1:11" x14ac:dyDescent="0.3">
      <c r="B60" s="32" t="s">
        <v>168</v>
      </c>
      <c r="C60" s="32"/>
      <c r="D60" s="32"/>
      <c r="E60" s="117"/>
      <c r="F60" s="117"/>
      <c r="G60" s="117"/>
      <c r="H60" s="117"/>
      <c r="I60" s="117"/>
      <c r="J60" s="117"/>
      <c r="K60" s="117"/>
    </row>
    <row r="61" spans="1:11" x14ac:dyDescent="0.3">
      <c r="B61" s="37" t="s">
        <v>169</v>
      </c>
      <c r="E61" s="114">
        <f t="shared" ref="E61:J61" si="4">IFERROR(E29/E30,"-")</f>
        <v>1.3428555641507327</v>
      </c>
      <c r="F61" s="114">
        <f t="shared" si="4"/>
        <v>1.4676772412356076</v>
      </c>
      <c r="G61" s="114">
        <f t="shared" si="4"/>
        <v>1.3005946278449851</v>
      </c>
      <c r="H61" s="114">
        <f t="shared" si="4"/>
        <v>1.2529842511786566</v>
      </c>
      <c r="I61" s="114">
        <f t="shared" si="4"/>
        <v>1.2677059172555165</v>
      </c>
      <c r="J61" s="114">
        <f t="shared" si="4"/>
        <v>1.3129469326307912</v>
      </c>
      <c r="K61" s="114">
        <f>IFERROR(L29/L30,"-")</f>
        <v>1.3581430275188842</v>
      </c>
    </row>
    <row r="62" spans="1:11" x14ac:dyDescent="0.3">
      <c r="B62" s="37" t="s">
        <v>170</v>
      </c>
      <c r="E62" s="114">
        <f t="shared" ref="E62:J62" si="5">IFERROR((E29-E28)/E30,"-")</f>
        <v>1.0985744281136016</v>
      </c>
      <c r="F62" s="114">
        <f t="shared" si="5"/>
        <v>1.2338386206178034</v>
      </c>
      <c r="G62" s="114">
        <f t="shared" si="5"/>
        <v>1.0372155013327848</v>
      </c>
      <c r="H62" s="114">
        <f t="shared" si="5"/>
        <v>0.97522319189487616</v>
      </c>
      <c r="I62" s="114">
        <f t="shared" si="5"/>
        <v>0.93446248449215275</v>
      </c>
      <c r="J62" s="114">
        <f t="shared" si="5"/>
        <v>1.009879563417392</v>
      </c>
      <c r="K62" s="114">
        <f>IFERROR((L29-L28)/L30,"-")</f>
        <v>1.0437298467246792</v>
      </c>
    </row>
    <row r="63" spans="1:11" x14ac:dyDescent="0.3">
      <c r="B63" s="37" t="s">
        <v>171</v>
      </c>
      <c r="E63" s="114">
        <f t="shared" ref="E63:J63" si="6">IFERROR(E27/E30,"-")</f>
        <v>0.57553320808929165</v>
      </c>
      <c r="F63" s="114">
        <f t="shared" si="6"/>
        <v>0.79283221336666865</v>
      </c>
      <c r="G63" s="114">
        <f t="shared" si="6"/>
        <v>0.59068074636046608</v>
      </c>
      <c r="H63" s="114">
        <f t="shared" si="6"/>
        <v>0.50707192296118075</v>
      </c>
      <c r="I63" s="114">
        <f t="shared" si="6"/>
        <v>0.43664706834241351</v>
      </c>
      <c r="J63" s="114">
        <f t="shared" si="6"/>
        <v>0.51528980052691264</v>
      </c>
      <c r="K63" s="114">
        <f>IFERROR(L27/L30,"-")</f>
        <v>0.59008790140907186</v>
      </c>
    </row>
    <row r="64" spans="1:11" x14ac:dyDescent="0.3">
      <c r="E64" s="116"/>
      <c r="F64" s="116"/>
      <c r="G64" s="116"/>
      <c r="H64" s="116"/>
      <c r="I64" s="116"/>
      <c r="J64" s="116"/>
      <c r="K64" s="116"/>
    </row>
    <row r="65" spans="2:11" x14ac:dyDescent="0.3">
      <c r="B65" s="32" t="s">
        <v>172</v>
      </c>
      <c r="C65" s="32"/>
      <c r="D65" s="32"/>
      <c r="E65" s="117"/>
      <c r="F65" s="117"/>
      <c r="G65" s="117"/>
      <c r="H65" s="117"/>
      <c r="I65" s="117"/>
      <c r="J65" s="117"/>
      <c r="K65" s="117"/>
    </row>
    <row r="66" spans="2:11" x14ac:dyDescent="0.3">
      <c r="B66" s="37" t="s">
        <v>173</v>
      </c>
      <c r="E66" s="118">
        <f t="shared" ref="E66:J66" si="7">IFERROR(E31/E32,"-")</f>
        <v>0.9033740672650632</v>
      </c>
      <c r="F66" s="118">
        <f t="shared" si="7"/>
        <v>1.3226964499401608</v>
      </c>
      <c r="G66" s="118">
        <f t="shared" si="7"/>
        <v>1.1110452905379913</v>
      </c>
      <c r="H66" s="118">
        <f t="shared" si="7"/>
        <v>1.2299814337904977</v>
      </c>
      <c r="I66" s="118">
        <f t="shared" si="7"/>
        <v>1.3582240161453032</v>
      </c>
      <c r="J66" s="118">
        <f t="shared" si="7"/>
        <v>1.7307589021966796</v>
      </c>
      <c r="K66" s="118">
        <f>IFERROR(L31/L32,"-")</f>
        <v>2.2771421761411075</v>
      </c>
    </row>
    <row r="67" spans="2:11" x14ac:dyDescent="0.3">
      <c r="B67" s="37" t="s">
        <v>174</v>
      </c>
      <c r="E67" s="119">
        <f t="shared" ref="E67:J67" si="8">IFERROR(E31-E27,"-")</f>
        <v>5604.4543889165197</v>
      </c>
      <c r="F67" s="119">
        <f t="shared" si="8"/>
        <v>6531.813184261302</v>
      </c>
      <c r="G67" s="119">
        <f t="shared" si="8"/>
        <v>8009.1453752518009</v>
      </c>
      <c r="H67" s="119">
        <f t="shared" si="8"/>
        <v>9769.9694848656709</v>
      </c>
      <c r="I67" s="119">
        <f t="shared" si="8"/>
        <v>12167.655294656717</v>
      </c>
      <c r="J67" s="119">
        <f t="shared" si="8"/>
        <v>20542.732399463603</v>
      </c>
      <c r="K67" s="119">
        <f>IFERROR(L31-L27,"-")</f>
        <v>21154.042994499199</v>
      </c>
    </row>
    <row r="68" spans="2:11" x14ac:dyDescent="0.3">
      <c r="B68" s="37" t="s">
        <v>175</v>
      </c>
      <c r="E68" s="118">
        <f t="shared" ref="E68:J68" si="9">IFERROR(E67/E18,"-")</f>
        <v>0.74542816373772702</v>
      </c>
      <c r="F68" s="118">
        <f t="shared" si="9"/>
        <v>1.02113276632392</v>
      </c>
      <c r="G68" s="118">
        <f t="shared" si="9"/>
        <v>1.1880844897441445</v>
      </c>
      <c r="H68" s="118">
        <f t="shared" si="9"/>
        <v>1.2168745046277019</v>
      </c>
      <c r="I68" s="118">
        <f t="shared" si="9"/>
        <v>1.4537122551216182</v>
      </c>
      <c r="J68" s="118">
        <f t="shared" si="9"/>
        <v>2.4142637447928621</v>
      </c>
      <c r="K68" s="118">
        <f>IFERROR(K67/L18,"-")</f>
        <v>2.3786837350239187</v>
      </c>
    </row>
    <row r="69" spans="2:11" x14ac:dyDescent="0.3">
      <c r="E69" s="116"/>
      <c r="F69" s="116"/>
      <c r="G69" s="116"/>
      <c r="H69" s="116"/>
      <c r="I69" s="116"/>
      <c r="J69" s="116"/>
      <c r="K69" s="116"/>
    </row>
    <row r="70" spans="2:11" x14ac:dyDescent="0.3">
      <c r="B70" s="32" t="s">
        <v>178</v>
      </c>
      <c r="C70" s="32"/>
      <c r="D70" s="32"/>
      <c r="E70" s="117"/>
      <c r="F70" s="117"/>
      <c r="G70" s="117"/>
      <c r="H70" s="117"/>
      <c r="I70" s="117"/>
      <c r="J70" s="117"/>
      <c r="K70" s="117"/>
    </row>
    <row r="71" spans="2:11" x14ac:dyDescent="0.3">
      <c r="B71" s="37" t="s">
        <v>179</v>
      </c>
      <c r="E71" s="118">
        <f t="shared" ref="E71:J71" si="10">IFERROR(E20/E21,"-")</f>
        <v>17.159250579847299</v>
      </c>
      <c r="F71" s="118">
        <f t="shared" si="10"/>
        <v>17.520891370012141</v>
      </c>
      <c r="G71" s="118">
        <f t="shared" si="10"/>
        <v>19.66472303551334</v>
      </c>
      <c r="H71" s="118">
        <f t="shared" si="10"/>
        <v>17.473429949884203</v>
      </c>
      <c r="I71" s="118">
        <f t="shared" si="10"/>
        <v>10.291503271876065</v>
      </c>
      <c r="J71" s="118">
        <f t="shared" si="10"/>
        <v>7.4385633308839711</v>
      </c>
      <c r="K71" s="118">
        <f>IFERROR(L20/L21,"-")</f>
        <v>6.5551149863789142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B34BC-9E8F-4FFE-AA71-39E7DC098EC4}">
  <dimension ref="A2:X71"/>
  <sheetViews>
    <sheetView showGridLines="0" topLeftCell="A34" zoomScale="115" zoomScaleNormal="115" workbookViewId="0">
      <selection activeCell="E73" sqref="E73"/>
    </sheetView>
  </sheetViews>
  <sheetFormatPr defaultRowHeight="12.45" x14ac:dyDescent="0.3"/>
  <cols>
    <col min="1" max="1" width="2.69140625" customWidth="1"/>
    <col min="2" max="2" width="18.53515625" customWidth="1"/>
    <col min="3" max="3" width="19.3828125" bestFit="1" customWidth="1"/>
    <col min="4" max="4" width="6.69140625" customWidth="1"/>
    <col min="5" max="18" width="10.53515625" customWidth="1"/>
  </cols>
  <sheetData>
    <row r="2" spans="1:23" x14ac:dyDescent="0.3">
      <c r="A2" t="s">
        <v>1</v>
      </c>
      <c r="B2" s="97" t="s">
        <v>694</v>
      </c>
      <c r="C2" s="97"/>
      <c r="D2" s="97"/>
      <c r="E2" s="97"/>
      <c r="F2" s="97"/>
      <c r="G2" s="97"/>
      <c r="H2" s="97"/>
      <c r="I2" s="97"/>
      <c r="K2" s="98"/>
      <c r="L2" s="98"/>
      <c r="M2" s="98"/>
      <c r="N2" s="98"/>
      <c r="O2" s="98"/>
      <c r="P2" s="98"/>
      <c r="Q2" s="98"/>
      <c r="R2" s="98"/>
      <c r="S2" s="98"/>
      <c r="T2" s="98"/>
    </row>
    <row r="4" spans="1:23" x14ac:dyDescent="0.3">
      <c r="B4" s="99" t="s">
        <v>695</v>
      </c>
      <c r="C4" s="99"/>
      <c r="E4" s="99" t="s">
        <v>696</v>
      </c>
      <c r="F4" s="99"/>
      <c r="G4" s="99"/>
      <c r="H4" s="99"/>
      <c r="I4" s="99"/>
    </row>
    <row r="5" spans="1:23" x14ac:dyDescent="0.3">
      <c r="B5" t="s">
        <v>697</v>
      </c>
      <c r="C5" s="100" t="s">
        <v>190</v>
      </c>
      <c r="E5" t="s">
        <v>699</v>
      </c>
      <c r="F5" s="101" t="s">
        <v>187</v>
      </c>
      <c r="H5" t="s">
        <v>700</v>
      </c>
      <c r="I5" s="102">
        <v>3</v>
      </c>
    </row>
    <row r="6" spans="1:23" x14ac:dyDescent="0.3">
      <c r="B6" t="s">
        <v>701</v>
      </c>
      <c r="C6" s="100" t="s">
        <v>707</v>
      </c>
      <c r="E6" t="s">
        <v>703</v>
      </c>
      <c r="F6" s="102" t="s">
        <v>704</v>
      </c>
      <c r="H6" t="s">
        <v>703</v>
      </c>
      <c r="I6" s="102" t="s">
        <v>705</v>
      </c>
      <c r="V6" t="s">
        <v>702</v>
      </c>
      <c r="W6" t="s">
        <v>189</v>
      </c>
    </row>
    <row r="7" spans="1:23" x14ac:dyDescent="0.3">
      <c r="B7" t="s">
        <v>706</v>
      </c>
      <c r="C7" s="100">
        <v>-5</v>
      </c>
      <c r="V7" t="s">
        <v>707</v>
      </c>
      <c r="W7" t="s">
        <v>190</v>
      </c>
    </row>
    <row r="8" spans="1:23" x14ac:dyDescent="0.3">
      <c r="B8" t="s">
        <v>708</v>
      </c>
      <c r="C8" s="100">
        <v>0</v>
      </c>
      <c r="E8" t="s">
        <v>709</v>
      </c>
      <c r="F8" s="103">
        <v>27.697776999999999</v>
      </c>
      <c r="V8" t="s">
        <v>710</v>
      </c>
      <c r="W8" t="s">
        <v>196</v>
      </c>
    </row>
    <row r="9" spans="1:23" x14ac:dyDescent="0.3">
      <c r="B9" t="s">
        <v>711</v>
      </c>
      <c r="C9" s="100" t="s">
        <v>712</v>
      </c>
      <c r="V9" t="s">
        <v>713</v>
      </c>
      <c r="W9" t="s">
        <v>714</v>
      </c>
    </row>
    <row r="10" spans="1:23" x14ac:dyDescent="0.3">
      <c r="B10" t="s">
        <v>715</v>
      </c>
      <c r="C10" s="100" t="s">
        <v>237</v>
      </c>
      <c r="V10" t="s">
        <v>716</v>
      </c>
      <c r="W10" t="s">
        <v>717</v>
      </c>
    </row>
    <row r="11" spans="1:23" x14ac:dyDescent="0.3">
      <c r="B11" t="s">
        <v>718</v>
      </c>
      <c r="C11" s="104">
        <v>45992</v>
      </c>
      <c r="V11" t="s">
        <v>719</v>
      </c>
      <c r="W11" t="s">
        <v>720</v>
      </c>
    </row>
    <row r="12" spans="1:23" x14ac:dyDescent="0.3">
      <c r="V12" t="s">
        <v>721</v>
      </c>
      <c r="W12" t="s">
        <v>194</v>
      </c>
    </row>
    <row r="13" spans="1:23" x14ac:dyDescent="0.3">
      <c r="A13" t="s">
        <v>1</v>
      </c>
      <c r="B13" s="97" t="s">
        <v>722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V13" t="s">
        <v>723</v>
      </c>
      <c r="W13" t="s">
        <v>195</v>
      </c>
    </row>
    <row r="14" spans="1:23" ht="12.9" x14ac:dyDescent="0.35">
      <c r="B14" s="1" t="s">
        <v>724</v>
      </c>
      <c r="V14" t="s">
        <v>725</v>
      </c>
      <c r="W14" t="s">
        <v>726</v>
      </c>
    </row>
    <row r="15" spans="1:23" x14ac:dyDescent="0.3">
      <c r="B15" s="105"/>
      <c r="C15" s="105"/>
      <c r="D15" s="105"/>
      <c r="E15" s="106">
        <v>2019</v>
      </c>
      <c r="F15" s="106">
        <v>2020</v>
      </c>
      <c r="G15" s="106">
        <v>2021</v>
      </c>
      <c r="H15" s="106">
        <v>2022</v>
      </c>
      <c r="I15" s="106">
        <v>2023</v>
      </c>
      <c r="J15" s="106" t="s">
        <v>187</v>
      </c>
      <c r="L15" s="107" t="s">
        <v>188</v>
      </c>
    </row>
    <row r="16" spans="1:23" x14ac:dyDescent="0.3">
      <c r="B16" t="s">
        <v>57</v>
      </c>
      <c r="E16" s="108">
        <v>3673.1068575494</v>
      </c>
      <c r="F16" s="109">
        <v>3834.62659584731</v>
      </c>
      <c r="G16" s="109">
        <v>3925.15206105262</v>
      </c>
      <c r="H16" s="109">
        <v>4270.9806530401102</v>
      </c>
      <c r="I16" s="109" t="e">
        <v>#N/A</v>
      </c>
      <c r="J16" s="109">
        <v>3437.0283284224602</v>
      </c>
      <c r="L16" s="108">
        <v>3476.4929700964099</v>
      </c>
      <c r="Q16" s="108"/>
    </row>
    <row r="17" spans="2:17" x14ac:dyDescent="0.3">
      <c r="B17" t="s">
        <v>727</v>
      </c>
      <c r="E17" s="108">
        <v>2932.8627501502601</v>
      </c>
      <c r="F17" s="108">
        <v>3092.9341298341801</v>
      </c>
      <c r="G17" s="108">
        <v>3170.0015612654402</v>
      </c>
      <c r="H17" s="108">
        <v>3468.7766138277898</v>
      </c>
      <c r="I17" s="108" t="e">
        <v>#N/A</v>
      </c>
      <c r="J17" s="108">
        <v>2658.1334194634101</v>
      </c>
      <c r="L17" s="108">
        <v>2642.41348933568</v>
      </c>
      <c r="Q17" s="108"/>
    </row>
    <row r="18" spans="2:17" x14ac:dyDescent="0.3">
      <c r="B18" t="s">
        <v>64</v>
      </c>
      <c r="E18" s="108">
        <v>389.02179999999998</v>
      </c>
      <c r="F18" s="108">
        <v>418.03645999999998</v>
      </c>
      <c r="G18" s="108">
        <v>446.09154999999998</v>
      </c>
      <c r="H18" s="108">
        <v>483.12328000000002</v>
      </c>
      <c r="I18" s="108" t="e">
        <v>#N/A</v>
      </c>
      <c r="J18" s="108">
        <v>489.86203</v>
      </c>
      <c r="L18" s="108">
        <v>551.13052000000005</v>
      </c>
      <c r="Q18" s="108"/>
    </row>
    <row r="19" spans="2:17" x14ac:dyDescent="0.3">
      <c r="B19" t="s">
        <v>728</v>
      </c>
      <c r="E19" s="108">
        <v>53.760375242680297</v>
      </c>
      <c r="F19" s="108">
        <v>57.4180111587048</v>
      </c>
      <c r="G19" s="108">
        <v>61.030234498903198</v>
      </c>
      <c r="H19" s="108">
        <v>65.513412650674596</v>
      </c>
      <c r="I19" s="108" t="e">
        <v>#N/A</v>
      </c>
      <c r="J19" s="108">
        <v>53.255424485541901</v>
      </c>
      <c r="L19" s="108">
        <v>43.3367689331062</v>
      </c>
      <c r="Q19" s="108"/>
    </row>
    <row r="20" spans="2:17" x14ac:dyDescent="0.3">
      <c r="B20" t="s">
        <v>67</v>
      </c>
      <c r="E20" s="108">
        <v>335.26141999999999</v>
      </c>
      <c r="F20" s="108">
        <v>360.61845</v>
      </c>
      <c r="G20" s="108">
        <v>385.06132000000002</v>
      </c>
      <c r="H20" s="108">
        <v>417.60987</v>
      </c>
      <c r="I20" s="108" t="e">
        <v>#N/A</v>
      </c>
      <c r="J20" s="108">
        <v>436.60660999999999</v>
      </c>
      <c r="L20" s="108">
        <v>507.79374999999999</v>
      </c>
      <c r="Q20" s="108"/>
    </row>
    <row r="21" spans="2:17" x14ac:dyDescent="0.3">
      <c r="B21" t="s">
        <v>729</v>
      </c>
      <c r="E21" s="108">
        <v>6.2750792168080798</v>
      </c>
      <c r="F21" s="108">
        <v>5.2109919935464903</v>
      </c>
      <c r="G21" s="108">
        <v>2.69713026285172</v>
      </c>
      <c r="H21" s="108">
        <v>2.2705829143524201</v>
      </c>
      <c r="I21" s="108" t="e">
        <v>#N/A</v>
      </c>
      <c r="J21" s="108">
        <v>1.04350608307868</v>
      </c>
      <c r="L21" s="108" t="e">
        <v>#N/A</v>
      </c>
      <c r="Q21" s="108"/>
    </row>
    <row r="22" spans="2:17" x14ac:dyDescent="0.3">
      <c r="B22" t="s">
        <v>70</v>
      </c>
      <c r="E22" s="108">
        <v>92.006900284439297</v>
      </c>
      <c r="F22" s="108">
        <v>99.7370921000838</v>
      </c>
      <c r="G22" s="108">
        <v>111.36389556899699</v>
      </c>
      <c r="H22" s="108">
        <v>97.8976014666259</v>
      </c>
      <c r="I22" s="108" t="e">
        <v>#N/A</v>
      </c>
      <c r="J22" s="108">
        <v>105.705335503444</v>
      </c>
      <c r="L22" s="108">
        <v>151.177740805317</v>
      </c>
      <c r="Q22" s="108"/>
    </row>
    <row r="23" spans="2:17" x14ac:dyDescent="0.3">
      <c r="B23" t="s">
        <v>131</v>
      </c>
      <c r="E23" s="108">
        <v>232.318664988503</v>
      </c>
      <c r="F23" s="108">
        <v>262.08700414747</v>
      </c>
      <c r="G23" s="108">
        <v>274.90806696191402</v>
      </c>
      <c r="H23" s="108">
        <v>292.67813766002701</v>
      </c>
      <c r="I23" s="108" t="e">
        <v>#N/A</v>
      </c>
      <c r="J23" s="108">
        <v>348.36626762989903</v>
      </c>
      <c r="L23" s="108">
        <v>411.848071970977</v>
      </c>
      <c r="Q23" s="108"/>
    </row>
    <row r="24" spans="2:17" x14ac:dyDescent="0.3">
      <c r="E24" s="108"/>
      <c r="F24" s="108"/>
      <c r="G24" s="108"/>
      <c r="H24" s="108"/>
      <c r="I24" s="108"/>
      <c r="J24" s="108"/>
      <c r="L24" s="108"/>
      <c r="Q24" s="108"/>
    </row>
    <row r="25" spans="2:17" x14ac:dyDescent="0.3">
      <c r="B25" t="s">
        <v>183</v>
      </c>
      <c r="E25" s="108">
        <v>7.3761200000000002</v>
      </c>
      <c r="F25" s="108">
        <v>248.80059</v>
      </c>
      <c r="G25" s="108">
        <v>354.22822000000002</v>
      </c>
      <c r="H25" s="108">
        <v>44.829819999999998</v>
      </c>
      <c r="I25" s="108" t="e">
        <v>#N/A</v>
      </c>
      <c r="J25" s="108">
        <v>636.15426000000002</v>
      </c>
      <c r="L25" s="108">
        <v>-82.493859999999998</v>
      </c>
      <c r="Q25" s="108"/>
    </row>
    <row r="26" spans="2:17" x14ac:dyDescent="0.3">
      <c r="E26" s="108"/>
      <c r="F26" s="108"/>
      <c r="G26" s="108"/>
      <c r="H26" s="108"/>
      <c r="I26" s="108"/>
      <c r="J26" s="108"/>
      <c r="L26" s="108"/>
      <c r="Q26" s="108"/>
    </row>
    <row r="27" spans="2:17" x14ac:dyDescent="0.3">
      <c r="B27" t="s">
        <v>730</v>
      </c>
      <c r="E27" s="108">
        <v>598.60557934269298</v>
      </c>
      <c r="F27" s="108">
        <v>725.08300197590097</v>
      </c>
      <c r="G27" s="108">
        <v>879.45837294915702</v>
      </c>
      <c r="H27" s="108">
        <v>710.57473816908896</v>
      </c>
      <c r="I27" s="108" t="e">
        <v>#N/A</v>
      </c>
      <c r="J27" s="108">
        <v>1361.2025997513001</v>
      </c>
      <c r="L27" s="108">
        <v>1312.40231640497</v>
      </c>
      <c r="Q27" s="108"/>
    </row>
    <row r="28" spans="2:17" x14ac:dyDescent="0.3">
      <c r="B28" t="s">
        <v>731</v>
      </c>
      <c r="E28" s="108">
        <v>281.47724803537102</v>
      </c>
      <c r="F28" s="108">
        <v>279.89388131536498</v>
      </c>
      <c r="G28" s="108">
        <v>305.469409183133</v>
      </c>
      <c r="H28" s="108">
        <v>456.83262515813101</v>
      </c>
      <c r="I28" s="108" t="e">
        <v>#N/A</v>
      </c>
      <c r="J28" s="108">
        <v>386.778393194079</v>
      </c>
      <c r="L28" s="108">
        <v>338.31639973260502</v>
      </c>
      <c r="Q28" s="108"/>
    </row>
    <row r="29" spans="2:17" x14ac:dyDescent="0.3">
      <c r="B29" t="s">
        <v>124</v>
      </c>
      <c r="E29" s="108">
        <v>2698.8030437193802</v>
      </c>
      <c r="F29" s="108">
        <v>2699.6400100328001</v>
      </c>
      <c r="G29" s="108">
        <v>2823.5168452141802</v>
      </c>
      <c r="H29" s="108">
        <v>2995.5539328977502</v>
      </c>
      <c r="I29" s="108" t="e">
        <v>#N/A</v>
      </c>
      <c r="J29" s="108">
        <v>3266.47822457552</v>
      </c>
      <c r="L29" s="108">
        <v>3129.4785617971802</v>
      </c>
      <c r="Q29" s="108"/>
    </row>
    <row r="30" spans="2:17" x14ac:dyDescent="0.3">
      <c r="B30" t="s">
        <v>144</v>
      </c>
      <c r="E30" s="108">
        <v>1170.8801786415299</v>
      </c>
      <c r="F30" s="108">
        <v>1148.6660089921199</v>
      </c>
      <c r="G30" s="108">
        <v>1285.8031066251001</v>
      </c>
      <c r="H30" s="108">
        <v>1402.6426926255201</v>
      </c>
      <c r="I30" s="108" t="e">
        <v>#N/A</v>
      </c>
      <c r="J30" s="108">
        <v>1316.4868783596901</v>
      </c>
      <c r="L30" s="108">
        <v>1205.9192061941101</v>
      </c>
      <c r="Q30" s="108"/>
    </row>
    <row r="31" spans="2:17" x14ac:dyDescent="0.3">
      <c r="B31" t="s">
        <v>732</v>
      </c>
      <c r="E31" s="108">
        <v>314.53659970313299</v>
      </c>
      <c r="F31" s="108">
        <v>304.934181233868</v>
      </c>
      <c r="G31" s="108">
        <v>226.17161501199001</v>
      </c>
      <c r="H31" s="108">
        <v>122.216697223485</v>
      </c>
      <c r="I31" s="108" t="e">
        <v>#N/A</v>
      </c>
      <c r="J31" s="108">
        <v>425.32473375881102</v>
      </c>
      <c r="L31" s="108">
        <v>358.595329531934</v>
      </c>
      <c r="Q31" s="108"/>
    </row>
    <row r="32" spans="2:17" x14ac:dyDescent="0.3">
      <c r="B32" t="s">
        <v>733</v>
      </c>
      <c r="E32" s="108">
        <v>1966.6937393322601</v>
      </c>
      <c r="F32" s="108">
        <v>1979.35408888385</v>
      </c>
      <c r="G32" s="108">
        <v>2153.08802046347</v>
      </c>
      <c r="H32" s="108">
        <v>2296.2243480607899</v>
      </c>
      <c r="I32" s="108" t="e">
        <v>#N/A</v>
      </c>
      <c r="J32" s="108">
        <v>2446.2086562691302</v>
      </c>
      <c r="L32" s="108">
        <v>2429.1380279772002</v>
      </c>
      <c r="Q32" s="108"/>
    </row>
    <row r="33" spans="2:24" x14ac:dyDescent="0.3">
      <c r="E33" s="108"/>
      <c r="F33" s="108"/>
      <c r="G33" s="108"/>
      <c r="H33" s="108"/>
      <c r="I33" s="108"/>
      <c r="J33" s="108"/>
      <c r="L33" s="108"/>
      <c r="Q33" s="108"/>
    </row>
    <row r="34" spans="2:24" x14ac:dyDescent="0.3">
      <c r="B34" t="s">
        <v>734</v>
      </c>
      <c r="E34" s="108">
        <v>377.71919071881302</v>
      </c>
      <c r="F34" s="108">
        <v>378.01840501802701</v>
      </c>
      <c r="G34" s="108">
        <v>378.05199905162101</v>
      </c>
      <c r="H34" s="108">
        <v>378.05652600000002</v>
      </c>
      <c r="I34" s="108" t="e">
        <v>#N/A</v>
      </c>
      <c r="J34" s="108">
        <v>367.684619</v>
      </c>
      <c r="L34" s="108">
        <v>367.70048600000001</v>
      </c>
      <c r="Q34" s="108"/>
    </row>
    <row r="35" spans="2:24" x14ac:dyDescent="0.3">
      <c r="E35" s="108"/>
      <c r="F35" s="108"/>
      <c r="G35" s="108"/>
      <c r="H35" s="108"/>
      <c r="I35" s="108"/>
      <c r="J35" s="108"/>
      <c r="L35" s="108"/>
      <c r="Q35" s="108"/>
    </row>
    <row r="36" spans="2:24" x14ac:dyDescent="0.3">
      <c r="E36" s="108"/>
      <c r="F36" s="108"/>
      <c r="G36" s="108"/>
      <c r="H36" s="108"/>
      <c r="I36" s="108"/>
      <c r="J36" s="108"/>
      <c r="L36" s="108"/>
      <c r="Q36" s="108"/>
    </row>
    <row r="38" spans="2:24" ht="12.9" x14ac:dyDescent="0.35">
      <c r="B38" s="1" t="s">
        <v>735</v>
      </c>
    </row>
    <row r="41" spans="2:24" x14ac:dyDescent="0.3">
      <c r="X41" s="110"/>
    </row>
    <row r="42" spans="2:24" ht="12.65" customHeight="1" x14ac:dyDescent="0.3">
      <c r="N42" s="111"/>
    </row>
    <row r="43" spans="2:24" x14ac:dyDescent="0.3">
      <c r="C43" s="112"/>
    </row>
    <row r="50" spans="1:11" ht="17.600000000000001" x14ac:dyDescent="0.4">
      <c r="A50" t="s">
        <v>1</v>
      </c>
      <c r="B50" s="2" t="s">
        <v>163</v>
      </c>
      <c r="C50" s="2"/>
      <c r="D50" s="2"/>
      <c r="E50" s="2"/>
      <c r="F50" s="2"/>
      <c r="G50" s="2"/>
      <c r="H50" s="2"/>
      <c r="I50" s="2"/>
      <c r="J50" s="2"/>
      <c r="K50" s="2"/>
    </row>
    <row r="52" spans="1:11" x14ac:dyDescent="0.3">
      <c r="B52" s="31" t="s">
        <v>93</v>
      </c>
      <c r="C52" s="31"/>
      <c r="D52" s="31"/>
      <c r="E52" s="213">
        <v>2019</v>
      </c>
      <c r="F52" s="213">
        <v>2020</v>
      </c>
      <c r="G52" s="213">
        <v>2021</v>
      </c>
      <c r="H52" s="213">
        <v>2022</v>
      </c>
      <c r="I52" s="213">
        <v>2023</v>
      </c>
      <c r="J52" s="213" t="s">
        <v>187</v>
      </c>
      <c r="K52" s="213" t="s">
        <v>188</v>
      </c>
    </row>
    <row r="54" spans="1:11" x14ac:dyDescent="0.3">
      <c r="B54" s="32" t="s">
        <v>164</v>
      </c>
      <c r="C54" s="32"/>
      <c r="D54" s="32"/>
      <c r="E54" s="32"/>
      <c r="F54" s="32"/>
      <c r="G54" s="32"/>
      <c r="H54" s="32"/>
      <c r="I54" s="32"/>
      <c r="J54" s="32"/>
      <c r="K54" s="32"/>
    </row>
    <row r="55" spans="1:11" x14ac:dyDescent="0.3">
      <c r="B55" s="37" t="s">
        <v>165</v>
      </c>
      <c r="E55" s="114">
        <f t="shared" ref="E55:J55" si="0">IFERROR((E16-E17)/E16,"-")</f>
        <v>0.2015307847300177</v>
      </c>
      <c r="F55" s="114">
        <f t="shared" si="0"/>
        <v>0.19341973657000713</v>
      </c>
      <c r="G55" s="114">
        <f t="shared" si="0"/>
        <v>0.19238757837694287</v>
      </c>
      <c r="H55" s="114">
        <f t="shared" si="0"/>
        <v>0.1878266619262971</v>
      </c>
      <c r="I55" s="114" t="str">
        <f t="shared" si="0"/>
        <v>-</v>
      </c>
      <c r="J55" s="114">
        <f t="shared" si="0"/>
        <v>0.2266187050359722</v>
      </c>
      <c r="K55" s="114">
        <f>IFERROR((L16-L17)/L16,"-")</f>
        <v>0.23991979501618244</v>
      </c>
    </row>
    <row r="56" spans="1:11" x14ac:dyDescent="0.3">
      <c r="B56" s="37" t="s">
        <v>121</v>
      </c>
      <c r="E56" s="114">
        <f t="shared" ref="E56:J56" si="1">IFERROR(E18/E16,"-")</f>
        <v>0.10591083109941023</v>
      </c>
      <c r="F56" s="114">
        <f t="shared" si="1"/>
        <v>0.10901621045780846</v>
      </c>
      <c r="G56" s="114">
        <f t="shared" si="1"/>
        <v>0.11364949511799811</v>
      </c>
      <c r="H56" s="114">
        <f t="shared" si="1"/>
        <v>0.11311764656580917</v>
      </c>
      <c r="I56" s="114" t="str">
        <f t="shared" si="1"/>
        <v>-</v>
      </c>
      <c r="J56" s="114">
        <f t="shared" si="1"/>
        <v>0.14252487416210463</v>
      </c>
      <c r="K56" s="114">
        <f>IFERROR(L18/L16,"-")</f>
        <v>0.15853060102253455</v>
      </c>
    </row>
    <row r="57" spans="1:11" x14ac:dyDescent="0.3">
      <c r="B57" s="37" t="s">
        <v>166</v>
      </c>
      <c r="E57" s="114">
        <f t="shared" ref="E57:J57" si="2">IFERROR(E20/E16,"-")</f>
        <v>9.1274616558168292E-2</v>
      </c>
      <c r="F57" s="114">
        <f t="shared" si="2"/>
        <v>9.4042650825644919E-2</v>
      </c>
      <c r="G57" s="114">
        <f t="shared" si="2"/>
        <v>9.8100994308163686E-2</v>
      </c>
      <c r="H57" s="114">
        <f t="shared" si="2"/>
        <v>9.7778450413429696E-2</v>
      </c>
      <c r="I57" s="114" t="str">
        <f t="shared" si="2"/>
        <v>-</v>
      </c>
      <c r="J57" s="114">
        <f t="shared" si="2"/>
        <v>0.12703026227322231</v>
      </c>
      <c r="K57" s="114">
        <f>IFERROR(L20/L16,"-")</f>
        <v>0.14606494371421608</v>
      </c>
    </row>
    <row r="58" spans="1:11" x14ac:dyDescent="0.3">
      <c r="B58" s="37" t="s">
        <v>167</v>
      </c>
      <c r="E58" s="115">
        <f t="shared" ref="E58:J58" si="3">IFERROR(E23/E16,"-")</f>
        <v>6.3248545168517065E-2</v>
      </c>
      <c r="F58" s="115">
        <f t="shared" si="3"/>
        <v>6.834746424366217E-2</v>
      </c>
      <c r="G58" s="115">
        <f t="shared" si="3"/>
        <v>7.003755846549066E-2</v>
      </c>
      <c r="H58" s="115">
        <f t="shared" si="3"/>
        <v>6.852715135848178E-2</v>
      </c>
      <c r="I58" s="115" t="str">
        <f t="shared" si="3"/>
        <v>-</v>
      </c>
      <c r="J58" s="115">
        <f t="shared" si="3"/>
        <v>0.10135682174891862</v>
      </c>
      <c r="K58" s="115">
        <f>IFERROR(L23/L16,"-")</f>
        <v>0.11846653380678508</v>
      </c>
    </row>
    <row r="59" spans="1:11" x14ac:dyDescent="0.3">
      <c r="E59" s="116"/>
      <c r="F59" s="116"/>
      <c r="G59" s="116"/>
      <c r="H59" s="116"/>
      <c r="I59" s="116"/>
      <c r="J59" s="116"/>
      <c r="K59" s="116"/>
    </row>
    <row r="60" spans="1:11" x14ac:dyDescent="0.3">
      <c r="B60" s="32" t="s">
        <v>168</v>
      </c>
      <c r="C60" s="32"/>
      <c r="D60" s="32"/>
      <c r="E60" s="117"/>
      <c r="F60" s="117"/>
      <c r="G60" s="117"/>
      <c r="H60" s="117"/>
      <c r="I60" s="117"/>
      <c r="J60" s="117"/>
      <c r="K60" s="117"/>
    </row>
    <row r="61" spans="1:11" x14ac:dyDescent="0.3">
      <c r="B61" s="37" t="s">
        <v>169</v>
      </c>
      <c r="E61" s="114">
        <f t="shared" ref="E61:J61" si="4">IFERROR(E29/E30,"-")</f>
        <v>2.3049352896643667</v>
      </c>
      <c r="F61" s="114">
        <f t="shared" si="4"/>
        <v>2.3502393114266167</v>
      </c>
      <c r="G61" s="114">
        <f t="shared" si="4"/>
        <v>2.195916957009989</v>
      </c>
      <c r="H61" s="114">
        <f t="shared" si="4"/>
        <v>2.13565004733355</v>
      </c>
      <c r="I61" s="114" t="str">
        <f t="shared" si="4"/>
        <v>-</v>
      </c>
      <c r="J61" s="114">
        <f t="shared" si="4"/>
        <v>2.4812083418905555</v>
      </c>
      <c r="K61" s="114">
        <f>IFERROR(L29/L30,"-")</f>
        <v>2.5950980345307193</v>
      </c>
    </row>
    <row r="62" spans="1:11" x14ac:dyDescent="0.3">
      <c r="B62" s="37" t="s">
        <v>170</v>
      </c>
      <c r="E62" s="114">
        <f t="shared" ref="E62:J62" si="5">IFERROR((E29-E28)/E30,"-")</f>
        <v>2.0645372940625073</v>
      </c>
      <c r="F62" s="114">
        <f t="shared" si="5"/>
        <v>2.1065706739599666</v>
      </c>
      <c r="G62" s="114">
        <f t="shared" si="5"/>
        <v>1.9583460508508719</v>
      </c>
      <c r="H62" s="114">
        <f t="shared" si="5"/>
        <v>1.8099558220258816</v>
      </c>
      <c r="I62" s="114" t="str">
        <f t="shared" si="5"/>
        <v>-</v>
      </c>
      <c r="J62" s="114">
        <f t="shared" si="5"/>
        <v>2.1874124829633512</v>
      </c>
      <c r="K62" s="114">
        <f>IFERROR((L29-L28)/L30,"-")</f>
        <v>2.3145515451847753</v>
      </c>
    </row>
    <row r="63" spans="1:11" x14ac:dyDescent="0.3">
      <c r="B63" s="37" t="s">
        <v>171</v>
      </c>
      <c r="E63" s="114">
        <f t="shared" ref="E63:J63" si="6">IFERROR(E27/E30,"-")</f>
        <v>0.51124409675907467</v>
      </c>
      <c r="F63" s="114">
        <f t="shared" si="6"/>
        <v>0.63123919076539436</v>
      </c>
      <c r="G63" s="114">
        <f t="shared" si="6"/>
        <v>0.68397592789887351</v>
      </c>
      <c r="H63" s="114">
        <f t="shared" si="6"/>
        <v>0.50659711265383489</v>
      </c>
      <c r="I63" s="114" t="str">
        <f t="shared" si="6"/>
        <v>-</v>
      </c>
      <c r="J63" s="114">
        <f t="shared" si="6"/>
        <v>1.0339659453707011</v>
      </c>
      <c r="K63" s="114">
        <f>IFERROR(L27/L30,"-")</f>
        <v>1.0883003684358932</v>
      </c>
    </row>
    <row r="64" spans="1:11" x14ac:dyDescent="0.3">
      <c r="E64" s="116"/>
      <c r="F64" s="116"/>
      <c r="G64" s="116"/>
      <c r="H64" s="116"/>
      <c r="I64" s="116"/>
      <c r="J64" s="116"/>
      <c r="K64" s="116"/>
    </row>
    <row r="65" spans="2:11" x14ac:dyDescent="0.3">
      <c r="B65" s="32" t="s">
        <v>172</v>
      </c>
      <c r="C65" s="32"/>
      <c r="D65" s="32"/>
      <c r="E65" s="117"/>
      <c r="F65" s="117"/>
      <c r="G65" s="117"/>
      <c r="H65" s="117"/>
      <c r="I65" s="117"/>
      <c r="J65" s="117"/>
      <c r="K65" s="117"/>
    </row>
    <row r="66" spans="2:11" x14ac:dyDescent="0.3">
      <c r="B66" s="37" t="s">
        <v>173</v>
      </c>
      <c r="E66" s="118">
        <f t="shared" ref="E66:J66" si="7">IFERROR(E31/E32,"-")</f>
        <v>0.15993166267459913</v>
      </c>
      <c r="F66" s="118">
        <f t="shared" si="7"/>
        <v>0.15405741850151691</v>
      </c>
      <c r="G66" s="118">
        <f t="shared" si="7"/>
        <v>0.10504522474808285</v>
      </c>
      <c r="H66" s="118">
        <f t="shared" si="7"/>
        <v>5.3225068067368764E-2</v>
      </c>
      <c r="I66" s="118" t="str">
        <f t="shared" si="7"/>
        <v>-</v>
      </c>
      <c r="J66" s="118">
        <f t="shared" si="7"/>
        <v>0.1738709952925688</v>
      </c>
      <c r="K66" s="118">
        <f>IFERROR(L31/L32,"-")</f>
        <v>0.14762245924351391</v>
      </c>
    </row>
    <row r="67" spans="2:11" x14ac:dyDescent="0.3">
      <c r="B67" s="37" t="s">
        <v>174</v>
      </c>
      <c r="E67" s="119">
        <f t="shared" ref="E67:J67" si="8">IFERROR(E31-E27,"-")</f>
        <v>-284.06897963955998</v>
      </c>
      <c r="F67" s="119">
        <f t="shared" si="8"/>
        <v>-420.14882074203297</v>
      </c>
      <c r="G67" s="119">
        <f t="shared" si="8"/>
        <v>-653.28675793716707</v>
      </c>
      <c r="H67" s="119">
        <f t="shared" si="8"/>
        <v>-588.35804094560399</v>
      </c>
      <c r="I67" s="119" t="str">
        <f t="shared" si="8"/>
        <v>-</v>
      </c>
      <c r="J67" s="119">
        <f t="shared" si="8"/>
        <v>-935.87786599248909</v>
      </c>
      <c r="K67" s="119">
        <f>IFERROR(L31-L27,"-")</f>
        <v>-953.80698687303595</v>
      </c>
    </row>
    <row r="68" spans="2:11" x14ac:dyDescent="0.3">
      <c r="B68" s="37" t="s">
        <v>175</v>
      </c>
      <c r="E68" s="118">
        <f t="shared" ref="E68:J68" si="9">IFERROR(E67/E18,"-")</f>
        <v>-0.73021352438233533</v>
      </c>
      <c r="F68" s="118">
        <f t="shared" si="9"/>
        <v>-1.0050530538461477</v>
      </c>
      <c r="G68" s="118">
        <f t="shared" si="9"/>
        <v>-1.4644679056062979</v>
      </c>
      <c r="H68" s="118">
        <f t="shared" si="9"/>
        <v>-1.2178217554442914</v>
      </c>
      <c r="I68" s="118" t="str">
        <f t="shared" si="9"/>
        <v>-</v>
      </c>
      <c r="J68" s="118">
        <f t="shared" si="9"/>
        <v>-1.9104927687342681</v>
      </c>
      <c r="K68" s="118">
        <f>IFERROR(K67/L18,"-")</f>
        <v>-1.730637212530048</v>
      </c>
    </row>
    <row r="69" spans="2:11" x14ac:dyDescent="0.3">
      <c r="E69" s="116"/>
      <c r="F69" s="116"/>
      <c r="G69" s="116"/>
      <c r="H69" s="116"/>
      <c r="I69" s="116"/>
      <c r="J69" s="116"/>
      <c r="K69" s="116"/>
    </row>
    <row r="70" spans="2:11" x14ac:dyDescent="0.3">
      <c r="B70" s="32" t="s">
        <v>178</v>
      </c>
      <c r="C70" s="32"/>
      <c r="D70" s="32"/>
      <c r="E70" s="117"/>
      <c r="F70" s="117"/>
      <c r="G70" s="117"/>
      <c r="H70" s="117"/>
      <c r="I70" s="117"/>
      <c r="J70" s="117"/>
      <c r="K70" s="117"/>
    </row>
    <row r="71" spans="2:11" x14ac:dyDescent="0.3">
      <c r="B71" s="37" t="s">
        <v>179</v>
      </c>
      <c r="E71" s="118">
        <f t="shared" ref="E71:J71" si="10">IFERROR(E20/E21,"-")</f>
        <v>53.427440262743985</v>
      </c>
      <c r="F71" s="118">
        <f t="shared" si="10"/>
        <v>69.203416632880064</v>
      </c>
      <c r="G71" s="118">
        <f t="shared" si="10"/>
        <v>142.76704588708608</v>
      </c>
      <c r="H71" s="118">
        <f t="shared" si="10"/>
        <v>183.92187634297605</v>
      </c>
      <c r="I71" s="118" t="str">
        <f t="shared" si="10"/>
        <v>-</v>
      </c>
      <c r="J71" s="118">
        <f t="shared" si="10"/>
        <v>418.40351204457716</v>
      </c>
      <c r="K71" s="118" t="str">
        <f>IFERROR(L20/L21,"-")</f>
        <v>-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576BD-9070-4ACA-8557-B0CB32022C49}">
  <dimension ref="A2:X71"/>
  <sheetViews>
    <sheetView showGridLines="0" topLeftCell="A48" zoomScale="115" zoomScaleNormal="115" workbookViewId="0">
      <selection activeCell="A72" sqref="A72:XFD78"/>
    </sheetView>
  </sheetViews>
  <sheetFormatPr defaultRowHeight="12.45" x14ac:dyDescent="0.3"/>
  <cols>
    <col min="1" max="1" width="2.69140625" customWidth="1"/>
    <col min="2" max="2" width="18.53515625" customWidth="1"/>
    <col min="3" max="3" width="19.3828125" bestFit="1" customWidth="1"/>
    <col min="4" max="4" width="6.69140625" customWidth="1"/>
    <col min="5" max="18" width="10.53515625" customWidth="1"/>
  </cols>
  <sheetData>
    <row r="2" spans="1:23" x14ac:dyDescent="0.3">
      <c r="A2" t="s">
        <v>1</v>
      </c>
      <c r="B2" s="97" t="s">
        <v>694</v>
      </c>
      <c r="C2" s="97"/>
      <c r="D2" s="97"/>
      <c r="E2" s="97"/>
      <c r="F2" s="97"/>
      <c r="G2" s="97"/>
      <c r="H2" s="97"/>
      <c r="I2" s="97"/>
      <c r="K2" s="98"/>
      <c r="L2" s="98"/>
      <c r="M2" s="98"/>
      <c r="N2" s="98"/>
      <c r="O2" s="98"/>
      <c r="P2" s="98"/>
      <c r="Q2" s="98"/>
      <c r="R2" s="98"/>
      <c r="S2" s="98"/>
      <c r="T2" s="98"/>
    </row>
    <row r="4" spans="1:23" x14ac:dyDescent="0.3">
      <c r="B4" s="99" t="s">
        <v>695</v>
      </c>
      <c r="C4" s="99"/>
      <c r="E4" s="99" t="s">
        <v>696</v>
      </c>
      <c r="F4" s="99"/>
      <c r="G4" s="99"/>
      <c r="H4" s="99"/>
      <c r="I4" s="99"/>
    </row>
    <row r="5" spans="1:23" x14ac:dyDescent="0.3">
      <c r="B5" t="s">
        <v>697</v>
      </c>
      <c r="C5" s="100" t="s">
        <v>714</v>
      </c>
      <c r="E5" t="s">
        <v>699</v>
      </c>
      <c r="F5" s="101" t="s">
        <v>187</v>
      </c>
      <c r="H5" t="s">
        <v>700</v>
      </c>
      <c r="I5" s="102">
        <v>3</v>
      </c>
    </row>
    <row r="6" spans="1:23" x14ac:dyDescent="0.3">
      <c r="B6" t="s">
        <v>701</v>
      </c>
      <c r="C6" s="100" t="s">
        <v>713</v>
      </c>
      <c r="E6" t="s">
        <v>703</v>
      </c>
      <c r="F6" s="102" t="s">
        <v>704</v>
      </c>
      <c r="H6" t="s">
        <v>703</v>
      </c>
      <c r="I6" s="102" t="s">
        <v>705</v>
      </c>
      <c r="V6" t="s">
        <v>702</v>
      </c>
      <c r="W6" t="s">
        <v>189</v>
      </c>
    </row>
    <row r="7" spans="1:23" x14ac:dyDescent="0.3">
      <c r="B7" t="s">
        <v>706</v>
      </c>
      <c r="C7" s="100">
        <v>-5</v>
      </c>
      <c r="V7" t="s">
        <v>707</v>
      </c>
      <c r="W7" t="s">
        <v>190</v>
      </c>
    </row>
    <row r="8" spans="1:23" x14ac:dyDescent="0.3">
      <c r="B8" t="s">
        <v>708</v>
      </c>
      <c r="C8" s="100">
        <v>0</v>
      </c>
      <c r="E8" t="s">
        <v>709</v>
      </c>
      <c r="F8" s="103">
        <v>24.60877</v>
      </c>
      <c r="V8" s="113" t="s">
        <v>710</v>
      </c>
      <c r="W8" s="113" t="s">
        <v>196</v>
      </c>
    </row>
    <row r="9" spans="1:23" x14ac:dyDescent="0.3">
      <c r="B9" t="s">
        <v>711</v>
      </c>
      <c r="C9" s="100" t="s">
        <v>712</v>
      </c>
      <c r="V9" t="s">
        <v>713</v>
      </c>
      <c r="W9" t="s">
        <v>714</v>
      </c>
    </row>
    <row r="10" spans="1:23" x14ac:dyDescent="0.3">
      <c r="B10" t="s">
        <v>715</v>
      </c>
      <c r="C10" s="100" t="s">
        <v>237</v>
      </c>
      <c r="V10" t="s">
        <v>716</v>
      </c>
      <c r="W10" t="s">
        <v>717</v>
      </c>
    </row>
    <row r="11" spans="1:23" x14ac:dyDescent="0.3">
      <c r="B11" t="s">
        <v>718</v>
      </c>
      <c r="C11" s="104">
        <v>45992</v>
      </c>
      <c r="V11" t="s">
        <v>719</v>
      </c>
      <c r="W11" t="s">
        <v>720</v>
      </c>
    </row>
    <row r="12" spans="1:23" x14ac:dyDescent="0.3">
      <c r="V12" t="s">
        <v>721</v>
      </c>
      <c r="W12" t="s">
        <v>194</v>
      </c>
    </row>
    <row r="13" spans="1:23" x14ac:dyDescent="0.3">
      <c r="A13" t="s">
        <v>1</v>
      </c>
      <c r="B13" s="97" t="s">
        <v>722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V13" t="s">
        <v>723</v>
      </c>
      <c r="W13" t="s">
        <v>195</v>
      </c>
    </row>
    <row r="14" spans="1:23" ht="12.9" x14ac:dyDescent="0.35">
      <c r="B14" s="1" t="s">
        <v>724</v>
      </c>
      <c r="V14" t="s">
        <v>725</v>
      </c>
      <c r="W14" t="s">
        <v>726</v>
      </c>
    </row>
    <row r="15" spans="1:23" x14ac:dyDescent="0.3">
      <c r="B15" s="105"/>
      <c r="C15" s="105"/>
      <c r="D15" s="105"/>
      <c r="E15" s="106">
        <v>2019</v>
      </c>
      <c r="F15" s="106">
        <v>2020</v>
      </c>
      <c r="G15" s="106">
        <v>2021</v>
      </c>
      <c r="H15" s="106">
        <v>2022</v>
      </c>
      <c r="I15" s="106">
        <v>2023</v>
      </c>
      <c r="J15" s="106" t="s">
        <v>187</v>
      </c>
      <c r="L15" s="107" t="s">
        <v>188</v>
      </c>
    </row>
    <row r="16" spans="1:23" x14ac:dyDescent="0.3">
      <c r="B16" t="s">
        <v>57</v>
      </c>
      <c r="E16" s="108">
        <v>2941.08016809225</v>
      </c>
      <c r="F16" s="109">
        <v>2466.80967513323</v>
      </c>
      <c r="G16" s="109">
        <v>2602.1570104777802</v>
      </c>
      <c r="H16" s="109">
        <v>3376.2004655838</v>
      </c>
      <c r="I16" s="109">
        <v>3809.3057960689098</v>
      </c>
      <c r="J16" s="109">
        <v>3982.8389203309998</v>
      </c>
      <c r="L16" s="108">
        <v>3544.9497846603399</v>
      </c>
      <c r="Q16" s="108"/>
    </row>
    <row r="17" spans="2:17" x14ac:dyDescent="0.3">
      <c r="B17" t="s">
        <v>727</v>
      </c>
      <c r="E17" s="108">
        <v>2435.91985244751</v>
      </c>
      <c r="F17" s="108">
        <v>2047.1511464238199</v>
      </c>
      <c r="G17" s="108">
        <v>2291.0690848827398</v>
      </c>
      <c r="H17" s="108">
        <v>2899.4048019409202</v>
      </c>
      <c r="I17" s="108">
        <v>3044.1702414691399</v>
      </c>
      <c r="J17" s="108">
        <v>3115.40060294867</v>
      </c>
      <c r="L17" s="108">
        <v>2839.32941409349</v>
      </c>
      <c r="Q17" s="108"/>
    </row>
    <row r="18" spans="2:17" x14ac:dyDescent="0.3">
      <c r="B18" t="s">
        <v>64</v>
      </c>
      <c r="E18" s="108">
        <v>108.28693</v>
      </c>
      <c r="F18" s="108">
        <v>96.66883</v>
      </c>
      <c r="G18" s="108">
        <v>-26.988600000000002</v>
      </c>
      <c r="H18" s="108">
        <v>70.981750000000005</v>
      </c>
      <c r="I18" s="108">
        <v>274.99372</v>
      </c>
      <c r="J18" s="108">
        <v>331.42559</v>
      </c>
      <c r="L18" s="108">
        <v>183.96854999999999</v>
      </c>
      <c r="Q18" s="108"/>
    </row>
    <row r="19" spans="2:17" x14ac:dyDescent="0.3">
      <c r="B19" t="s">
        <v>728</v>
      </c>
      <c r="E19" s="108">
        <v>38.686667257547398</v>
      </c>
      <c r="F19" s="108">
        <v>37.632422411441802</v>
      </c>
      <c r="G19" s="108">
        <v>39.086924564838398</v>
      </c>
      <c r="H19" s="108">
        <v>41.2950145721436</v>
      </c>
      <c r="I19" s="108">
        <v>41.716167205572098</v>
      </c>
      <c r="J19" s="108">
        <v>44.005183744430497</v>
      </c>
      <c r="L19" s="108">
        <v>41.576347893476502</v>
      </c>
      <c r="Q19" s="108"/>
    </row>
    <row r="20" spans="2:17" x14ac:dyDescent="0.3">
      <c r="B20" t="s">
        <v>67</v>
      </c>
      <c r="E20" s="108">
        <v>69.600260000000006</v>
      </c>
      <c r="F20" s="108">
        <v>59.036409999999997</v>
      </c>
      <c r="G20" s="108">
        <v>-66.075519999999997</v>
      </c>
      <c r="H20" s="108">
        <v>29.68674</v>
      </c>
      <c r="I20" s="108">
        <v>233.27754999999999</v>
      </c>
      <c r="J20" s="108">
        <v>287.42041</v>
      </c>
      <c r="L20" s="108">
        <v>142.3922</v>
      </c>
      <c r="Q20" s="108"/>
    </row>
    <row r="21" spans="2:17" x14ac:dyDescent="0.3">
      <c r="B21" t="s">
        <v>729</v>
      </c>
      <c r="E21" s="108">
        <v>17.4224021136761</v>
      </c>
      <c r="F21" s="108">
        <v>13.684517240524301</v>
      </c>
      <c r="G21" s="108">
        <v>15.820898038148901</v>
      </c>
      <c r="H21" s="108">
        <v>28.164341735839798</v>
      </c>
      <c r="I21" s="108">
        <v>40.328711533546397</v>
      </c>
      <c r="J21" s="108">
        <v>5.8242154955863903</v>
      </c>
      <c r="L21" s="108">
        <v>27.536404705047602</v>
      </c>
      <c r="Q21" s="108"/>
    </row>
    <row r="22" spans="2:17" x14ac:dyDescent="0.3">
      <c r="B22" t="s">
        <v>70</v>
      </c>
      <c r="E22" s="108">
        <v>10.0960586607456</v>
      </c>
      <c r="F22" s="108">
        <v>3.2456867814064001</v>
      </c>
      <c r="G22" s="108">
        <v>23.942856389284099</v>
      </c>
      <c r="H22" s="108">
        <v>8.7537818908691403</v>
      </c>
      <c r="I22" s="108">
        <v>48.930936700105697</v>
      </c>
      <c r="J22" s="108">
        <v>69.1510030269623</v>
      </c>
      <c r="L22" s="108">
        <v>16.938512104749702</v>
      </c>
      <c r="Q22" s="108"/>
    </row>
    <row r="23" spans="2:17" x14ac:dyDescent="0.3">
      <c r="B23" t="s">
        <v>131</v>
      </c>
      <c r="E23" s="108">
        <v>31.985743367672001</v>
      </c>
      <c r="F23" s="108">
        <v>32.544589078426398</v>
      </c>
      <c r="G23" s="108">
        <v>-146.36445778608299</v>
      </c>
      <c r="H23" s="108">
        <v>-70.506004142761199</v>
      </c>
      <c r="I23" s="108">
        <v>116.45377940535499</v>
      </c>
      <c r="J23" s="108">
        <v>131.55331190824501</v>
      </c>
      <c r="L23" s="108">
        <v>2.4456675231456799</v>
      </c>
      <c r="Q23" s="108"/>
    </row>
    <row r="24" spans="2:17" x14ac:dyDescent="0.3">
      <c r="E24" s="108"/>
      <c r="F24" s="108"/>
      <c r="G24" s="108"/>
      <c r="H24" s="108"/>
      <c r="I24" s="108"/>
      <c r="J24" s="108"/>
      <c r="L24" s="108"/>
      <c r="Q24" s="108"/>
    </row>
    <row r="25" spans="2:17" x14ac:dyDescent="0.3">
      <c r="B25" t="s">
        <v>183</v>
      </c>
      <c r="E25" s="108">
        <v>24.123329999999999</v>
      </c>
      <c r="F25" s="108">
        <v>101.0549</v>
      </c>
      <c r="G25" s="108">
        <v>-251.94991999999999</v>
      </c>
      <c r="H25" s="108">
        <v>11.227679999999999</v>
      </c>
      <c r="I25" s="108">
        <v>106.64909</v>
      </c>
      <c r="J25" s="108">
        <v>113.61843</v>
      </c>
      <c r="L25" s="108">
        <v>13.94894</v>
      </c>
      <c r="Q25" s="108"/>
    </row>
    <row r="26" spans="2:17" x14ac:dyDescent="0.3">
      <c r="E26" s="108"/>
      <c r="F26" s="108"/>
      <c r="G26" s="108"/>
      <c r="H26" s="108"/>
      <c r="I26" s="108"/>
      <c r="J26" s="108"/>
      <c r="L26" s="108"/>
      <c r="Q26" s="108"/>
    </row>
    <row r="27" spans="2:17" x14ac:dyDescent="0.3">
      <c r="B27" t="s">
        <v>730</v>
      </c>
      <c r="E27" s="108">
        <v>57.550111830234499</v>
      </c>
      <c r="F27" s="108">
        <v>123.73830281495999</v>
      </c>
      <c r="G27" s="108">
        <v>57.597608923911999</v>
      </c>
      <c r="H27" s="108">
        <v>55.282267153263099</v>
      </c>
      <c r="I27" s="108">
        <v>71.334814167022699</v>
      </c>
      <c r="J27" s="108">
        <v>93.288263905048396</v>
      </c>
      <c r="L27" s="108">
        <v>60.5106395602226</v>
      </c>
      <c r="Q27" s="108"/>
    </row>
    <row r="28" spans="2:17" x14ac:dyDescent="0.3">
      <c r="B28" t="s">
        <v>731</v>
      </c>
      <c r="E28" s="108">
        <v>498.79733148217201</v>
      </c>
      <c r="F28" s="108">
        <v>416.32953404188203</v>
      </c>
      <c r="G28" s="108">
        <v>686.77454304695095</v>
      </c>
      <c r="H28" s="108">
        <v>749.121569305658</v>
      </c>
      <c r="I28" s="108">
        <v>738.42395832538602</v>
      </c>
      <c r="J28" s="108">
        <v>728.44034641385099</v>
      </c>
      <c r="L28" s="108">
        <v>630.04256633520095</v>
      </c>
      <c r="Q28" s="108"/>
    </row>
    <row r="29" spans="2:17" x14ac:dyDescent="0.3">
      <c r="B29" t="s">
        <v>124</v>
      </c>
      <c r="E29" s="108">
        <v>1029.66593271494</v>
      </c>
      <c r="F29" s="108">
        <v>923.296966248751</v>
      </c>
      <c r="G29" s="108">
        <v>1187.12629079819</v>
      </c>
      <c r="H29" s="108">
        <v>1366.7837812960099</v>
      </c>
      <c r="I29" s="108">
        <v>1348.9340937852901</v>
      </c>
      <c r="J29" s="108">
        <v>1384.16220139861</v>
      </c>
      <c r="L29" s="108">
        <v>1228.76598308086</v>
      </c>
      <c r="Q29" s="108"/>
    </row>
    <row r="30" spans="2:17" x14ac:dyDescent="0.3">
      <c r="B30" t="s">
        <v>144</v>
      </c>
      <c r="E30" s="108">
        <v>727.83964961767197</v>
      </c>
      <c r="F30" s="108">
        <v>617.79249073863002</v>
      </c>
      <c r="G30" s="108">
        <v>971.33311171531705</v>
      </c>
      <c r="H30" s="108">
        <v>1258.2806196629999</v>
      </c>
      <c r="I30" s="108">
        <v>1103.1548799991599</v>
      </c>
      <c r="J30" s="108">
        <v>1021.63203297257</v>
      </c>
      <c r="L30" s="108">
        <v>882.55320990085602</v>
      </c>
      <c r="Q30" s="108"/>
    </row>
    <row r="31" spans="2:17" x14ac:dyDescent="0.3">
      <c r="B31" t="s">
        <v>732</v>
      </c>
      <c r="E31" s="108">
        <v>327.21603831648798</v>
      </c>
      <c r="F31" s="108">
        <v>297.90364184975601</v>
      </c>
      <c r="G31" s="108">
        <v>519.96131536960604</v>
      </c>
      <c r="H31" s="108">
        <v>574.56078336238897</v>
      </c>
      <c r="I31" s="108">
        <v>517.72056119442004</v>
      </c>
      <c r="J31" s="108">
        <v>523.22548016309702</v>
      </c>
      <c r="L31" s="108">
        <v>398.12766788005803</v>
      </c>
      <c r="Q31" s="108"/>
    </row>
    <row r="32" spans="2:17" x14ac:dyDescent="0.3">
      <c r="B32" t="s">
        <v>733</v>
      </c>
      <c r="E32" s="108">
        <v>484.89978125691403</v>
      </c>
      <c r="F32" s="108">
        <v>504.18863280415502</v>
      </c>
      <c r="G32" s="108">
        <v>314.016887736321</v>
      </c>
      <c r="H32" s="108">
        <v>191.52026112079599</v>
      </c>
      <c r="I32" s="108">
        <v>352.96248786449399</v>
      </c>
      <c r="J32" s="108">
        <v>458.81215508580198</v>
      </c>
      <c r="L32" s="108">
        <v>456.17022228241001</v>
      </c>
      <c r="Q32" s="108"/>
    </row>
    <row r="33" spans="2:24" x14ac:dyDescent="0.3">
      <c r="E33" s="108"/>
      <c r="F33" s="108"/>
      <c r="G33" s="108"/>
      <c r="H33" s="108"/>
      <c r="I33" s="108"/>
      <c r="J33" s="108"/>
      <c r="L33" s="108"/>
      <c r="Q33" s="108"/>
    </row>
    <row r="34" spans="2:24" x14ac:dyDescent="0.3">
      <c r="B34" t="s">
        <v>734</v>
      </c>
      <c r="E34" s="108">
        <v>16.666917000000002</v>
      </c>
      <c r="F34" s="108">
        <v>16.805437000000001</v>
      </c>
      <c r="G34" s="108">
        <v>16.826899999999998</v>
      </c>
      <c r="H34" s="108">
        <v>16.938514999999999</v>
      </c>
      <c r="I34" s="108">
        <v>17.18563</v>
      </c>
      <c r="J34" s="108">
        <v>17.418970000000002</v>
      </c>
      <c r="L34" s="108">
        <v>17.720627</v>
      </c>
      <c r="Q34" s="108"/>
    </row>
    <row r="35" spans="2:24" x14ac:dyDescent="0.3">
      <c r="E35" s="108"/>
      <c r="F35" s="108"/>
      <c r="G35" s="108"/>
      <c r="H35" s="108"/>
      <c r="I35" s="108"/>
      <c r="J35" s="108"/>
      <c r="L35" s="108"/>
      <c r="Q35" s="108"/>
    </row>
    <row r="36" spans="2:24" x14ac:dyDescent="0.3">
      <c r="E36" s="108"/>
      <c r="F36" s="108"/>
      <c r="G36" s="108"/>
      <c r="H36" s="108"/>
      <c r="I36" s="108"/>
      <c r="J36" s="108"/>
      <c r="L36" s="108"/>
      <c r="Q36" s="108"/>
    </row>
    <row r="38" spans="2:24" ht="12.9" x14ac:dyDescent="0.35">
      <c r="B38" s="1" t="s">
        <v>735</v>
      </c>
    </row>
    <row r="41" spans="2:24" x14ac:dyDescent="0.3">
      <c r="X41" s="110"/>
    </row>
    <row r="42" spans="2:24" ht="12.65" customHeight="1" x14ac:dyDescent="0.3">
      <c r="N42" s="111"/>
    </row>
    <row r="43" spans="2:24" x14ac:dyDescent="0.3">
      <c r="C43" s="112"/>
    </row>
    <row r="50" spans="1:11" ht="17.600000000000001" x14ac:dyDescent="0.4">
      <c r="A50" t="s">
        <v>1</v>
      </c>
      <c r="B50" s="2" t="s">
        <v>163</v>
      </c>
      <c r="C50" s="2"/>
      <c r="D50" s="2"/>
      <c r="E50" s="2"/>
      <c r="F50" s="2"/>
      <c r="G50" s="2"/>
      <c r="H50" s="2"/>
      <c r="I50" s="2"/>
      <c r="J50" s="2"/>
      <c r="K50" s="2"/>
    </row>
    <row r="52" spans="1:11" x14ac:dyDescent="0.3">
      <c r="B52" s="31" t="s">
        <v>93</v>
      </c>
      <c r="C52" s="31"/>
      <c r="D52" s="31"/>
      <c r="E52" s="213">
        <v>2019</v>
      </c>
      <c r="F52" s="213">
        <v>2020</v>
      </c>
      <c r="G52" s="213">
        <v>2021</v>
      </c>
      <c r="H52" s="213">
        <v>2022</v>
      </c>
      <c r="I52" s="213">
        <v>2023</v>
      </c>
      <c r="J52" s="213" t="s">
        <v>187</v>
      </c>
      <c r="K52" s="213" t="s">
        <v>188</v>
      </c>
    </row>
    <row r="54" spans="1:11" x14ac:dyDescent="0.3">
      <c r="B54" s="32" t="s">
        <v>164</v>
      </c>
      <c r="C54" s="32"/>
      <c r="D54" s="32"/>
      <c r="E54" s="32"/>
      <c r="F54" s="32"/>
      <c r="G54" s="32"/>
      <c r="H54" s="32"/>
      <c r="I54" s="32"/>
      <c r="J54" s="32"/>
      <c r="K54" s="32"/>
    </row>
    <row r="55" spans="1:11" x14ac:dyDescent="0.3">
      <c r="B55" s="37" t="s">
        <v>165</v>
      </c>
      <c r="E55" s="114">
        <f t="shared" ref="E55:J55" si="0">IFERROR((E16-E17)/E16,"-")</f>
        <v>0.17176013123519016</v>
      </c>
      <c r="F55" s="114">
        <f t="shared" si="0"/>
        <v>0.17012197290281211</v>
      </c>
      <c r="G55" s="114">
        <f t="shared" si="0"/>
        <v>0.11955002113339876</v>
      </c>
      <c r="H55" s="114">
        <f t="shared" si="0"/>
        <v>0.14122255728095048</v>
      </c>
      <c r="I55" s="114">
        <f t="shared" si="0"/>
        <v>0.20085957798120777</v>
      </c>
      <c r="J55" s="114">
        <f t="shared" si="0"/>
        <v>0.21779397428160113</v>
      </c>
      <c r="K55" s="114">
        <f>IFERROR((L16-L17)/L16,"-")</f>
        <v>0.19904946852003408</v>
      </c>
    </row>
    <row r="56" spans="1:11" x14ac:dyDescent="0.3">
      <c r="B56" s="37" t="s">
        <v>121</v>
      </c>
      <c r="E56" s="114">
        <f t="shared" ref="E56:J56" si="1">IFERROR(E18/E16,"-")</f>
        <v>3.6818761751142945E-2</v>
      </c>
      <c r="F56" s="114">
        <f t="shared" si="1"/>
        <v>3.918779424877155E-2</v>
      </c>
      <c r="G56" s="114">
        <f t="shared" si="1"/>
        <v>-1.0371626266719641E-2</v>
      </c>
      <c r="H56" s="114">
        <f t="shared" si="1"/>
        <v>2.1024151475474102E-2</v>
      </c>
      <c r="I56" s="114">
        <f t="shared" si="1"/>
        <v>7.218998282673586E-2</v>
      </c>
      <c r="J56" s="114">
        <f t="shared" si="1"/>
        <v>8.321340547020073E-2</v>
      </c>
      <c r="K56" s="114">
        <f>IFERROR(L18/L16,"-")</f>
        <v>5.1895953730026381E-2</v>
      </c>
    </row>
    <row r="57" spans="1:11" x14ac:dyDescent="0.3">
      <c r="B57" s="37" t="s">
        <v>166</v>
      </c>
      <c r="E57" s="114">
        <f t="shared" ref="E57:J57" si="2">IFERROR(E20/E16,"-")</f>
        <v>2.3664863255035529E-2</v>
      </c>
      <c r="F57" s="114">
        <f t="shared" si="2"/>
        <v>2.3932292221454619E-2</v>
      </c>
      <c r="G57" s="114">
        <f t="shared" si="2"/>
        <v>-2.5392595348375201E-2</v>
      </c>
      <c r="H57" s="114">
        <f t="shared" si="2"/>
        <v>8.7929435182003274E-3</v>
      </c>
      <c r="I57" s="114">
        <f t="shared" si="2"/>
        <v>6.1238861485138706E-2</v>
      </c>
      <c r="J57" s="114">
        <f t="shared" si="2"/>
        <v>7.2164708578300596E-2</v>
      </c>
      <c r="K57" s="114">
        <f>IFERROR(L20/L16,"-")</f>
        <v>4.0167621165229941E-2</v>
      </c>
    </row>
    <row r="58" spans="1:11" x14ac:dyDescent="0.3">
      <c r="B58" s="37" t="s">
        <v>167</v>
      </c>
      <c r="E58" s="115">
        <f t="shared" ref="E58:J58" si="3">IFERROR(E23/E16,"-")</f>
        <v>1.0875508840148262E-2</v>
      </c>
      <c r="F58" s="115">
        <f t="shared" si="3"/>
        <v>1.3192987447103594E-2</v>
      </c>
      <c r="G58" s="115">
        <f t="shared" si="3"/>
        <v>-5.6247358324934098E-2</v>
      </c>
      <c r="H58" s="115">
        <f t="shared" si="3"/>
        <v>-2.0883239861342051E-2</v>
      </c>
      <c r="I58" s="115">
        <f t="shared" si="3"/>
        <v>3.0570866619721585E-2</v>
      </c>
      <c r="J58" s="115">
        <f t="shared" si="3"/>
        <v>3.3030035745787098E-2</v>
      </c>
      <c r="K58" s="115">
        <f>IFERROR(L23/L16,"-")</f>
        <v>6.899018806214238E-4</v>
      </c>
    </row>
    <row r="59" spans="1:11" x14ac:dyDescent="0.3">
      <c r="E59" s="116"/>
      <c r="F59" s="116"/>
      <c r="G59" s="116"/>
      <c r="H59" s="116"/>
      <c r="I59" s="116"/>
      <c r="J59" s="116"/>
      <c r="K59" s="116"/>
    </row>
    <row r="60" spans="1:11" x14ac:dyDescent="0.3">
      <c r="B60" s="32" t="s">
        <v>168</v>
      </c>
      <c r="C60" s="32"/>
      <c r="D60" s="32"/>
      <c r="E60" s="117"/>
      <c r="F60" s="117"/>
      <c r="G60" s="117"/>
      <c r="H60" s="117"/>
      <c r="I60" s="117"/>
      <c r="J60" s="117"/>
      <c r="K60" s="117"/>
    </row>
    <row r="61" spans="1:11" x14ac:dyDescent="0.3">
      <c r="B61" s="37" t="s">
        <v>169</v>
      </c>
      <c r="E61" s="114">
        <f t="shared" ref="E61:J61" si="4">IFERROR(E29/E30,"-")</f>
        <v>1.4146878824969413</v>
      </c>
      <c r="F61" s="114">
        <f t="shared" si="4"/>
        <v>1.494509855801033</v>
      </c>
      <c r="G61" s="114">
        <f t="shared" si="4"/>
        <v>1.2221618685497038</v>
      </c>
      <c r="H61" s="114">
        <f t="shared" si="4"/>
        <v>1.0862312904907252</v>
      </c>
      <c r="I61" s="114">
        <f t="shared" si="4"/>
        <v>1.2227966518956226</v>
      </c>
      <c r="J61" s="114">
        <f t="shared" si="4"/>
        <v>1.3548539559504726</v>
      </c>
      <c r="K61" s="114">
        <f>IFERROR(L29/L30,"-")</f>
        <v>1.3922854387656658</v>
      </c>
    </row>
    <row r="62" spans="1:11" x14ac:dyDescent="0.3">
      <c r="B62" s="37" t="s">
        <v>170</v>
      </c>
      <c r="E62" s="114">
        <f t="shared" ref="E62:J62" si="5">IFERROR((E29-E28)/E30,"-")</f>
        <v>0.72937576499388135</v>
      </c>
      <c r="F62" s="114">
        <f t="shared" si="5"/>
        <v>0.82061119195660814</v>
      </c>
      <c r="G62" s="114">
        <f t="shared" si="5"/>
        <v>0.51511859496650669</v>
      </c>
      <c r="H62" s="114">
        <f t="shared" si="5"/>
        <v>0.49087795070369744</v>
      </c>
      <c r="I62" s="114">
        <f t="shared" si="5"/>
        <v>0.55342195962580432</v>
      </c>
      <c r="J62" s="114">
        <f t="shared" si="5"/>
        <v>0.64183760279799751</v>
      </c>
      <c r="K62" s="114">
        <f>IFERROR((L29-L28)/L30,"-")</f>
        <v>0.67839922854387247</v>
      </c>
    </row>
    <row r="63" spans="1:11" x14ac:dyDescent="0.3">
      <c r="B63" s="37" t="s">
        <v>171</v>
      </c>
      <c r="E63" s="114">
        <f t="shared" ref="E63:J63" si="6">IFERROR(E27/E30,"-")</f>
        <v>7.9069767441860422E-2</v>
      </c>
      <c r="F63" s="114">
        <f t="shared" si="6"/>
        <v>0.20029104378886026</v>
      </c>
      <c r="G63" s="114">
        <f t="shared" si="6"/>
        <v>5.9297483251855805E-2</v>
      </c>
      <c r="H63" s="114">
        <f t="shared" si="6"/>
        <v>4.3934768039317909E-2</v>
      </c>
      <c r="I63" s="114">
        <f t="shared" si="6"/>
        <v>6.466436894797313E-2</v>
      </c>
      <c r="J63" s="114">
        <f t="shared" si="6"/>
        <v>9.1312978542395715E-2</v>
      </c>
      <c r="K63" s="114">
        <f>IFERROR(L27/L30,"-")</f>
        <v>6.8563162970106048E-2</v>
      </c>
    </row>
    <row r="64" spans="1:11" x14ac:dyDescent="0.3">
      <c r="E64" s="116"/>
      <c r="F64" s="116"/>
      <c r="G64" s="116"/>
      <c r="H64" s="116"/>
      <c r="I64" s="116"/>
      <c r="J64" s="116"/>
      <c r="K64" s="116"/>
    </row>
    <row r="65" spans="2:11" x14ac:dyDescent="0.3">
      <c r="B65" s="32" t="s">
        <v>172</v>
      </c>
      <c r="C65" s="32"/>
      <c r="D65" s="32"/>
      <c r="E65" s="117"/>
      <c r="F65" s="117"/>
      <c r="G65" s="117"/>
      <c r="H65" s="117"/>
      <c r="I65" s="117"/>
      <c r="J65" s="117"/>
      <c r="K65" s="117"/>
    </row>
    <row r="66" spans="2:11" x14ac:dyDescent="0.3">
      <c r="B66" s="37" t="s">
        <v>173</v>
      </c>
      <c r="E66" s="118">
        <f t="shared" ref="E66:J66" si="7">IFERROR(E31/E32,"-")</f>
        <v>0.67481168473268371</v>
      </c>
      <c r="F66" s="118">
        <f t="shared" si="7"/>
        <v>0.59085751337331816</v>
      </c>
      <c r="G66" s="118">
        <f t="shared" si="7"/>
        <v>1.6558387006440747</v>
      </c>
      <c r="H66" s="118">
        <f t="shared" si="7"/>
        <v>3.0000000000000053</v>
      </c>
      <c r="I66" s="118">
        <f t="shared" si="7"/>
        <v>1.466786355475765</v>
      </c>
      <c r="J66" s="118">
        <f t="shared" si="7"/>
        <v>1.1403914965270463</v>
      </c>
      <c r="K66" s="118">
        <f>IFERROR(L31/L32,"-")</f>
        <v>0.87276119402984953</v>
      </c>
    </row>
    <row r="67" spans="2:11" x14ac:dyDescent="0.3">
      <c r="B67" s="37" t="s">
        <v>174</v>
      </c>
      <c r="E67" s="119">
        <f t="shared" ref="E67:J67" si="8">IFERROR(E31-E27,"-")</f>
        <v>269.66592648625351</v>
      </c>
      <c r="F67" s="119">
        <f t="shared" si="8"/>
        <v>174.16533903479603</v>
      </c>
      <c r="G67" s="119">
        <f t="shared" si="8"/>
        <v>462.36370644569405</v>
      </c>
      <c r="H67" s="119">
        <f t="shared" si="8"/>
        <v>519.27851620912588</v>
      </c>
      <c r="I67" s="119">
        <f t="shared" si="8"/>
        <v>446.38574702739731</v>
      </c>
      <c r="J67" s="119">
        <f t="shared" si="8"/>
        <v>429.93721625804864</v>
      </c>
      <c r="K67" s="119">
        <f>IFERROR(L31-L27,"-")</f>
        <v>337.61702831983541</v>
      </c>
    </row>
    <row r="68" spans="2:11" x14ac:dyDescent="0.3">
      <c r="B68" s="37" t="s">
        <v>175</v>
      </c>
      <c r="E68" s="118">
        <f t="shared" ref="E68:J68" si="9">IFERROR(E67/E18,"-")</f>
        <v>2.4902906240508758</v>
      </c>
      <c r="F68" s="118">
        <f t="shared" si="9"/>
        <v>1.8016700836742934</v>
      </c>
      <c r="G68" s="118">
        <f t="shared" si="9"/>
        <v>-17.131815153275607</v>
      </c>
      <c r="H68" s="118">
        <f t="shared" si="9"/>
        <v>7.3156623527755489</v>
      </c>
      <c r="I68" s="118">
        <f t="shared" si="9"/>
        <v>1.6232579675906684</v>
      </c>
      <c r="J68" s="118">
        <f t="shared" si="9"/>
        <v>1.2972360289320104</v>
      </c>
      <c r="K68" s="118">
        <f>IFERROR(K67/L18,"-")</f>
        <v>1.8351888315684144</v>
      </c>
    </row>
    <row r="69" spans="2:11" x14ac:dyDescent="0.3">
      <c r="E69" s="116"/>
      <c r="F69" s="116"/>
      <c r="G69" s="116"/>
      <c r="H69" s="116"/>
      <c r="I69" s="116"/>
      <c r="J69" s="116"/>
      <c r="K69" s="116"/>
    </row>
    <row r="70" spans="2:11" x14ac:dyDescent="0.3">
      <c r="B70" s="32" t="s">
        <v>178</v>
      </c>
      <c r="C70" s="32"/>
      <c r="D70" s="32"/>
      <c r="E70" s="117"/>
      <c r="F70" s="117"/>
      <c r="G70" s="117"/>
      <c r="H70" s="117"/>
      <c r="I70" s="117"/>
      <c r="J70" s="117"/>
      <c r="K70" s="117"/>
    </row>
    <row r="71" spans="2:11" x14ac:dyDescent="0.3">
      <c r="B71" s="37" t="s">
        <v>179</v>
      </c>
      <c r="E71" s="118">
        <f t="shared" ref="E71:J71" si="10">IFERROR(E20/E21,"-")</f>
        <v>3.9948716339961954</v>
      </c>
      <c r="F71" s="118">
        <f t="shared" si="10"/>
        <v>4.314102497176445</v>
      </c>
      <c r="G71" s="118">
        <f t="shared" si="10"/>
        <v>-4.1764708830479931</v>
      </c>
      <c r="H71" s="118">
        <f t="shared" si="10"/>
        <v>1.0540541042442655</v>
      </c>
      <c r="I71" s="118">
        <f t="shared" si="10"/>
        <v>5.7844037443634688</v>
      </c>
      <c r="J71" s="118">
        <f t="shared" si="10"/>
        <v>49.349205951910285</v>
      </c>
      <c r="K71" s="118">
        <f>IFERROR(L20/L21,"-")</f>
        <v>5.1710527036922356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ACB4-B12E-45F8-8BE3-F0ACE658C657}">
  <dimension ref="A2:X71"/>
  <sheetViews>
    <sheetView showGridLines="0" topLeftCell="A49" zoomScale="115" zoomScaleNormal="115" workbookViewId="0">
      <selection activeCell="A72" sqref="A72:XFD78"/>
    </sheetView>
  </sheetViews>
  <sheetFormatPr defaultRowHeight="12.45" x14ac:dyDescent="0.3"/>
  <cols>
    <col min="1" max="1" width="2.69140625" customWidth="1"/>
    <col min="2" max="2" width="18.53515625" customWidth="1"/>
    <col min="3" max="3" width="19.3828125" bestFit="1" customWidth="1"/>
    <col min="4" max="4" width="6.69140625" customWidth="1"/>
    <col min="5" max="18" width="10.53515625" customWidth="1"/>
  </cols>
  <sheetData>
    <row r="2" spans="1:23" x14ac:dyDescent="0.3">
      <c r="A2" t="s">
        <v>1</v>
      </c>
      <c r="B2" s="97" t="s">
        <v>694</v>
      </c>
      <c r="C2" s="97"/>
      <c r="D2" s="97"/>
      <c r="E2" s="97"/>
      <c r="F2" s="97"/>
      <c r="G2" s="97"/>
      <c r="H2" s="97"/>
      <c r="I2" s="97"/>
      <c r="K2" s="98"/>
      <c r="L2" s="98"/>
      <c r="M2" s="98"/>
      <c r="N2" s="98"/>
      <c r="O2" s="98"/>
      <c r="P2" s="98"/>
      <c r="Q2" s="98"/>
      <c r="R2" s="98"/>
      <c r="S2" s="98"/>
      <c r="T2" s="98"/>
    </row>
    <row r="4" spans="1:23" x14ac:dyDescent="0.3">
      <c r="B4" s="99" t="s">
        <v>695</v>
      </c>
      <c r="C4" s="99"/>
      <c r="E4" s="99" t="s">
        <v>696</v>
      </c>
      <c r="F4" s="99"/>
      <c r="G4" s="99"/>
      <c r="H4" s="99"/>
      <c r="I4" s="99"/>
    </row>
    <row r="5" spans="1:23" x14ac:dyDescent="0.3">
      <c r="B5" t="s">
        <v>697</v>
      </c>
      <c r="C5" s="100" t="s">
        <v>192</v>
      </c>
      <c r="E5" t="s">
        <v>699</v>
      </c>
      <c r="F5" s="101" t="s">
        <v>187</v>
      </c>
      <c r="H5" t="s">
        <v>700</v>
      </c>
      <c r="I5" s="102">
        <v>2</v>
      </c>
    </row>
    <row r="6" spans="1:23" x14ac:dyDescent="0.3">
      <c r="B6" t="s">
        <v>701</v>
      </c>
      <c r="C6" s="100" t="s">
        <v>716</v>
      </c>
      <c r="E6" t="s">
        <v>703</v>
      </c>
      <c r="F6" s="102" t="s">
        <v>736</v>
      </c>
      <c r="H6" t="s">
        <v>703</v>
      </c>
      <c r="I6" s="102" t="s">
        <v>705</v>
      </c>
      <c r="V6" t="s">
        <v>702</v>
      </c>
      <c r="W6" t="s">
        <v>189</v>
      </c>
    </row>
    <row r="7" spans="1:23" x14ac:dyDescent="0.3">
      <c r="B7" t="s">
        <v>706</v>
      </c>
      <c r="C7" s="100">
        <v>-5</v>
      </c>
      <c r="V7" t="s">
        <v>707</v>
      </c>
      <c r="W7" t="s">
        <v>190</v>
      </c>
    </row>
    <row r="8" spans="1:23" x14ac:dyDescent="0.3">
      <c r="B8" t="s">
        <v>708</v>
      </c>
      <c r="C8" s="100">
        <v>0</v>
      </c>
      <c r="E8" t="s">
        <v>709</v>
      </c>
      <c r="F8" s="103">
        <v>8.5322019999999998</v>
      </c>
      <c r="V8" s="113" t="s">
        <v>710</v>
      </c>
      <c r="W8" s="113" t="s">
        <v>196</v>
      </c>
    </row>
    <row r="9" spans="1:23" x14ac:dyDescent="0.3">
      <c r="B9" t="s">
        <v>711</v>
      </c>
      <c r="C9" s="100" t="s">
        <v>712</v>
      </c>
      <c r="V9" t="s">
        <v>713</v>
      </c>
      <c r="W9" t="s">
        <v>714</v>
      </c>
    </row>
    <row r="10" spans="1:23" x14ac:dyDescent="0.3">
      <c r="B10" t="s">
        <v>715</v>
      </c>
      <c r="C10" s="100" t="s">
        <v>237</v>
      </c>
      <c r="V10" t="s">
        <v>716</v>
      </c>
      <c r="W10" t="s">
        <v>192</v>
      </c>
    </row>
    <row r="11" spans="1:23" x14ac:dyDescent="0.3">
      <c r="B11" t="s">
        <v>718</v>
      </c>
      <c r="C11" s="104">
        <v>45992</v>
      </c>
      <c r="V11" t="s">
        <v>719</v>
      </c>
      <c r="W11" t="s">
        <v>193</v>
      </c>
    </row>
    <row r="12" spans="1:23" x14ac:dyDescent="0.3">
      <c r="V12" t="s">
        <v>721</v>
      </c>
      <c r="W12" t="s">
        <v>194</v>
      </c>
    </row>
    <row r="13" spans="1:23" x14ac:dyDescent="0.3">
      <c r="A13" t="s">
        <v>1</v>
      </c>
      <c r="B13" s="97" t="s">
        <v>722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V13" t="s">
        <v>723</v>
      </c>
      <c r="W13" t="s">
        <v>195</v>
      </c>
    </row>
    <row r="14" spans="1:23" ht="12.9" x14ac:dyDescent="0.35">
      <c r="B14" s="1" t="s">
        <v>724</v>
      </c>
      <c r="V14" t="s">
        <v>725</v>
      </c>
      <c r="W14" t="s">
        <v>197</v>
      </c>
    </row>
    <row r="15" spans="1:23" x14ac:dyDescent="0.3">
      <c r="B15" s="105"/>
      <c r="C15" s="105"/>
      <c r="D15" s="105"/>
      <c r="E15" s="106">
        <v>2019</v>
      </c>
      <c r="F15" s="106">
        <v>2020</v>
      </c>
      <c r="G15" s="106">
        <v>2021</v>
      </c>
      <c r="H15" s="106">
        <v>2022</v>
      </c>
      <c r="I15" s="106">
        <v>2023</v>
      </c>
      <c r="J15" s="106" t="s">
        <v>187</v>
      </c>
      <c r="L15" s="107" t="s">
        <v>188</v>
      </c>
    </row>
    <row r="16" spans="1:23" x14ac:dyDescent="0.3">
      <c r="B16" t="s">
        <v>57</v>
      </c>
      <c r="E16" s="108">
        <v>3716.3535776399099</v>
      </c>
      <c r="F16" s="109">
        <v>3167.8300023376901</v>
      </c>
      <c r="G16" s="109">
        <v>3566.0812702067201</v>
      </c>
      <c r="H16" s="109">
        <v>4366.7637741677499</v>
      </c>
      <c r="I16" s="109">
        <v>4476.11757996492</v>
      </c>
      <c r="J16" s="109">
        <v>4066.8239438841101</v>
      </c>
      <c r="L16" s="108">
        <v>3975.9375432063798</v>
      </c>
      <c r="Q16" s="108"/>
    </row>
    <row r="17" spans="2:17" x14ac:dyDescent="0.3">
      <c r="B17" t="s">
        <v>727</v>
      </c>
      <c r="E17" s="108">
        <v>2871.0391464680401</v>
      </c>
      <c r="F17" s="108">
        <v>2466.5955486968201</v>
      </c>
      <c r="G17" s="108">
        <v>2814.2791963424502</v>
      </c>
      <c r="H17" s="108">
        <v>3428.4240980967902</v>
      </c>
      <c r="I17" s="108">
        <v>3372.5269221700701</v>
      </c>
      <c r="J17" s="108">
        <v>3130.3461928358302</v>
      </c>
      <c r="L17" s="108">
        <v>3055.5427800603202</v>
      </c>
      <c r="Q17" s="108"/>
    </row>
    <row r="18" spans="2:17" x14ac:dyDescent="0.3">
      <c r="B18" t="s">
        <v>64</v>
      </c>
      <c r="E18" s="108">
        <v>326.99122999999997</v>
      </c>
      <c r="F18" s="108">
        <v>260.89753999999999</v>
      </c>
      <c r="G18" s="108">
        <v>264.95474000000002</v>
      </c>
      <c r="H18" s="108">
        <v>342.57418999999999</v>
      </c>
      <c r="I18" s="108">
        <v>509.10520000000002</v>
      </c>
      <c r="J18" s="108">
        <v>379.20909</v>
      </c>
      <c r="L18" s="108">
        <v>330.29333000000003</v>
      </c>
      <c r="Q18" s="108"/>
    </row>
    <row r="19" spans="2:17" x14ac:dyDescent="0.3">
      <c r="B19" t="s">
        <v>728</v>
      </c>
      <c r="E19" s="108">
        <v>257.14579239115102</v>
      </c>
      <c r="F19" s="108">
        <v>247.99143263697599</v>
      </c>
      <c r="G19" s="108">
        <v>237.424086149782</v>
      </c>
      <c r="H19" s="108">
        <v>238.20543443039099</v>
      </c>
      <c r="I19" s="108">
        <v>237.36301013268499</v>
      </c>
      <c r="J19" s="108">
        <v>252.321327395737</v>
      </c>
      <c r="L19" s="108">
        <v>249.16972301667599</v>
      </c>
      <c r="Q19" s="108"/>
    </row>
    <row r="20" spans="2:17" x14ac:dyDescent="0.3">
      <c r="B20" t="s">
        <v>67</v>
      </c>
      <c r="E20" s="108">
        <v>69.845439999999996</v>
      </c>
      <c r="F20" s="108">
        <v>12.90611</v>
      </c>
      <c r="G20" s="108">
        <v>27.530650000000001</v>
      </c>
      <c r="H20" s="108">
        <v>104.36875999999999</v>
      </c>
      <c r="I20" s="108">
        <v>271.74218999999999</v>
      </c>
      <c r="J20" s="108">
        <v>126.88776</v>
      </c>
      <c r="L20" s="108">
        <v>81.123609999999999</v>
      </c>
      <c r="Q20" s="108"/>
    </row>
    <row r="21" spans="2:17" x14ac:dyDescent="0.3">
      <c r="B21" t="s">
        <v>729</v>
      </c>
      <c r="E21" s="108">
        <v>14.379699999466499</v>
      </c>
      <c r="F21" s="108">
        <v>11.514350321143899</v>
      </c>
      <c r="G21" s="108">
        <v>11.3785182964057</v>
      </c>
      <c r="H21" s="108">
        <v>27.4811488352716</v>
      </c>
      <c r="I21" s="108">
        <v>43.908393662422903</v>
      </c>
      <c r="J21" s="108">
        <v>47.3591294228099</v>
      </c>
      <c r="L21" s="108">
        <v>47.872647648677201</v>
      </c>
      <c r="Q21" s="108"/>
    </row>
    <row r="22" spans="2:17" x14ac:dyDescent="0.3">
      <c r="B22" t="s">
        <v>70</v>
      </c>
      <c r="E22" s="108">
        <v>45.167324811220197</v>
      </c>
      <c r="F22" s="108">
        <v>13.682899784296801</v>
      </c>
      <c r="G22" s="108">
        <v>15.9912240300328</v>
      </c>
      <c r="H22" s="108">
        <v>38.1174106746912</v>
      </c>
      <c r="I22" s="108">
        <v>57.896061777137199</v>
      </c>
      <c r="J22" s="108">
        <v>44.3529764520936</v>
      </c>
      <c r="L22" s="108">
        <v>23.420193046797099</v>
      </c>
      <c r="Q22" s="108"/>
    </row>
    <row r="23" spans="2:17" x14ac:dyDescent="0.3">
      <c r="B23" t="s">
        <v>131</v>
      </c>
      <c r="E23" s="108">
        <v>-43.395732525736101</v>
      </c>
      <c r="F23" s="108">
        <v>-21.701677836477799</v>
      </c>
      <c r="G23" s="108">
        <v>5.4938704501837501</v>
      </c>
      <c r="H23" s="108">
        <v>49.051686521619601</v>
      </c>
      <c r="I23" s="108">
        <v>175.53152143955199</v>
      </c>
      <c r="J23" s="108">
        <v>52.943730673287099</v>
      </c>
      <c r="L23" s="108">
        <v>-12.2474797447212</v>
      </c>
      <c r="Q23" s="108"/>
    </row>
    <row r="24" spans="2:17" x14ac:dyDescent="0.3">
      <c r="E24" s="108"/>
      <c r="F24" s="108"/>
      <c r="G24" s="108"/>
      <c r="H24" s="108"/>
      <c r="I24" s="108"/>
      <c r="J24" s="108"/>
      <c r="L24" s="108"/>
      <c r="Q24" s="108"/>
    </row>
    <row r="25" spans="2:17" x14ac:dyDescent="0.3">
      <c r="B25" t="s">
        <v>183</v>
      </c>
      <c r="E25" s="108">
        <v>140.67601999999999</v>
      </c>
      <c r="F25" s="108">
        <v>129.12578999999999</v>
      </c>
      <c r="G25" s="108">
        <v>-41.53734</v>
      </c>
      <c r="H25" s="108">
        <v>-114.41609</v>
      </c>
      <c r="I25" s="108">
        <v>72.942530000000005</v>
      </c>
      <c r="J25" s="108">
        <v>37.686889999999998</v>
      </c>
      <c r="L25" s="108" t="e">
        <v>#N/A</v>
      </c>
      <c r="Q25" s="108"/>
    </row>
    <row r="26" spans="2:17" x14ac:dyDescent="0.3">
      <c r="E26" s="108"/>
      <c r="F26" s="108"/>
      <c r="G26" s="108"/>
      <c r="H26" s="108"/>
      <c r="I26" s="108"/>
      <c r="J26" s="108"/>
      <c r="L26" s="108"/>
      <c r="Q26" s="108"/>
    </row>
    <row r="27" spans="2:17" x14ac:dyDescent="0.3">
      <c r="B27" t="s">
        <v>730</v>
      </c>
      <c r="E27" s="108">
        <v>129.45994837209599</v>
      </c>
      <c r="F27" s="108">
        <v>115.49953836947699</v>
      </c>
      <c r="G27" s="108">
        <v>93.018852402456105</v>
      </c>
      <c r="H27" s="108">
        <v>91.600280371494605</v>
      </c>
      <c r="I27" s="108">
        <v>123.372461345047</v>
      </c>
      <c r="J27" s="108">
        <v>102.777699742466</v>
      </c>
      <c r="L27" s="108">
        <v>110.315303537529</v>
      </c>
      <c r="Q27" s="108"/>
    </row>
    <row r="28" spans="2:17" x14ac:dyDescent="0.3">
      <c r="B28" t="s">
        <v>731</v>
      </c>
      <c r="E28" s="108">
        <v>523.04858306422796</v>
      </c>
      <c r="F28" s="108">
        <v>471.64621491637098</v>
      </c>
      <c r="G28" s="108">
        <v>716.19777290383399</v>
      </c>
      <c r="H28" s="108">
        <v>748.92306241672497</v>
      </c>
      <c r="I28" s="108">
        <v>768.08931614644803</v>
      </c>
      <c r="J28" s="108">
        <v>767.53930533491098</v>
      </c>
      <c r="L28" s="108">
        <v>710.74220142094396</v>
      </c>
      <c r="Q28" s="108"/>
    </row>
    <row r="29" spans="2:17" x14ac:dyDescent="0.3">
      <c r="B29" t="s">
        <v>124</v>
      </c>
      <c r="E29" s="108">
        <v>1634.05722901225</v>
      </c>
      <c r="F29" s="108">
        <v>1484.5001667244401</v>
      </c>
      <c r="G29" s="108">
        <v>1759.2129371175499</v>
      </c>
      <c r="H29" s="108">
        <v>1829.6611381927501</v>
      </c>
      <c r="I29" s="108">
        <v>1779.4119119793199</v>
      </c>
      <c r="J29" s="108">
        <v>1763.8428763356101</v>
      </c>
      <c r="L29" s="108">
        <v>1628.2787750638099</v>
      </c>
      <c r="Q29" s="108"/>
    </row>
    <row r="30" spans="2:17" x14ac:dyDescent="0.3">
      <c r="B30" t="s">
        <v>144</v>
      </c>
      <c r="E30" s="108">
        <v>1303.84360784665</v>
      </c>
      <c r="F30" s="108">
        <v>1146.82571634743</v>
      </c>
      <c r="G30" s="108">
        <v>1338.0734520405499</v>
      </c>
      <c r="H30" s="108">
        <v>1443.39772865642</v>
      </c>
      <c r="I30" s="108">
        <v>1305.3890492431799</v>
      </c>
      <c r="J30" s="108">
        <v>1198.6336252521701</v>
      </c>
      <c r="L30" s="108">
        <v>1085.9225721471</v>
      </c>
      <c r="Q30" s="108"/>
    </row>
    <row r="31" spans="2:17" x14ac:dyDescent="0.3">
      <c r="B31" t="s">
        <v>732</v>
      </c>
      <c r="E31" s="108">
        <v>1550.1847420819099</v>
      </c>
      <c r="F31" s="108">
        <v>1406.73817752488</v>
      </c>
      <c r="G31" s="108">
        <v>1393.4389956970699</v>
      </c>
      <c r="H31" s="108">
        <v>1588.36753440555</v>
      </c>
      <c r="I31" s="108">
        <v>1474.20486290753</v>
      </c>
      <c r="J31" s="108">
        <v>1424.40779159404</v>
      </c>
      <c r="L31" s="108">
        <v>1332.7331104748901</v>
      </c>
      <c r="Q31" s="108"/>
    </row>
    <row r="32" spans="2:17" x14ac:dyDescent="0.3">
      <c r="B32" t="s">
        <v>733</v>
      </c>
      <c r="E32" s="108">
        <v>465.15250703319902</v>
      </c>
      <c r="F32" s="108">
        <v>424.29910415411001</v>
      </c>
      <c r="G32" s="108">
        <v>469.49270161800098</v>
      </c>
      <c r="H32" s="108">
        <v>523.75719391275197</v>
      </c>
      <c r="I32" s="108">
        <v>715.76338825374796</v>
      </c>
      <c r="J32" s="108">
        <v>767.41549169831001</v>
      </c>
      <c r="L32" s="108">
        <v>700.16189022129402</v>
      </c>
      <c r="Q32" s="108"/>
    </row>
    <row r="33" spans="2:24" x14ac:dyDescent="0.3">
      <c r="E33" s="108"/>
      <c r="F33" s="108"/>
      <c r="G33" s="108"/>
      <c r="H33" s="108"/>
      <c r="I33" s="108"/>
      <c r="J33" s="108"/>
      <c r="L33" s="108"/>
      <c r="Q33" s="108"/>
    </row>
    <row r="34" spans="2:24" x14ac:dyDescent="0.3">
      <c r="B34" t="s">
        <v>734</v>
      </c>
      <c r="E34" s="108">
        <v>106.52891099999999</v>
      </c>
      <c r="F34" s="108">
        <v>106.57279699999999</v>
      </c>
      <c r="G34" s="108">
        <v>106.63779700000001</v>
      </c>
      <c r="H34" s="108">
        <v>106.69779699999999</v>
      </c>
      <c r="I34" s="108">
        <v>106.65773799999999</v>
      </c>
      <c r="J34" s="108">
        <v>106.664401</v>
      </c>
      <c r="L34" s="108">
        <v>106.741249</v>
      </c>
      <c r="Q34" s="108"/>
    </row>
    <row r="35" spans="2:24" x14ac:dyDescent="0.3">
      <c r="E35" s="108"/>
      <c r="F35" s="108"/>
      <c r="G35" s="108"/>
      <c r="H35" s="108"/>
      <c r="I35" s="108"/>
      <c r="J35" s="108"/>
      <c r="L35" s="108"/>
      <c r="Q35" s="108"/>
    </row>
    <row r="36" spans="2:24" x14ac:dyDescent="0.3">
      <c r="E36" s="108"/>
      <c r="F36" s="108"/>
      <c r="G36" s="108"/>
      <c r="H36" s="108"/>
      <c r="I36" s="108"/>
      <c r="J36" s="108"/>
      <c r="L36" s="108"/>
      <c r="Q36" s="108"/>
    </row>
    <row r="38" spans="2:24" ht="12.9" x14ac:dyDescent="0.35">
      <c r="B38" s="1" t="s">
        <v>735</v>
      </c>
    </row>
    <row r="41" spans="2:24" x14ac:dyDescent="0.3">
      <c r="X41" s="110"/>
    </row>
    <row r="42" spans="2:24" ht="12.65" customHeight="1" x14ac:dyDescent="0.3">
      <c r="N42" s="111"/>
    </row>
    <row r="43" spans="2:24" x14ac:dyDescent="0.3">
      <c r="C43" s="112"/>
    </row>
    <row r="50" spans="1:11" ht="17.600000000000001" x14ac:dyDescent="0.4">
      <c r="A50" t="s">
        <v>1</v>
      </c>
      <c r="B50" s="2" t="s">
        <v>163</v>
      </c>
      <c r="C50" s="2"/>
      <c r="D50" s="2"/>
      <c r="E50" s="2"/>
      <c r="F50" s="2"/>
      <c r="G50" s="2"/>
      <c r="H50" s="2"/>
      <c r="I50" s="2"/>
      <c r="J50" s="2"/>
      <c r="K50" s="2"/>
    </row>
    <row r="52" spans="1:11" x14ac:dyDescent="0.3">
      <c r="B52" s="31" t="s">
        <v>93</v>
      </c>
      <c r="C52" s="31"/>
      <c r="D52" s="31"/>
      <c r="E52" s="213">
        <v>2019</v>
      </c>
      <c r="F52" s="213">
        <v>2020</v>
      </c>
      <c r="G52" s="213">
        <v>2021</v>
      </c>
      <c r="H52" s="213">
        <v>2022</v>
      </c>
      <c r="I52" s="213">
        <v>2023</v>
      </c>
      <c r="J52" s="213" t="s">
        <v>187</v>
      </c>
      <c r="K52" s="213" t="s">
        <v>188</v>
      </c>
    </row>
    <row r="54" spans="1:11" x14ac:dyDescent="0.3">
      <c r="B54" s="32" t="s">
        <v>164</v>
      </c>
      <c r="C54" s="32"/>
      <c r="D54" s="32"/>
      <c r="E54" s="32"/>
      <c r="F54" s="32"/>
      <c r="G54" s="32"/>
      <c r="H54" s="32"/>
      <c r="I54" s="32"/>
      <c r="J54" s="32"/>
      <c r="K54" s="32"/>
    </row>
    <row r="55" spans="1:11" x14ac:dyDescent="0.3">
      <c r="B55" s="37" t="s">
        <v>165</v>
      </c>
      <c r="E55" s="114">
        <f t="shared" ref="E55:J55" si="0">IFERROR((E16-E17)/E16,"-")</f>
        <v>0.22745802128673967</v>
      </c>
      <c r="F55" s="114">
        <f t="shared" si="0"/>
        <v>0.22136113778940039</v>
      </c>
      <c r="G55" s="114">
        <f t="shared" si="0"/>
        <v>0.21082023007868497</v>
      </c>
      <c r="H55" s="114">
        <f t="shared" si="0"/>
        <v>0.21488217009169347</v>
      </c>
      <c r="I55" s="114">
        <f t="shared" si="0"/>
        <v>0.24655086424327105</v>
      </c>
      <c r="J55" s="114">
        <f t="shared" si="0"/>
        <v>0.23027250846612166</v>
      </c>
      <c r="K55" s="114">
        <f>IFERROR((L16-L17)/L16,"-")</f>
        <v>0.23149125285398994</v>
      </c>
    </row>
    <row r="56" spans="1:11" x14ac:dyDescent="0.3">
      <c r="B56" s="37" t="s">
        <v>121</v>
      </c>
      <c r="E56" s="114">
        <f t="shared" ref="E56:J56" si="1">IFERROR(E18/E16,"-")</f>
        <v>8.7987115103202188E-2</v>
      </c>
      <c r="F56" s="114">
        <f t="shared" si="1"/>
        <v>8.2358440890916332E-2</v>
      </c>
      <c r="G56" s="114">
        <f t="shared" si="1"/>
        <v>7.4298570314030171E-2</v>
      </c>
      <c r="H56" s="114">
        <f t="shared" si="1"/>
        <v>7.8450359972881814E-2</v>
      </c>
      <c r="I56" s="114">
        <f t="shared" si="1"/>
        <v>0.11373812034758701</v>
      </c>
      <c r="J56" s="114">
        <f t="shared" si="1"/>
        <v>9.3244530678608134E-2</v>
      </c>
      <c r="K56" s="114">
        <f>IFERROR(L18/L16,"-")</f>
        <v>8.3073068027531491E-2</v>
      </c>
    </row>
    <row r="57" spans="1:11" x14ac:dyDescent="0.3">
      <c r="B57" s="37" t="s">
        <v>166</v>
      </c>
      <c r="E57" s="114">
        <f t="shared" ref="E57:J57" si="2">IFERROR(E20/E16,"-")</f>
        <v>1.8794078265382843E-2</v>
      </c>
      <c r="F57" s="114">
        <f t="shared" si="2"/>
        <v>4.0741169792810781E-3</v>
      </c>
      <c r="G57" s="114">
        <f t="shared" si="2"/>
        <v>7.7201409373387877E-3</v>
      </c>
      <c r="H57" s="114">
        <f t="shared" si="2"/>
        <v>2.3900711235494154E-2</v>
      </c>
      <c r="I57" s="114">
        <f t="shared" si="2"/>
        <v>6.0709350267364889E-2</v>
      </c>
      <c r="J57" s="114">
        <f t="shared" si="2"/>
        <v>3.1200701518151543E-2</v>
      </c>
      <c r="K57" s="114">
        <f>IFERROR(L20/L16,"-")</f>
        <v>2.0403642944194281E-2</v>
      </c>
    </row>
    <row r="58" spans="1:11" x14ac:dyDescent="0.3">
      <c r="B58" s="37" t="s">
        <v>167</v>
      </c>
      <c r="E58" s="115">
        <f t="shared" ref="E58:J58" si="3">IFERROR(E23/E16,"-")</f>
        <v>-1.1676965503722278E-2</v>
      </c>
      <c r="F58" s="115">
        <f t="shared" si="3"/>
        <v>-6.850644706459348E-3</v>
      </c>
      <c r="G58" s="115">
        <f t="shared" si="3"/>
        <v>1.5405903662608562E-3</v>
      </c>
      <c r="H58" s="115">
        <f t="shared" si="3"/>
        <v>1.1232960851189674E-2</v>
      </c>
      <c r="I58" s="115">
        <f t="shared" si="3"/>
        <v>3.9215127463413879E-2</v>
      </c>
      <c r="J58" s="115">
        <f t="shared" si="3"/>
        <v>1.3018446680709275E-2</v>
      </c>
      <c r="K58" s="115">
        <f>IFERROR(L23/L16,"-")</f>
        <v>-3.0804004367845947E-3</v>
      </c>
    </row>
    <row r="59" spans="1:11" x14ac:dyDescent="0.3">
      <c r="E59" s="116"/>
      <c r="F59" s="116"/>
      <c r="G59" s="116"/>
      <c r="H59" s="116"/>
      <c r="I59" s="116"/>
      <c r="J59" s="116"/>
      <c r="K59" s="116"/>
    </row>
    <row r="60" spans="1:11" x14ac:dyDescent="0.3">
      <c r="B60" s="32" t="s">
        <v>168</v>
      </c>
      <c r="C60" s="32"/>
      <c r="D60" s="32"/>
      <c r="E60" s="117"/>
      <c r="F60" s="117"/>
      <c r="G60" s="117"/>
      <c r="H60" s="117"/>
      <c r="I60" s="117"/>
      <c r="J60" s="117"/>
      <c r="K60" s="117"/>
    </row>
    <row r="61" spans="1:11" x14ac:dyDescent="0.3">
      <c r="B61" s="37" t="s">
        <v>169</v>
      </c>
      <c r="E61" s="114">
        <f t="shared" ref="E61:J61" si="4">IFERROR(E29/E30,"-")</f>
        <v>1.253261678914821</v>
      </c>
      <c r="F61" s="114">
        <f t="shared" si="4"/>
        <v>1.2944426913031586</v>
      </c>
      <c r="G61" s="114">
        <f t="shared" si="4"/>
        <v>1.3147357003718787</v>
      </c>
      <c r="H61" s="114">
        <f t="shared" si="4"/>
        <v>1.2676070509656971</v>
      </c>
      <c r="I61" s="114">
        <f t="shared" si="4"/>
        <v>1.363127653791</v>
      </c>
      <c r="J61" s="114">
        <f t="shared" si="4"/>
        <v>1.4715446314669594</v>
      </c>
      <c r="K61" s="114">
        <f>IFERROR(L29/L30,"-")</f>
        <v>1.4994427934621124</v>
      </c>
    </row>
    <row r="62" spans="1:11" x14ac:dyDescent="0.3">
      <c r="B62" s="37" t="s">
        <v>170</v>
      </c>
      <c r="E62" s="114">
        <f t="shared" ref="E62:J62" si="5">IFERROR((E29-E28)/E30,"-")</f>
        <v>0.85210269027809049</v>
      </c>
      <c r="F62" s="114">
        <f t="shared" si="5"/>
        <v>0.88318036243026288</v>
      </c>
      <c r="G62" s="114">
        <f t="shared" si="5"/>
        <v>0.77949021604391544</v>
      </c>
      <c r="H62" s="114">
        <f t="shared" si="5"/>
        <v>0.74874586146260957</v>
      </c>
      <c r="I62" s="114">
        <f t="shared" si="5"/>
        <v>0.77472887980728988</v>
      </c>
      <c r="J62" s="114">
        <f t="shared" si="5"/>
        <v>0.8311994174125521</v>
      </c>
      <c r="K62" s="114">
        <f>IFERROR((L29-L28)/L30,"-")</f>
        <v>0.84493738059860091</v>
      </c>
    </row>
    <row r="63" spans="1:11" x14ac:dyDescent="0.3">
      <c r="B63" s="37" t="s">
        <v>171</v>
      </c>
      <c r="E63" s="114">
        <f t="shared" ref="E63:J63" si="6">IFERROR(E27/E30,"-")</f>
        <v>9.9291009744569211E-2</v>
      </c>
      <c r="F63" s="114">
        <f t="shared" si="6"/>
        <v>0.1007123721792148</v>
      </c>
      <c r="G63" s="114">
        <f t="shared" si="6"/>
        <v>6.9517000177085342E-2</v>
      </c>
      <c r="H63" s="114">
        <f t="shared" si="6"/>
        <v>6.3461566104001221E-2</v>
      </c>
      <c r="I63" s="114">
        <f t="shared" si="6"/>
        <v>9.4510109010470217E-2</v>
      </c>
      <c r="J63" s="114">
        <f t="shared" si="6"/>
        <v>8.5745717104209793E-2</v>
      </c>
      <c r="K63" s="114">
        <f>IFERROR(L27/L30,"-")</f>
        <v>0.10158671195075369</v>
      </c>
    </row>
    <row r="64" spans="1:11" x14ac:dyDescent="0.3">
      <c r="E64" s="116"/>
      <c r="F64" s="116"/>
      <c r="G64" s="116"/>
      <c r="H64" s="116"/>
      <c r="I64" s="116"/>
      <c r="J64" s="116"/>
      <c r="K64" s="116"/>
    </row>
    <row r="65" spans="2:11" x14ac:dyDescent="0.3">
      <c r="B65" s="32" t="s">
        <v>172</v>
      </c>
      <c r="C65" s="32"/>
      <c r="D65" s="32"/>
      <c r="E65" s="117"/>
      <c r="F65" s="117"/>
      <c r="G65" s="117"/>
      <c r="H65" s="117"/>
      <c r="I65" s="117"/>
      <c r="J65" s="117"/>
      <c r="K65" s="117"/>
    </row>
    <row r="66" spans="2:11" x14ac:dyDescent="0.3">
      <c r="B66" s="37" t="s">
        <v>173</v>
      </c>
      <c r="E66" s="118">
        <f t="shared" ref="E66:J66" si="7">IFERROR(E31/E32,"-")</f>
        <v>3.3326376159276934</v>
      </c>
      <c r="F66" s="118">
        <f t="shared" si="7"/>
        <v>3.3154398954703841</v>
      </c>
      <c r="G66" s="118">
        <f t="shared" si="7"/>
        <v>2.967967320673774</v>
      </c>
      <c r="H66" s="118">
        <f t="shared" si="7"/>
        <v>3.0326409887367429</v>
      </c>
      <c r="I66" s="118">
        <f t="shared" si="7"/>
        <v>2.0596259701186392</v>
      </c>
      <c r="J66" s="118">
        <f t="shared" si="7"/>
        <v>1.8561102909739147</v>
      </c>
      <c r="K66" s="118">
        <f>IFERROR(L31/L32,"-")</f>
        <v>1.9034642260430152</v>
      </c>
    </row>
    <row r="67" spans="2:11" x14ac:dyDescent="0.3">
      <c r="B67" s="37" t="s">
        <v>174</v>
      </c>
      <c r="E67" s="119">
        <f t="shared" ref="E67:J67" si="8">IFERROR(E31-E27,"-")</f>
        <v>1420.7247937098139</v>
      </c>
      <c r="F67" s="119">
        <f t="shared" si="8"/>
        <v>1291.238639155403</v>
      </c>
      <c r="G67" s="119">
        <f t="shared" si="8"/>
        <v>1300.4201432946138</v>
      </c>
      <c r="H67" s="119">
        <f t="shared" si="8"/>
        <v>1496.7672540340554</v>
      </c>
      <c r="I67" s="119">
        <f t="shared" si="8"/>
        <v>1350.832401562483</v>
      </c>
      <c r="J67" s="119">
        <f t="shared" si="8"/>
        <v>1321.630091851574</v>
      </c>
      <c r="K67" s="119">
        <f>IFERROR(L31-L27,"-")</f>
        <v>1222.4178069373611</v>
      </c>
    </row>
    <row r="68" spans="2:11" x14ac:dyDescent="0.3">
      <c r="B68" s="37" t="s">
        <v>175</v>
      </c>
      <c r="E68" s="118">
        <f t="shared" ref="E68:J68" si="9">IFERROR(E67/E18,"-")</f>
        <v>4.344840666551864</v>
      </c>
      <c r="F68" s="118">
        <f t="shared" si="9"/>
        <v>4.9492173791880258</v>
      </c>
      <c r="G68" s="118">
        <f t="shared" si="9"/>
        <v>4.9080840874732559</v>
      </c>
      <c r="H68" s="118">
        <f t="shared" si="9"/>
        <v>4.3691769483102494</v>
      </c>
      <c r="I68" s="118">
        <f t="shared" si="9"/>
        <v>2.6533463055621569</v>
      </c>
      <c r="J68" s="118">
        <f t="shared" si="9"/>
        <v>3.4852278774529744</v>
      </c>
      <c r="K68" s="118">
        <f>IFERROR(K67/L18,"-")</f>
        <v>3.7010066383640292</v>
      </c>
    </row>
    <row r="69" spans="2:11" x14ac:dyDescent="0.3">
      <c r="E69" s="116"/>
      <c r="F69" s="116"/>
      <c r="G69" s="116"/>
      <c r="H69" s="116"/>
      <c r="I69" s="116"/>
      <c r="J69" s="116"/>
      <c r="K69" s="116"/>
    </row>
    <row r="70" spans="2:11" x14ac:dyDescent="0.3">
      <c r="B70" s="32" t="s">
        <v>178</v>
      </c>
      <c r="C70" s="32"/>
      <c r="D70" s="32"/>
      <c r="E70" s="117"/>
      <c r="F70" s="117"/>
      <c r="G70" s="117"/>
      <c r="H70" s="117"/>
      <c r="I70" s="117"/>
      <c r="J70" s="117"/>
      <c r="K70" s="117"/>
    </row>
    <row r="71" spans="2:11" x14ac:dyDescent="0.3">
      <c r="B71" s="37" t="s">
        <v>179</v>
      </c>
      <c r="E71" s="118">
        <f t="shared" ref="E71:J71" si="10">IFERROR(E20/E21,"-")</f>
        <v>4.8572251161422928</v>
      </c>
      <c r="F71" s="118">
        <f t="shared" si="10"/>
        <v>1.1208717504712706</v>
      </c>
      <c r="G71" s="118">
        <f t="shared" si="10"/>
        <v>2.4195285609987121</v>
      </c>
      <c r="H71" s="118">
        <f t="shared" si="10"/>
        <v>3.7978310377637641</v>
      </c>
      <c r="I71" s="118">
        <f t="shared" si="10"/>
        <v>6.188843802604393</v>
      </c>
      <c r="J71" s="118">
        <f t="shared" si="10"/>
        <v>2.6792671560150381</v>
      </c>
      <c r="K71" s="118">
        <f>IFERROR(L20/L21,"-")</f>
        <v>1.6945712005599001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25F9D-7348-4E33-AE7D-361C4D7198C3}">
  <dimension ref="A2:X71"/>
  <sheetViews>
    <sheetView showGridLines="0" topLeftCell="A43" zoomScale="115" zoomScaleNormal="115" workbookViewId="0">
      <selection activeCell="A72" sqref="A72:XFD78"/>
    </sheetView>
  </sheetViews>
  <sheetFormatPr defaultRowHeight="12.45" x14ac:dyDescent="0.3"/>
  <cols>
    <col min="1" max="1" width="2.69140625" customWidth="1"/>
    <col min="2" max="2" width="18.53515625" customWidth="1"/>
    <col min="3" max="3" width="19.3828125" bestFit="1" customWidth="1"/>
    <col min="4" max="4" width="6.69140625" customWidth="1"/>
    <col min="5" max="18" width="10.53515625" customWidth="1"/>
  </cols>
  <sheetData>
    <row r="2" spans="1:23" x14ac:dyDescent="0.3">
      <c r="A2" t="s">
        <v>1</v>
      </c>
      <c r="B2" s="97" t="s">
        <v>694</v>
      </c>
      <c r="C2" s="97"/>
      <c r="D2" s="97"/>
      <c r="E2" s="97"/>
      <c r="F2" s="97"/>
      <c r="G2" s="97"/>
      <c r="H2" s="97"/>
      <c r="I2" s="97"/>
      <c r="K2" s="98"/>
      <c r="L2" s="98"/>
      <c r="M2" s="98"/>
      <c r="N2" s="98"/>
      <c r="O2" s="98"/>
      <c r="P2" s="98"/>
      <c r="Q2" s="98"/>
      <c r="R2" s="98"/>
      <c r="S2" s="98"/>
      <c r="T2" s="98"/>
    </row>
    <row r="4" spans="1:23" x14ac:dyDescent="0.3">
      <c r="B4" s="99" t="s">
        <v>695</v>
      </c>
      <c r="C4" s="99"/>
      <c r="E4" s="99" t="s">
        <v>696</v>
      </c>
      <c r="F4" s="99"/>
      <c r="G4" s="99"/>
      <c r="H4" s="99"/>
      <c r="I4" s="99"/>
    </row>
    <row r="5" spans="1:23" x14ac:dyDescent="0.3">
      <c r="B5" t="s">
        <v>697</v>
      </c>
      <c r="C5" s="100" t="s">
        <v>193</v>
      </c>
      <c r="E5" t="s">
        <v>699</v>
      </c>
      <c r="F5" s="101" t="s">
        <v>187</v>
      </c>
      <c r="H5" t="s">
        <v>700</v>
      </c>
      <c r="I5" s="102">
        <v>2</v>
      </c>
    </row>
    <row r="6" spans="1:23" x14ac:dyDescent="0.3">
      <c r="B6" t="s">
        <v>701</v>
      </c>
      <c r="C6" s="100" t="s">
        <v>719</v>
      </c>
      <c r="E6" t="s">
        <v>703</v>
      </c>
      <c r="F6" s="102" t="s">
        <v>736</v>
      </c>
      <c r="H6" t="s">
        <v>703</v>
      </c>
      <c r="I6" s="102" t="s">
        <v>705</v>
      </c>
      <c r="V6" t="s">
        <v>702</v>
      </c>
      <c r="W6" t="s">
        <v>189</v>
      </c>
    </row>
    <row r="7" spans="1:23" x14ac:dyDescent="0.3">
      <c r="B7" t="s">
        <v>706</v>
      </c>
      <c r="C7" s="100">
        <v>-5</v>
      </c>
      <c r="V7" t="s">
        <v>707</v>
      </c>
      <c r="W7" t="s">
        <v>190</v>
      </c>
    </row>
    <row r="8" spans="1:23" x14ac:dyDescent="0.3">
      <c r="B8" t="s">
        <v>708</v>
      </c>
      <c r="C8" s="100">
        <v>0</v>
      </c>
      <c r="E8" t="s">
        <v>709</v>
      </c>
      <c r="F8" s="103">
        <v>96.215959999999995</v>
      </c>
      <c r="V8" s="113" t="s">
        <v>710</v>
      </c>
      <c r="W8" s="113" t="s">
        <v>196</v>
      </c>
    </row>
    <row r="9" spans="1:23" x14ac:dyDescent="0.3">
      <c r="B9" t="s">
        <v>711</v>
      </c>
      <c r="C9" s="100" t="s">
        <v>712</v>
      </c>
      <c r="V9" t="s">
        <v>713</v>
      </c>
      <c r="W9" t="s">
        <v>714</v>
      </c>
    </row>
    <row r="10" spans="1:23" x14ac:dyDescent="0.3">
      <c r="B10" t="s">
        <v>715</v>
      </c>
      <c r="C10" s="100" t="s">
        <v>237</v>
      </c>
      <c r="V10" t="s">
        <v>716</v>
      </c>
      <c r="W10" t="s">
        <v>192</v>
      </c>
    </row>
    <row r="11" spans="1:23" x14ac:dyDescent="0.3">
      <c r="B11" t="s">
        <v>718</v>
      </c>
      <c r="C11" s="104">
        <v>45992</v>
      </c>
      <c r="V11" t="s">
        <v>719</v>
      </c>
      <c r="W11" t="s">
        <v>193</v>
      </c>
    </row>
    <row r="12" spans="1:23" x14ac:dyDescent="0.3">
      <c r="V12" t="s">
        <v>721</v>
      </c>
      <c r="W12" t="s">
        <v>194</v>
      </c>
    </row>
    <row r="13" spans="1:23" x14ac:dyDescent="0.3">
      <c r="A13" t="s">
        <v>1</v>
      </c>
      <c r="B13" s="97" t="s">
        <v>722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V13" t="s">
        <v>723</v>
      </c>
      <c r="W13" t="s">
        <v>195</v>
      </c>
    </row>
    <row r="14" spans="1:23" ht="12.9" x14ac:dyDescent="0.35">
      <c r="B14" s="1" t="s">
        <v>724</v>
      </c>
      <c r="V14" t="s">
        <v>725</v>
      </c>
      <c r="W14" t="s">
        <v>197</v>
      </c>
    </row>
    <row r="15" spans="1:23" x14ac:dyDescent="0.3">
      <c r="B15" s="105"/>
      <c r="C15" s="105"/>
      <c r="D15" s="105"/>
      <c r="E15" s="106">
        <v>2019</v>
      </c>
      <c r="F15" s="106">
        <v>2020</v>
      </c>
      <c r="G15" s="106">
        <v>2021</v>
      </c>
      <c r="H15" s="106">
        <v>2022</v>
      </c>
      <c r="I15" s="106">
        <v>2023</v>
      </c>
      <c r="J15" s="106" t="s">
        <v>187</v>
      </c>
      <c r="L15" s="107" t="s">
        <v>188</v>
      </c>
    </row>
    <row r="16" spans="1:23" x14ac:dyDescent="0.3">
      <c r="B16" t="s">
        <v>57</v>
      </c>
      <c r="E16" s="108">
        <v>17975.4942385387</v>
      </c>
      <c r="F16" s="109">
        <v>17140.4577048346</v>
      </c>
      <c r="G16" s="109">
        <v>20727.928795034099</v>
      </c>
      <c r="H16" s="109">
        <v>23982.2586155422</v>
      </c>
      <c r="I16" s="109">
        <v>24449.429710744898</v>
      </c>
      <c r="J16" s="109">
        <v>24959.525989692698</v>
      </c>
      <c r="L16" s="108">
        <v>25066.789886070899</v>
      </c>
      <c r="Q16" s="108"/>
    </row>
    <row r="17" spans="2:17" x14ac:dyDescent="0.3">
      <c r="B17" t="s">
        <v>727</v>
      </c>
      <c r="E17" s="108">
        <v>13788.890529194799</v>
      </c>
      <c r="F17" s="108">
        <v>13177.846232648901</v>
      </c>
      <c r="G17" s="108">
        <v>16077.2410309725</v>
      </c>
      <c r="H17" s="108">
        <v>18622.732131075099</v>
      </c>
      <c r="I17" s="108">
        <v>18713.114443700801</v>
      </c>
      <c r="J17" s="108">
        <v>19159.722068927698</v>
      </c>
      <c r="L17" s="108">
        <v>19453.715877136699</v>
      </c>
      <c r="Q17" s="108"/>
    </row>
    <row r="18" spans="2:17" x14ac:dyDescent="0.3">
      <c r="B18" t="s">
        <v>64</v>
      </c>
      <c r="E18" s="108">
        <v>2753.0958099999998</v>
      </c>
      <c r="F18" s="108">
        <v>2629.0425599999999</v>
      </c>
      <c r="G18" s="108">
        <v>2877.4165699999999</v>
      </c>
      <c r="H18" s="108">
        <v>3027.55269</v>
      </c>
      <c r="I18" s="108">
        <v>3364.7900199999999</v>
      </c>
      <c r="J18" s="108">
        <v>3357.0113500000002</v>
      </c>
      <c r="L18" s="108">
        <v>3134.4014900000002</v>
      </c>
      <c r="Q18" s="108"/>
    </row>
    <row r="19" spans="2:17" x14ac:dyDescent="0.3">
      <c r="B19" t="s">
        <v>728</v>
      </c>
      <c r="E19" s="108">
        <v>1724.50435595214</v>
      </c>
      <c r="F19" s="108">
        <v>1697.93377163634</v>
      </c>
      <c r="G19" s="108">
        <v>1714.3404364194701</v>
      </c>
      <c r="H19" s="108">
        <v>1828.96872865409</v>
      </c>
      <c r="I19" s="108">
        <v>1817.43372774217</v>
      </c>
      <c r="J19" s="108">
        <v>1979.99776610872</v>
      </c>
      <c r="L19" s="108">
        <v>2038.52226323169</v>
      </c>
      <c r="Q19" s="108"/>
    </row>
    <row r="20" spans="2:17" x14ac:dyDescent="0.3">
      <c r="B20" t="s">
        <v>67</v>
      </c>
      <c r="E20" s="108">
        <v>1028.5914499999999</v>
      </c>
      <c r="F20" s="108">
        <v>931.10879</v>
      </c>
      <c r="G20" s="108">
        <v>1163.0761299999999</v>
      </c>
      <c r="H20" s="108">
        <v>1198.5839599999999</v>
      </c>
      <c r="I20" s="108">
        <v>1547.3562899999999</v>
      </c>
      <c r="J20" s="108">
        <v>1377.01358</v>
      </c>
      <c r="L20" s="108">
        <v>1095.87923</v>
      </c>
      <c r="Q20" s="108"/>
    </row>
    <row r="21" spans="2:17" x14ac:dyDescent="0.3">
      <c r="B21" t="s">
        <v>729</v>
      </c>
      <c r="E21" s="108">
        <v>66.823798730969401</v>
      </c>
      <c r="F21" s="108">
        <v>48.217859145253897</v>
      </c>
      <c r="G21" s="108">
        <v>45.123295789584503</v>
      </c>
      <c r="H21" s="108">
        <v>99.160613212734503</v>
      </c>
      <c r="I21" s="108">
        <v>136.43876363057601</v>
      </c>
      <c r="J21" s="108">
        <v>84.648868407122805</v>
      </c>
      <c r="L21" s="108" t="e">
        <v>#N/A</v>
      </c>
      <c r="Q21" s="108"/>
    </row>
    <row r="22" spans="2:17" x14ac:dyDescent="0.3">
      <c r="B22" t="s">
        <v>70</v>
      </c>
      <c r="E22" s="108">
        <v>381.64568202383799</v>
      </c>
      <c r="F22" s="108">
        <v>344.508066952229</v>
      </c>
      <c r="G22" s="108">
        <v>465.661072341725</v>
      </c>
      <c r="H22" s="108">
        <v>455.890475772321</v>
      </c>
      <c r="I22" s="108">
        <v>461.37618471402698</v>
      </c>
      <c r="J22" s="108">
        <v>490.119025500026</v>
      </c>
      <c r="L22" s="108">
        <v>314.785125159193</v>
      </c>
      <c r="Q22" s="108"/>
    </row>
    <row r="23" spans="2:17" x14ac:dyDescent="0.3">
      <c r="B23" t="s">
        <v>131</v>
      </c>
      <c r="E23" s="108">
        <v>1207.6795597709699</v>
      </c>
      <c r="F23" s="108">
        <v>1106.1220582574599</v>
      </c>
      <c r="G23" s="108">
        <v>1381.5666656363801</v>
      </c>
      <c r="H23" s="108">
        <v>1368.4590357653799</v>
      </c>
      <c r="I23" s="108">
        <v>1459.22058182769</v>
      </c>
      <c r="J23" s="108">
        <v>1602.75000855187</v>
      </c>
      <c r="L23" s="108">
        <v>1250.90669670328</v>
      </c>
      <c r="Q23" s="108"/>
    </row>
    <row r="24" spans="2:17" x14ac:dyDescent="0.3">
      <c r="E24" s="108"/>
      <c r="F24" s="108"/>
      <c r="G24" s="108"/>
      <c r="H24" s="108"/>
      <c r="I24" s="108"/>
      <c r="J24" s="108"/>
      <c r="L24" s="108"/>
      <c r="Q24" s="108"/>
    </row>
    <row r="25" spans="2:17" x14ac:dyDescent="0.3">
      <c r="B25" t="s">
        <v>183</v>
      </c>
      <c r="E25" s="108">
        <v>804.64230999999995</v>
      </c>
      <c r="F25" s="108">
        <v>1294.8667800000001</v>
      </c>
      <c r="G25" s="108">
        <v>641.44194000000005</v>
      </c>
      <c r="H25" s="108">
        <v>-674.15026</v>
      </c>
      <c r="I25" s="108">
        <v>603.79782</v>
      </c>
      <c r="J25" s="108">
        <v>-241.06657999999999</v>
      </c>
      <c r="L25" s="108">
        <v>347.12878999999998</v>
      </c>
      <c r="Q25" s="108"/>
    </row>
    <row r="26" spans="2:17" x14ac:dyDescent="0.3">
      <c r="E26" s="108"/>
      <c r="F26" s="108"/>
      <c r="G26" s="108"/>
      <c r="H26" s="108"/>
      <c r="I26" s="108"/>
      <c r="J26" s="108"/>
      <c r="L26" s="108"/>
      <c r="Q26" s="108"/>
    </row>
    <row r="27" spans="2:17" x14ac:dyDescent="0.3">
      <c r="B27" t="s">
        <v>730</v>
      </c>
      <c r="E27" s="108">
        <v>4502.6904508471498</v>
      </c>
      <c r="F27" s="108">
        <v>4559.2441775351799</v>
      </c>
      <c r="G27" s="108">
        <v>4263.36900496623</v>
      </c>
      <c r="H27" s="108">
        <v>4307.9034386202702</v>
      </c>
      <c r="I27" s="108">
        <v>4528.4716599639496</v>
      </c>
      <c r="J27" s="108">
        <v>2898.4896141924</v>
      </c>
      <c r="L27" s="108">
        <v>2879.2795577910701</v>
      </c>
      <c r="Q27" s="108"/>
    </row>
    <row r="28" spans="2:17" x14ac:dyDescent="0.3">
      <c r="B28" t="s">
        <v>731</v>
      </c>
      <c r="E28" s="108">
        <v>2158.9715211466</v>
      </c>
      <c r="F28" s="108">
        <v>2251.94069940504</v>
      </c>
      <c r="G28" s="108">
        <v>3213.3859423198701</v>
      </c>
      <c r="H28" s="108">
        <v>3626.5619496116401</v>
      </c>
      <c r="I28" s="108">
        <v>3787.44768989459</v>
      </c>
      <c r="J28" s="108">
        <v>3837.0093609914202</v>
      </c>
      <c r="L28" s="108">
        <v>3809.5805046949499</v>
      </c>
      <c r="Q28" s="108"/>
    </row>
    <row r="29" spans="2:17" x14ac:dyDescent="0.3">
      <c r="B29" t="s">
        <v>124</v>
      </c>
      <c r="E29" s="108">
        <v>14688.305402901</v>
      </c>
      <c r="F29" s="108">
        <v>15000.1637470899</v>
      </c>
      <c r="G29" s="108">
        <v>16703.903738136902</v>
      </c>
      <c r="H29" s="108">
        <v>18513.865531235901</v>
      </c>
      <c r="I29" s="108">
        <v>19145.9854371529</v>
      </c>
      <c r="J29" s="108">
        <v>19249.467040080599</v>
      </c>
      <c r="L29" s="108">
        <v>18193.484767135698</v>
      </c>
      <c r="Q29" s="108"/>
    </row>
    <row r="30" spans="2:17" x14ac:dyDescent="0.3">
      <c r="B30" t="s">
        <v>144</v>
      </c>
      <c r="E30" s="108">
        <v>8225.2781309559905</v>
      </c>
      <c r="F30" s="108">
        <v>9149.4037315072492</v>
      </c>
      <c r="G30" s="108">
        <v>10164.697666673501</v>
      </c>
      <c r="H30" s="108">
        <v>10492.101514153201</v>
      </c>
      <c r="I30" s="108">
        <v>10028.353095279999</v>
      </c>
      <c r="J30" s="108">
        <v>10043.0440819785</v>
      </c>
      <c r="L30" s="108">
        <v>10521.243558148901</v>
      </c>
      <c r="Q30" s="108"/>
    </row>
    <row r="31" spans="2:17" x14ac:dyDescent="0.3">
      <c r="B31" t="s">
        <v>732</v>
      </c>
      <c r="E31" s="108">
        <v>12324.5702007785</v>
      </c>
      <c r="F31" s="108">
        <v>11311.377990491699</v>
      </c>
      <c r="G31" s="108">
        <v>11279.354082041</v>
      </c>
      <c r="H31" s="108">
        <v>12725.6476182723</v>
      </c>
      <c r="I31" s="108">
        <v>11540.2194117252</v>
      </c>
      <c r="J31" s="108">
        <v>11903.412069408199</v>
      </c>
      <c r="L31" s="108">
        <v>10172.9000661029</v>
      </c>
      <c r="Q31" s="108"/>
    </row>
    <row r="32" spans="2:17" x14ac:dyDescent="0.3">
      <c r="B32" t="s">
        <v>733</v>
      </c>
      <c r="E32" s="108">
        <v>20588.707421552401</v>
      </c>
      <c r="F32" s="108">
        <v>24917.393009739</v>
      </c>
      <c r="G32" s="108">
        <v>29089.776381796699</v>
      </c>
      <c r="H32" s="108">
        <v>26538.949150778401</v>
      </c>
      <c r="I32" s="108">
        <v>36987.016192054398</v>
      </c>
      <c r="J32" s="108">
        <v>30363.350502293601</v>
      </c>
      <c r="L32" s="108">
        <v>30888.042957245401</v>
      </c>
      <c r="Q32" s="108"/>
    </row>
    <row r="33" spans="2:24" x14ac:dyDescent="0.3">
      <c r="E33" s="108"/>
      <c r="F33" s="108"/>
      <c r="G33" s="108"/>
      <c r="H33" s="108"/>
      <c r="I33" s="108"/>
      <c r="J33" s="108"/>
      <c r="L33" s="108"/>
      <c r="Q33" s="108"/>
    </row>
    <row r="34" spans="2:24" x14ac:dyDescent="0.3">
      <c r="B34" t="s">
        <v>734</v>
      </c>
      <c r="E34" s="108">
        <v>310.48361199999999</v>
      </c>
      <c r="F34" s="108">
        <v>310.48177800000002</v>
      </c>
      <c r="G34" s="108">
        <v>310.47985399999999</v>
      </c>
      <c r="H34" s="108">
        <v>310.47811799999999</v>
      </c>
      <c r="I34" s="108">
        <v>310.477035</v>
      </c>
      <c r="J34" s="108">
        <v>301.400306</v>
      </c>
      <c r="L34" s="108">
        <v>300.47387199999997</v>
      </c>
      <c r="Q34" s="108"/>
    </row>
    <row r="35" spans="2:24" x14ac:dyDescent="0.3">
      <c r="E35" s="108"/>
      <c r="F35" s="108"/>
      <c r="G35" s="108"/>
      <c r="H35" s="108"/>
      <c r="I35" s="108"/>
      <c r="J35" s="108"/>
      <c r="L35" s="108"/>
      <c r="Q35" s="108"/>
    </row>
    <row r="36" spans="2:24" x14ac:dyDescent="0.3">
      <c r="E36" s="108"/>
      <c r="F36" s="108"/>
      <c r="G36" s="108"/>
      <c r="H36" s="108"/>
      <c r="I36" s="108"/>
      <c r="J36" s="108"/>
      <c r="L36" s="108"/>
      <c r="Q36" s="108"/>
    </row>
    <row r="38" spans="2:24" ht="12.9" x14ac:dyDescent="0.35">
      <c r="B38" s="1" t="s">
        <v>735</v>
      </c>
    </row>
    <row r="41" spans="2:24" x14ac:dyDescent="0.3">
      <c r="X41" s="110"/>
    </row>
    <row r="42" spans="2:24" ht="12.65" customHeight="1" x14ac:dyDescent="0.3">
      <c r="N42" s="111"/>
    </row>
    <row r="43" spans="2:24" x14ac:dyDescent="0.3">
      <c r="C43" s="112"/>
    </row>
    <row r="50" spans="1:11" ht="17.600000000000001" x14ac:dyDescent="0.4">
      <c r="A50" t="s">
        <v>1</v>
      </c>
      <c r="B50" s="2" t="s">
        <v>163</v>
      </c>
      <c r="C50" s="2"/>
      <c r="D50" s="2"/>
      <c r="E50" s="2"/>
      <c r="F50" s="2"/>
      <c r="G50" s="2"/>
      <c r="H50" s="2"/>
      <c r="I50" s="2"/>
      <c r="J50" s="2"/>
      <c r="K50" s="2"/>
    </row>
    <row r="52" spans="1:11" x14ac:dyDescent="0.3">
      <c r="B52" s="31" t="s">
        <v>93</v>
      </c>
      <c r="C52" s="31"/>
      <c r="D52" s="31"/>
      <c r="E52" s="213">
        <v>2019</v>
      </c>
      <c r="F52" s="213">
        <v>2020</v>
      </c>
      <c r="G52" s="213">
        <v>2021</v>
      </c>
      <c r="H52" s="213">
        <v>2022</v>
      </c>
      <c r="I52" s="213">
        <v>2023</v>
      </c>
      <c r="J52" s="213" t="s">
        <v>187</v>
      </c>
      <c r="K52" s="213" t="s">
        <v>188</v>
      </c>
    </row>
    <row r="54" spans="1:11" x14ac:dyDescent="0.3">
      <c r="B54" s="32" t="s">
        <v>164</v>
      </c>
      <c r="C54" s="32"/>
      <c r="D54" s="32"/>
      <c r="E54" s="32"/>
      <c r="F54" s="32"/>
      <c r="G54" s="32"/>
      <c r="H54" s="32"/>
      <c r="I54" s="32"/>
      <c r="J54" s="32"/>
      <c r="K54" s="32"/>
    </row>
    <row r="55" spans="1:11" x14ac:dyDescent="0.3">
      <c r="B55" s="37" t="s">
        <v>165</v>
      </c>
      <c r="E55" s="114">
        <f t="shared" ref="E55:J55" si="0">IFERROR((E16-E17)/E16,"-")</f>
        <v>0.23290618070283706</v>
      </c>
      <c r="F55" s="114">
        <f t="shared" si="0"/>
        <v>0.23118469415598009</v>
      </c>
      <c r="G55" s="114">
        <f t="shared" si="0"/>
        <v>0.22436818507287562</v>
      </c>
      <c r="H55" s="114">
        <f t="shared" si="0"/>
        <v>0.22347880449399157</v>
      </c>
      <c r="I55" s="114">
        <f t="shared" si="0"/>
        <v>0.2346195937863996</v>
      </c>
      <c r="J55" s="114">
        <f t="shared" si="0"/>
        <v>0.23236835199354711</v>
      </c>
      <c r="K55" s="114">
        <f>IFERROR((L16-L17)/L16,"-")</f>
        <v>0.22392472408496431</v>
      </c>
    </row>
    <row r="56" spans="1:11" x14ac:dyDescent="0.3">
      <c r="B56" s="37" t="s">
        <v>121</v>
      </c>
      <c r="E56" s="114">
        <f t="shared" ref="E56:J56" si="1">IFERROR(E18/E16,"-")</f>
        <v>0.15315828168426537</v>
      </c>
      <c r="F56" s="114">
        <f t="shared" si="1"/>
        <v>0.15338228449164795</v>
      </c>
      <c r="G56" s="114">
        <f t="shared" si="1"/>
        <v>0.13881833532202012</v>
      </c>
      <c r="H56" s="114">
        <f t="shared" si="1"/>
        <v>0.12624134942977938</v>
      </c>
      <c r="I56" s="114">
        <f t="shared" si="1"/>
        <v>0.13762243372577565</v>
      </c>
      <c r="J56" s="114">
        <f t="shared" si="1"/>
        <v>0.13449820126336989</v>
      </c>
      <c r="K56" s="114">
        <f>IFERROR(L18/L16,"-")</f>
        <v>0.12504199796806542</v>
      </c>
    </row>
    <row r="57" spans="1:11" x14ac:dyDescent="0.3">
      <c r="B57" s="37" t="s">
        <v>166</v>
      </c>
      <c r="E57" s="114">
        <f t="shared" ref="E57:J57" si="2">IFERROR(E20/E16,"-")</f>
        <v>5.7221873087347067E-2</v>
      </c>
      <c r="F57" s="114">
        <f t="shared" si="2"/>
        <v>5.4322282755458362E-2</v>
      </c>
      <c r="G57" s="114">
        <f t="shared" si="2"/>
        <v>5.6111545996754116E-2</v>
      </c>
      <c r="H57" s="114">
        <f t="shared" si="2"/>
        <v>4.9977943246064103E-2</v>
      </c>
      <c r="I57" s="114">
        <f t="shared" si="2"/>
        <v>6.3288032003461267E-2</v>
      </c>
      <c r="J57" s="114">
        <f t="shared" si="2"/>
        <v>5.5169861020944566E-2</v>
      </c>
      <c r="K57" s="114">
        <f>IFERROR(L20/L16,"-")</f>
        <v>4.371837139820435E-2</v>
      </c>
    </row>
    <row r="58" spans="1:11" x14ac:dyDescent="0.3">
      <c r="B58" s="37" t="s">
        <v>167</v>
      </c>
      <c r="E58" s="115">
        <f t="shared" ref="E58:J58" si="3">IFERROR(E23/E16,"-")</f>
        <v>6.7184776326302945E-2</v>
      </c>
      <c r="F58" s="115">
        <f t="shared" si="3"/>
        <v>6.4532819210858614E-2</v>
      </c>
      <c r="G58" s="115">
        <f t="shared" si="3"/>
        <v>6.6652422405434425E-2</v>
      </c>
      <c r="H58" s="115">
        <f t="shared" si="3"/>
        <v>5.7061307598381149E-2</v>
      </c>
      <c r="I58" s="115">
        <f t="shared" si="3"/>
        <v>5.9683215481561927E-2</v>
      </c>
      <c r="J58" s="115">
        <f t="shared" si="3"/>
        <v>6.4213960201557618E-2</v>
      </c>
      <c r="K58" s="115">
        <f>IFERROR(L23/L16,"-")</f>
        <v>4.9902947381323171E-2</v>
      </c>
    </row>
    <row r="59" spans="1:11" x14ac:dyDescent="0.3">
      <c r="E59" s="116"/>
      <c r="F59" s="116"/>
      <c r="G59" s="116"/>
      <c r="H59" s="116"/>
      <c r="I59" s="116"/>
      <c r="J59" s="116"/>
      <c r="K59" s="116"/>
    </row>
    <row r="60" spans="1:11" x14ac:dyDescent="0.3">
      <c r="B60" s="32" t="s">
        <v>168</v>
      </c>
      <c r="C60" s="32"/>
      <c r="D60" s="32"/>
      <c r="E60" s="117"/>
      <c r="F60" s="117"/>
      <c r="G60" s="117"/>
      <c r="H60" s="117"/>
      <c r="I60" s="117"/>
      <c r="J60" s="117"/>
      <c r="K60" s="117"/>
    </row>
    <row r="61" spans="1:11" x14ac:dyDescent="0.3">
      <c r="B61" s="37" t="s">
        <v>169</v>
      </c>
      <c r="E61" s="114">
        <f t="shared" ref="E61:J61" si="4">IFERROR(E29/E30,"-")</f>
        <v>1.7857518212814329</v>
      </c>
      <c r="F61" s="114">
        <f t="shared" si="4"/>
        <v>1.6394689957155069</v>
      </c>
      <c r="G61" s="114">
        <f t="shared" si="4"/>
        <v>1.6433251913535192</v>
      </c>
      <c r="H61" s="114">
        <f t="shared" si="4"/>
        <v>1.7645526500350603</v>
      </c>
      <c r="I61" s="114">
        <f t="shared" si="4"/>
        <v>1.9091854121255718</v>
      </c>
      <c r="J61" s="114">
        <f t="shared" si="4"/>
        <v>1.9166964600526193</v>
      </c>
      <c r="K61" s="114">
        <f>IFERROR(L29/L30,"-")</f>
        <v>1.7292142954949943</v>
      </c>
    </row>
    <row r="62" spans="1:11" x14ac:dyDescent="0.3">
      <c r="B62" s="37" t="s">
        <v>170</v>
      </c>
      <c r="E62" s="114">
        <f t="shared" ref="E62:J62" si="5">IFERROR((E29-E28)/E30,"-")</f>
        <v>1.5232717583858975</v>
      </c>
      <c r="F62" s="114">
        <f t="shared" si="5"/>
        <v>1.3933392187935236</v>
      </c>
      <c r="G62" s="114">
        <f t="shared" si="5"/>
        <v>1.3271932169756249</v>
      </c>
      <c r="H62" s="114">
        <f t="shared" si="5"/>
        <v>1.4189057894209471</v>
      </c>
      <c r="I62" s="114">
        <f t="shared" si="5"/>
        <v>1.5315114656749615</v>
      </c>
      <c r="J62" s="114">
        <f t="shared" si="5"/>
        <v>1.5346400506939619</v>
      </c>
      <c r="K62" s="114">
        <f>IFERROR((L29-L28)/L30,"-")</f>
        <v>1.3671296727372255</v>
      </c>
    </row>
    <row r="63" spans="1:11" x14ac:dyDescent="0.3">
      <c r="B63" s="37" t="s">
        <v>171</v>
      </c>
      <c r="E63" s="114">
        <f t="shared" ref="E63:J63" si="6">IFERROR(E27/E30,"-")</f>
        <v>0.54742105727722312</v>
      </c>
      <c r="F63" s="114">
        <f t="shared" si="6"/>
        <v>0.4983105250711351</v>
      </c>
      <c r="G63" s="114">
        <f t="shared" si="6"/>
        <v>0.41942900268881883</v>
      </c>
      <c r="H63" s="114">
        <f t="shared" si="6"/>
        <v>0.41058537537109918</v>
      </c>
      <c r="I63" s="114">
        <f t="shared" si="6"/>
        <v>0.45156683424872079</v>
      </c>
      <c r="J63" s="114">
        <f t="shared" si="6"/>
        <v>0.28860668045792265</v>
      </c>
      <c r="K63" s="114">
        <f>IFERROR(L27/L30,"-")</f>
        <v>0.27366342598931798</v>
      </c>
    </row>
    <row r="64" spans="1:11" x14ac:dyDescent="0.3">
      <c r="E64" s="116"/>
      <c r="F64" s="116"/>
      <c r="G64" s="116"/>
      <c r="H64" s="116"/>
      <c r="I64" s="116"/>
      <c r="J64" s="116"/>
      <c r="K64" s="116"/>
    </row>
    <row r="65" spans="2:11" x14ac:dyDescent="0.3">
      <c r="B65" s="32" t="s">
        <v>172</v>
      </c>
      <c r="C65" s="32"/>
      <c r="D65" s="32"/>
      <c r="E65" s="117"/>
      <c r="F65" s="117"/>
      <c r="G65" s="117"/>
      <c r="H65" s="117"/>
      <c r="I65" s="117"/>
      <c r="J65" s="117"/>
      <c r="K65" s="117"/>
    </row>
    <row r="66" spans="2:11" x14ac:dyDescent="0.3">
      <c r="B66" s="37" t="s">
        <v>173</v>
      </c>
      <c r="E66" s="118">
        <f t="shared" ref="E66:J66" si="7">IFERROR(E31/E32,"-")</f>
        <v>0.59860825395367245</v>
      </c>
      <c r="F66" s="118">
        <f t="shared" si="7"/>
        <v>0.45395511424773172</v>
      </c>
      <c r="G66" s="118">
        <f t="shared" si="7"/>
        <v>0.38774289406704415</v>
      </c>
      <c r="H66" s="118">
        <f t="shared" si="7"/>
        <v>0.47950834624132244</v>
      </c>
      <c r="I66" s="118">
        <f t="shared" si="7"/>
        <v>0.31200730958677025</v>
      </c>
      <c r="J66" s="118">
        <f t="shared" si="7"/>
        <v>0.39203223203279342</v>
      </c>
      <c r="K66" s="118">
        <f>IFERROR(L31/L32,"-")</f>
        <v>0.32934751095056497</v>
      </c>
    </row>
    <row r="67" spans="2:11" x14ac:dyDescent="0.3">
      <c r="B67" s="37" t="s">
        <v>174</v>
      </c>
      <c r="E67" s="119">
        <f t="shared" ref="E67:J67" si="8">IFERROR(E31-E27,"-")</f>
        <v>7821.8797499313505</v>
      </c>
      <c r="F67" s="119">
        <f t="shared" si="8"/>
        <v>6752.1338129565193</v>
      </c>
      <c r="G67" s="119">
        <f t="shared" si="8"/>
        <v>7015.9850770747698</v>
      </c>
      <c r="H67" s="119">
        <f t="shared" si="8"/>
        <v>8417.7441796520288</v>
      </c>
      <c r="I67" s="119">
        <f t="shared" si="8"/>
        <v>7011.7477517612506</v>
      </c>
      <c r="J67" s="119">
        <f t="shared" si="8"/>
        <v>9004.9224552157993</v>
      </c>
      <c r="K67" s="119">
        <f>IFERROR(L31-L27,"-")</f>
        <v>7293.6205083118302</v>
      </c>
    </row>
    <row r="68" spans="2:11" x14ac:dyDescent="0.3">
      <c r="B68" s="37" t="s">
        <v>175</v>
      </c>
      <c r="E68" s="118">
        <f t="shared" ref="E68:J68" si="9">IFERROR(E67/E18,"-")</f>
        <v>2.8411215190986581</v>
      </c>
      <c r="F68" s="118">
        <f t="shared" si="9"/>
        <v>2.5682862330522789</v>
      </c>
      <c r="G68" s="118">
        <f t="shared" si="9"/>
        <v>2.4382931377484804</v>
      </c>
      <c r="H68" s="118">
        <f t="shared" si="9"/>
        <v>2.78037908554187</v>
      </c>
      <c r="I68" s="118">
        <f t="shared" si="9"/>
        <v>2.083858936243888</v>
      </c>
      <c r="J68" s="118">
        <f t="shared" si="9"/>
        <v>2.6824224038491256</v>
      </c>
      <c r="K68" s="118">
        <f>IFERROR(K67/L18,"-")</f>
        <v>2.3269579636116844</v>
      </c>
    </row>
    <row r="69" spans="2:11" x14ac:dyDescent="0.3">
      <c r="E69" s="116"/>
      <c r="F69" s="116"/>
      <c r="G69" s="116"/>
      <c r="H69" s="116"/>
      <c r="I69" s="116"/>
      <c r="J69" s="116"/>
      <c r="K69" s="116"/>
    </row>
    <row r="70" spans="2:11" x14ac:dyDescent="0.3">
      <c r="B70" s="32" t="s">
        <v>178</v>
      </c>
      <c r="C70" s="32"/>
      <c r="D70" s="32"/>
      <c r="E70" s="117"/>
      <c r="F70" s="117"/>
      <c r="G70" s="117"/>
      <c r="H70" s="117"/>
      <c r="I70" s="117"/>
      <c r="J70" s="117"/>
      <c r="K70" s="117"/>
    </row>
    <row r="71" spans="2:11" x14ac:dyDescent="0.3">
      <c r="B71" s="37" t="s">
        <v>179</v>
      </c>
      <c r="E71" s="118">
        <f t="shared" ref="E71:J71" si="10">IFERROR(E20/E21,"-")</f>
        <v>15.392591704357875</v>
      </c>
      <c r="F71" s="118">
        <f t="shared" si="10"/>
        <v>19.3104548087687</v>
      </c>
      <c r="G71" s="118">
        <f t="shared" si="10"/>
        <v>25.775513726292676</v>
      </c>
      <c r="H71" s="118">
        <f t="shared" si="10"/>
        <v>12.087298788971932</v>
      </c>
      <c r="I71" s="118">
        <f t="shared" si="10"/>
        <v>11.341031308299224</v>
      </c>
      <c r="J71" s="118">
        <f t="shared" si="10"/>
        <v>16.267359575052875</v>
      </c>
      <c r="K71" s="118" t="str">
        <f>IFERROR(L20/L21,"-")</f>
        <v>-</v>
      </c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3F379-EE1C-40A9-A693-FAC276432ABB}">
  <dimension ref="A2:X71"/>
  <sheetViews>
    <sheetView showGridLines="0" topLeftCell="A40" zoomScale="115" zoomScaleNormal="115" workbookViewId="0">
      <selection activeCell="A72" sqref="A72:XFD78"/>
    </sheetView>
  </sheetViews>
  <sheetFormatPr defaultRowHeight="12.45" x14ac:dyDescent="0.3"/>
  <cols>
    <col min="1" max="1" width="2.69140625" customWidth="1"/>
    <col min="2" max="2" width="18.53515625" customWidth="1"/>
    <col min="3" max="3" width="19.3828125" bestFit="1" customWidth="1"/>
    <col min="4" max="4" width="6.69140625" customWidth="1"/>
    <col min="5" max="18" width="10.53515625" customWidth="1"/>
  </cols>
  <sheetData>
    <row r="2" spans="1:23" x14ac:dyDescent="0.3">
      <c r="A2" t="s">
        <v>1</v>
      </c>
      <c r="B2" s="97" t="s">
        <v>694</v>
      </c>
      <c r="C2" s="97"/>
      <c r="D2" s="97"/>
      <c r="E2" s="97"/>
      <c r="F2" s="97"/>
      <c r="G2" s="97"/>
      <c r="H2" s="97"/>
      <c r="I2" s="97"/>
      <c r="K2" s="98"/>
      <c r="L2" s="98"/>
      <c r="M2" s="98"/>
      <c r="N2" s="98"/>
      <c r="O2" s="98"/>
      <c r="P2" s="98"/>
      <c r="Q2" s="98"/>
      <c r="R2" s="98"/>
      <c r="S2" s="98"/>
      <c r="T2" s="98"/>
    </row>
    <row r="4" spans="1:23" x14ac:dyDescent="0.3">
      <c r="B4" s="99" t="s">
        <v>695</v>
      </c>
      <c r="C4" s="99"/>
      <c r="E4" s="99" t="s">
        <v>696</v>
      </c>
      <c r="F4" s="99"/>
      <c r="G4" s="99"/>
      <c r="H4" s="99"/>
      <c r="I4" s="99"/>
    </row>
    <row r="5" spans="1:23" x14ac:dyDescent="0.3">
      <c r="B5" t="s">
        <v>697</v>
      </c>
      <c r="C5" s="100" t="s">
        <v>194</v>
      </c>
      <c r="E5" t="s">
        <v>699</v>
      </c>
      <c r="F5" s="101" t="s">
        <v>737</v>
      </c>
      <c r="H5" t="s">
        <v>700</v>
      </c>
      <c r="I5" s="102">
        <v>4</v>
      </c>
    </row>
    <row r="6" spans="1:23" x14ac:dyDescent="0.3">
      <c r="B6" t="s">
        <v>701</v>
      </c>
      <c r="C6" s="100" t="s">
        <v>721</v>
      </c>
      <c r="E6" t="s">
        <v>703</v>
      </c>
      <c r="F6" s="102" t="s">
        <v>738</v>
      </c>
      <c r="H6" t="s">
        <v>703</v>
      </c>
      <c r="I6" s="102" t="s">
        <v>738</v>
      </c>
      <c r="V6" t="s">
        <v>702</v>
      </c>
      <c r="W6" t="s">
        <v>189</v>
      </c>
    </row>
    <row r="7" spans="1:23" x14ac:dyDescent="0.3">
      <c r="B7" t="s">
        <v>706</v>
      </c>
      <c r="C7" s="100">
        <v>-5</v>
      </c>
      <c r="V7" t="s">
        <v>707</v>
      </c>
      <c r="W7" t="s">
        <v>190</v>
      </c>
    </row>
    <row r="8" spans="1:23" x14ac:dyDescent="0.3">
      <c r="B8" t="s">
        <v>708</v>
      </c>
      <c r="C8" s="100">
        <v>0</v>
      </c>
      <c r="E8" t="s">
        <v>709</v>
      </c>
      <c r="F8" s="103">
        <v>73.344800000000006</v>
      </c>
      <c r="V8" s="113" t="s">
        <v>710</v>
      </c>
      <c r="W8" s="113" t="s">
        <v>196</v>
      </c>
    </row>
    <row r="9" spans="1:23" x14ac:dyDescent="0.3">
      <c r="B9" t="s">
        <v>711</v>
      </c>
      <c r="C9" s="100" t="s">
        <v>712</v>
      </c>
      <c r="V9" t="s">
        <v>713</v>
      </c>
      <c r="W9" t="s">
        <v>714</v>
      </c>
    </row>
    <row r="10" spans="1:23" x14ac:dyDescent="0.3">
      <c r="B10" t="s">
        <v>715</v>
      </c>
      <c r="C10" s="100" t="s">
        <v>237</v>
      </c>
      <c r="V10" t="s">
        <v>716</v>
      </c>
      <c r="W10" t="s">
        <v>192</v>
      </c>
    </row>
    <row r="11" spans="1:23" x14ac:dyDescent="0.3">
      <c r="B11" t="s">
        <v>718</v>
      </c>
      <c r="C11" s="104">
        <v>45992</v>
      </c>
      <c r="V11" t="s">
        <v>719</v>
      </c>
      <c r="W11" t="s">
        <v>193</v>
      </c>
    </row>
    <row r="12" spans="1:23" x14ac:dyDescent="0.3">
      <c r="V12" t="s">
        <v>721</v>
      </c>
      <c r="W12" t="s">
        <v>194</v>
      </c>
    </row>
    <row r="13" spans="1:23" x14ac:dyDescent="0.3">
      <c r="A13" t="s">
        <v>1</v>
      </c>
      <c r="B13" s="97" t="s">
        <v>722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V13" t="s">
        <v>723</v>
      </c>
      <c r="W13" t="s">
        <v>195</v>
      </c>
    </row>
    <row r="14" spans="1:23" ht="12.9" x14ac:dyDescent="0.35">
      <c r="B14" s="1" t="s">
        <v>724</v>
      </c>
      <c r="V14" t="s">
        <v>725</v>
      </c>
      <c r="W14" t="s">
        <v>197</v>
      </c>
    </row>
    <row r="15" spans="1:23" x14ac:dyDescent="0.3">
      <c r="B15" s="105"/>
      <c r="C15" s="105"/>
      <c r="D15" s="105"/>
      <c r="E15" s="106">
        <v>2020</v>
      </c>
      <c r="F15" s="106">
        <v>2021</v>
      </c>
      <c r="G15" s="106">
        <v>2022</v>
      </c>
      <c r="H15" s="106">
        <v>2023</v>
      </c>
      <c r="I15" s="106">
        <v>2024</v>
      </c>
      <c r="J15" s="106" t="s">
        <v>737</v>
      </c>
      <c r="L15" s="107" t="s">
        <v>188</v>
      </c>
    </row>
    <row r="16" spans="1:23" x14ac:dyDescent="0.3">
      <c r="B16" t="s">
        <v>57</v>
      </c>
      <c r="E16" s="108">
        <v>0</v>
      </c>
      <c r="F16" s="109" t="e">
        <v>#N/A</v>
      </c>
      <c r="G16" s="109">
        <v>548.78319390296895</v>
      </c>
      <c r="H16" s="109">
        <v>1103.38146999586</v>
      </c>
      <c r="I16" s="109">
        <v>1649.66848271668</v>
      </c>
      <c r="J16" s="109">
        <v>2035.2682083116799</v>
      </c>
      <c r="L16" s="108">
        <v>2028.2693062922999</v>
      </c>
      <c r="Q16" s="108"/>
    </row>
    <row r="17" spans="2:17" x14ac:dyDescent="0.3">
      <c r="B17" t="s">
        <v>727</v>
      </c>
      <c r="E17" s="108">
        <v>0</v>
      </c>
      <c r="F17" s="108" t="e">
        <v>#N/A</v>
      </c>
      <c r="G17" s="108">
        <v>456.61482561975703</v>
      </c>
      <c r="H17" s="108">
        <v>925.49371595954904</v>
      </c>
      <c r="I17" s="108">
        <v>1423.0315199321501</v>
      </c>
      <c r="J17" s="108">
        <v>1679.5014827336099</v>
      </c>
      <c r="L17" s="108">
        <v>1665.23826306915</v>
      </c>
      <c r="Q17" s="108"/>
    </row>
    <row r="18" spans="2:17" x14ac:dyDescent="0.3">
      <c r="B18" t="s">
        <v>64</v>
      </c>
      <c r="E18" s="108">
        <v>-1.653E-2</v>
      </c>
      <c r="F18" s="108" t="e">
        <v>#N/A</v>
      </c>
      <c r="G18" s="108">
        <v>-124.30016000000001</v>
      </c>
      <c r="H18" s="108">
        <v>-177.03552999999999</v>
      </c>
      <c r="I18" s="108">
        <v>-54.881970000000003</v>
      </c>
      <c r="J18" s="108">
        <v>-33.87612</v>
      </c>
      <c r="L18" s="108">
        <v>-3.6045099999999999</v>
      </c>
      <c r="Q18" s="108"/>
    </row>
    <row r="19" spans="2:17" x14ac:dyDescent="0.3">
      <c r="B19" t="s">
        <v>728</v>
      </c>
      <c r="E19" s="108">
        <v>0</v>
      </c>
      <c r="F19" s="108" t="e">
        <v>#N/A</v>
      </c>
      <c r="G19" s="108">
        <v>5.5395180752873401</v>
      </c>
      <c r="H19" s="108">
        <v>8.8831841081380798</v>
      </c>
      <c r="I19" s="108">
        <v>21.661263203620901</v>
      </c>
      <c r="J19" s="108">
        <v>39.972171158850202</v>
      </c>
      <c r="L19" s="108">
        <v>37.303335531711603</v>
      </c>
      <c r="Q19" s="108"/>
    </row>
    <row r="20" spans="2:17" x14ac:dyDescent="0.3">
      <c r="B20" t="s">
        <v>67</v>
      </c>
      <c r="E20" s="108">
        <v>-1.653E-2</v>
      </c>
      <c r="F20" s="108" t="e">
        <v>#N/A</v>
      </c>
      <c r="G20" s="108">
        <v>-129.83967999999999</v>
      </c>
      <c r="H20" s="108">
        <v>-185.91871</v>
      </c>
      <c r="I20" s="108">
        <v>-76.543229999999994</v>
      </c>
      <c r="J20" s="108">
        <v>-73.848290000000006</v>
      </c>
      <c r="L20" s="108">
        <v>-40.907850000000003</v>
      </c>
      <c r="Q20" s="108"/>
    </row>
    <row r="21" spans="2:17" x14ac:dyDescent="0.3">
      <c r="B21" t="s">
        <v>729</v>
      </c>
      <c r="E21" s="108" t="e">
        <v>#N/A</v>
      </c>
      <c r="F21" s="108" t="e">
        <v>#N/A</v>
      </c>
      <c r="G21" s="108" t="e">
        <v>#N/A</v>
      </c>
      <c r="H21" s="108">
        <v>0</v>
      </c>
      <c r="I21" s="108">
        <v>0</v>
      </c>
      <c r="J21" s="108">
        <v>0</v>
      </c>
      <c r="L21" s="108">
        <v>0</v>
      </c>
      <c r="Q21" s="108"/>
    </row>
    <row r="22" spans="2:17" x14ac:dyDescent="0.3">
      <c r="B22" t="s">
        <v>70</v>
      </c>
      <c r="E22" s="108">
        <v>0</v>
      </c>
      <c r="F22" s="108" t="e">
        <v>#N/A</v>
      </c>
      <c r="G22" s="108">
        <v>0</v>
      </c>
      <c r="H22" s="108">
        <v>-4.3314311957359299</v>
      </c>
      <c r="I22" s="108">
        <v>3.8857427859306299</v>
      </c>
      <c r="J22" s="108">
        <v>-1.47374113339186</v>
      </c>
      <c r="L22" s="108">
        <v>2.7509807331562</v>
      </c>
      <c r="Q22" s="108"/>
    </row>
    <row r="23" spans="2:17" x14ac:dyDescent="0.3">
      <c r="B23" t="s">
        <v>131</v>
      </c>
      <c r="E23" s="108">
        <v>-1.6531949481725702E-2</v>
      </c>
      <c r="F23" s="108" t="e">
        <v>#N/A</v>
      </c>
      <c r="G23" s="108">
        <v>-6.3479232844710403</v>
      </c>
      <c r="H23" s="108">
        <v>-22.375311021089601</v>
      </c>
      <c r="I23" s="108">
        <v>-12.4450783908367</v>
      </c>
      <c r="J23" s="108">
        <v>-15.3415817924142</v>
      </c>
      <c r="L23" s="108">
        <v>-7.6532633502483396</v>
      </c>
      <c r="Q23" s="108"/>
    </row>
    <row r="24" spans="2:17" x14ac:dyDescent="0.3">
      <c r="E24" s="108"/>
      <c r="F24" s="108"/>
      <c r="G24" s="108"/>
      <c r="H24" s="108"/>
      <c r="I24" s="108"/>
      <c r="J24" s="108"/>
      <c r="L24" s="108"/>
      <c r="Q24" s="108"/>
    </row>
    <row r="25" spans="2:17" x14ac:dyDescent="0.3">
      <c r="B25" t="s">
        <v>183</v>
      </c>
      <c r="E25" s="108">
        <v>0</v>
      </c>
      <c r="F25" s="108" t="e">
        <v>#N/A</v>
      </c>
      <c r="G25" s="108">
        <v>-153.72371000000001</v>
      </c>
      <c r="H25" s="108">
        <v>196.38446999999999</v>
      </c>
      <c r="I25" s="108">
        <v>-94.515249999999995</v>
      </c>
      <c r="J25" s="108">
        <v>713.69016999999997</v>
      </c>
      <c r="L25" s="108">
        <v>-135.06697</v>
      </c>
      <c r="Q25" s="108"/>
    </row>
    <row r="26" spans="2:17" x14ac:dyDescent="0.3">
      <c r="E26" s="108"/>
      <c r="F26" s="108"/>
      <c r="G26" s="108"/>
      <c r="H26" s="108"/>
      <c r="I26" s="108"/>
      <c r="J26" s="108"/>
      <c r="L26" s="108"/>
      <c r="Q26" s="108"/>
    </row>
    <row r="27" spans="2:17" x14ac:dyDescent="0.3">
      <c r="B27" t="s">
        <v>730</v>
      </c>
      <c r="E27" s="108">
        <v>0</v>
      </c>
      <c r="F27" s="108" t="e">
        <v>#N/A</v>
      </c>
      <c r="G27" s="108">
        <v>360.79925464796997</v>
      </c>
      <c r="H27" s="108">
        <v>515.23589533531697</v>
      </c>
      <c r="I27" s="108">
        <v>652.46180017709696</v>
      </c>
      <c r="J27" s="108">
        <v>1059.5685327426199</v>
      </c>
      <c r="L27" s="108">
        <v>663.15627703785901</v>
      </c>
      <c r="Q27" s="108"/>
    </row>
    <row r="28" spans="2:17" x14ac:dyDescent="0.3">
      <c r="B28" t="s">
        <v>731</v>
      </c>
      <c r="E28" s="108">
        <v>0</v>
      </c>
      <c r="F28" s="108" t="e">
        <v>#N/A</v>
      </c>
      <c r="G28" s="108">
        <v>93.809010720252999</v>
      </c>
      <c r="H28" s="108">
        <v>128.567651517928</v>
      </c>
      <c r="I28" s="108">
        <v>95.0996808805466</v>
      </c>
      <c r="J28" s="108">
        <v>139.906385897398</v>
      </c>
      <c r="L28" s="108">
        <v>118.32942816436299</v>
      </c>
      <c r="Q28" s="108"/>
    </row>
    <row r="29" spans="2:17" x14ac:dyDescent="0.3">
      <c r="B29" t="s">
        <v>124</v>
      </c>
      <c r="E29" s="108">
        <v>5.0296269189119298E-3</v>
      </c>
      <c r="F29" s="108" t="e">
        <v>#N/A</v>
      </c>
      <c r="G29" s="108">
        <v>588.21822426032998</v>
      </c>
      <c r="H29" s="108">
        <v>904.102014021993</v>
      </c>
      <c r="I29" s="108">
        <v>1213.6364726332399</v>
      </c>
      <c r="J29" s="108">
        <v>1591.31577787828</v>
      </c>
      <c r="L29" s="108">
        <v>1184.7024683719901</v>
      </c>
      <c r="Q29" s="108"/>
    </row>
    <row r="30" spans="2:17" x14ac:dyDescent="0.3">
      <c r="B30" t="s">
        <v>144</v>
      </c>
      <c r="E30" s="108">
        <v>0.10359200714528601</v>
      </c>
      <c r="F30" s="108" t="e">
        <v>#N/A</v>
      </c>
      <c r="G30" s="108">
        <v>533.82022654223397</v>
      </c>
      <c r="H30" s="108">
        <v>968.55632384365799</v>
      </c>
      <c r="I30" s="108">
        <v>911.38030459904701</v>
      </c>
      <c r="J30" s="108">
        <v>1471.8493924073</v>
      </c>
      <c r="L30" s="108">
        <v>1122.29926557362</v>
      </c>
      <c r="Q30" s="108"/>
    </row>
    <row r="31" spans="2:17" x14ac:dyDescent="0.3">
      <c r="B31" t="s">
        <v>732</v>
      </c>
      <c r="E31" s="108">
        <v>1.4506967470049901E-2</v>
      </c>
      <c r="F31" s="108" t="e">
        <v>#N/A</v>
      </c>
      <c r="G31" s="108">
        <v>0</v>
      </c>
      <c r="H31" s="108">
        <v>12.8812279618978</v>
      </c>
      <c r="I31" s="108">
        <v>15.880112725615501</v>
      </c>
      <c r="J31" s="108">
        <v>26.9617026901245</v>
      </c>
      <c r="L31" s="108">
        <v>23.485112962722798</v>
      </c>
      <c r="Q31" s="108"/>
    </row>
    <row r="32" spans="2:17" x14ac:dyDescent="0.3">
      <c r="B32" t="s">
        <v>733</v>
      </c>
      <c r="E32" s="108">
        <v>5.0296269189119298E-3</v>
      </c>
      <c r="F32" s="108" t="e">
        <v>#N/A</v>
      </c>
      <c r="G32" s="108">
        <v>7.3332310447692901</v>
      </c>
      <c r="H32" s="108">
        <v>7.7449823498725895E-2</v>
      </c>
      <c r="I32" s="108">
        <v>176.724159183621</v>
      </c>
      <c r="J32" s="108">
        <v>188.35574861025799</v>
      </c>
      <c r="L32" s="108">
        <v>179.53997432649101</v>
      </c>
      <c r="Q32" s="108"/>
    </row>
    <row r="33" spans="2:24" x14ac:dyDescent="0.3">
      <c r="E33" s="108"/>
      <c r="F33" s="108"/>
      <c r="G33" s="108"/>
      <c r="H33" s="108"/>
      <c r="I33" s="108"/>
      <c r="J33" s="108"/>
      <c r="L33" s="108"/>
      <c r="Q33" s="108"/>
    </row>
    <row r="34" spans="2:24" x14ac:dyDescent="0.3">
      <c r="B34" t="s">
        <v>734</v>
      </c>
      <c r="E34" s="108">
        <v>101.19528800000001</v>
      </c>
      <c r="F34" s="108" t="e">
        <v>#N/A</v>
      </c>
      <c r="G34" s="108">
        <v>101.19528800000001</v>
      </c>
      <c r="H34" s="108">
        <v>101.19528800000001</v>
      </c>
      <c r="I34" s="108">
        <v>104.68937699999999</v>
      </c>
      <c r="J34" s="108">
        <v>112.635932</v>
      </c>
      <c r="L34" s="108">
        <v>110.252933</v>
      </c>
      <c r="Q34" s="108"/>
    </row>
    <row r="35" spans="2:24" x14ac:dyDescent="0.3">
      <c r="E35" s="108"/>
      <c r="F35" s="108"/>
      <c r="G35" s="108"/>
      <c r="H35" s="108"/>
      <c r="I35" s="108"/>
      <c r="J35" s="108"/>
      <c r="L35" s="108"/>
      <c r="Q35" s="108"/>
    </row>
    <row r="36" spans="2:24" x14ac:dyDescent="0.3">
      <c r="E36" s="108"/>
      <c r="F36" s="108"/>
      <c r="G36" s="108"/>
      <c r="H36" s="108"/>
      <c r="I36" s="108"/>
      <c r="J36" s="108"/>
      <c r="L36" s="108"/>
      <c r="Q36" s="108"/>
    </row>
    <row r="38" spans="2:24" ht="12.9" x14ac:dyDescent="0.35">
      <c r="B38" s="1" t="s">
        <v>735</v>
      </c>
    </row>
    <row r="41" spans="2:24" x14ac:dyDescent="0.3">
      <c r="X41" s="110"/>
    </row>
    <row r="42" spans="2:24" ht="12.65" customHeight="1" x14ac:dyDescent="0.3">
      <c r="N42" s="111"/>
    </row>
    <row r="43" spans="2:24" x14ac:dyDescent="0.3">
      <c r="C43" s="112"/>
    </row>
    <row r="50" spans="1:11" ht="17.600000000000001" x14ac:dyDescent="0.4">
      <c r="A50" t="s">
        <v>1</v>
      </c>
      <c r="B50" s="2" t="s">
        <v>163</v>
      </c>
      <c r="C50" s="2"/>
      <c r="D50" s="2"/>
      <c r="E50" s="2"/>
      <c r="F50" s="2"/>
      <c r="G50" s="2"/>
      <c r="H50" s="2"/>
      <c r="I50" s="2"/>
      <c r="J50" s="2"/>
      <c r="K50" s="2"/>
    </row>
    <row r="52" spans="1:11" x14ac:dyDescent="0.3">
      <c r="B52" s="31" t="s">
        <v>93</v>
      </c>
      <c r="C52" s="31"/>
      <c r="D52" s="31"/>
      <c r="E52" s="213">
        <v>2019</v>
      </c>
      <c r="F52" s="213">
        <v>2020</v>
      </c>
      <c r="G52" s="213">
        <v>2021</v>
      </c>
      <c r="H52" s="213">
        <v>2022</v>
      </c>
      <c r="I52" s="213">
        <v>2023</v>
      </c>
      <c r="J52" s="213" t="s">
        <v>187</v>
      </c>
      <c r="K52" s="213" t="s">
        <v>188</v>
      </c>
    </row>
    <row r="54" spans="1:11" x14ac:dyDescent="0.3">
      <c r="B54" s="32" t="s">
        <v>164</v>
      </c>
      <c r="C54" s="32"/>
      <c r="D54" s="32"/>
      <c r="E54" s="32"/>
      <c r="F54" s="32"/>
      <c r="G54" s="32"/>
      <c r="H54" s="32"/>
      <c r="I54" s="32"/>
      <c r="J54" s="32"/>
      <c r="K54" s="32"/>
    </row>
    <row r="55" spans="1:11" x14ac:dyDescent="0.3">
      <c r="B55" s="37" t="s">
        <v>165</v>
      </c>
      <c r="E55" s="114" t="str">
        <f t="shared" ref="E55:J55" si="0">IFERROR((E16-E17)/E16,"-")</f>
        <v>-</v>
      </c>
      <c r="F55" s="114" t="str">
        <f t="shared" si="0"/>
        <v>-</v>
      </c>
      <c r="G55" s="114">
        <f t="shared" si="0"/>
        <v>0.16795042068928284</v>
      </c>
      <c r="H55" s="114">
        <f t="shared" si="0"/>
        <v>0.16122053784080534</v>
      </c>
      <c r="I55" s="114">
        <f t="shared" si="0"/>
        <v>0.13738333802152985</v>
      </c>
      <c r="J55" s="114">
        <f t="shared" si="0"/>
        <v>0.17480090541638729</v>
      </c>
      <c r="K55" s="114">
        <f>IFERROR((L16-L17)/L16,"-")</f>
        <v>0.17898562192748207</v>
      </c>
    </row>
    <row r="56" spans="1:11" x14ac:dyDescent="0.3">
      <c r="B56" s="37" t="s">
        <v>121</v>
      </c>
      <c r="E56" s="114" t="str">
        <f t="shared" ref="E56:J56" si="1">IFERROR(E18/E16,"-")</f>
        <v>-</v>
      </c>
      <c r="F56" s="114" t="str">
        <f t="shared" si="1"/>
        <v>-</v>
      </c>
      <c r="G56" s="114">
        <f t="shared" si="1"/>
        <v>-0.22650139687400425</v>
      </c>
      <c r="H56" s="114">
        <f t="shared" si="1"/>
        <v>-0.16044816304615325</v>
      </c>
      <c r="I56" s="114">
        <f t="shared" si="1"/>
        <v>-3.326848428941321E-2</v>
      </c>
      <c r="J56" s="114">
        <f t="shared" si="1"/>
        <v>-1.6644548301622285E-2</v>
      </c>
      <c r="K56" s="114">
        <f>IFERROR(L18/L16,"-")</f>
        <v>-1.7771358018472834E-3</v>
      </c>
    </row>
    <row r="57" spans="1:11" x14ac:dyDescent="0.3">
      <c r="B57" s="37" t="s">
        <v>166</v>
      </c>
      <c r="E57" s="114" t="str">
        <f t="shared" ref="E57:J57" si="2">IFERROR(E20/E16,"-")</f>
        <v>-</v>
      </c>
      <c r="F57" s="114" t="str">
        <f t="shared" si="2"/>
        <v>-</v>
      </c>
      <c r="G57" s="114">
        <f t="shared" si="2"/>
        <v>-0.23659558354288288</v>
      </c>
      <c r="H57" s="114">
        <f t="shared" si="2"/>
        <v>-0.16849903234345379</v>
      </c>
      <c r="I57" s="114">
        <f t="shared" si="2"/>
        <v>-4.6399158862481464E-2</v>
      </c>
      <c r="J57" s="114">
        <f t="shared" si="2"/>
        <v>-3.628430380743751E-2</v>
      </c>
      <c r="K57" s="114">
        <f>IFERROR(L20/L16,"-")</f>
        <v>-2.0168845366387776E-2</v>
      </c>
    </row>
    <row r="58" spans="1:11" x14ac:dyDescent="0.3">
      <c r="B58" s="37" t="s">
        <v>167</v>
      </c>
      <c r="E58" s="115" t="str">
        <f t="shared" ref="E58:J58" si="3">IFERROR(E23/E16,"-")</f>
        <v>-</v>
      </c>
      <c r="F58" s="115" t="str">
        <f t="shared" si="3"/>
        <v>-</v>
      </c>
      <c r="G58" s="115">
        <f t="shared" si="3"/>
        <v>-1.156726983442103E-2</v>
      </c>
      <c r="H58" s="115">
        <f t="shared" si="3"/>
        <v>-2.0278853351754726E-2</v>
      </c>
      <c r="I58" s="115">
        <f t="shared" si="3"/>
        <v>-7.5439874867113304E-3</v>
      </c>
      <c r="J58" s="115">
        <f t="shared" si="3"/>
        <v>-7.5378673581014332E-3</v>
      </c>
      <c r="K58" s="115">
        <f>IFERROR(L23/L16,"-")</f>
        <v>-3.7732974248072585E-3</v>
      </c>
    </row>
    <row r="59" spans="1:11" x14ac:dyDescent="0.3">
      <c r="E59" s="116"/>
      <c r="F59" s="116"/>
      <c r="G59" s="116"/>
      <c r="H59" s="116"/>
      <c r="I59" s="116"/>
      <c r="J59" s="116"/>
      <c r="K59" s="116"/>
    </row>
    <row r="60" spans="1:11" x14ac:dyDescent="0.3">
      <c r="B60" s="32" t="s">
        <v>168</v>
      </c>
      <c r="C60" s="32"/>
      <c r="D60" s="32"/>
      <c r="E60" s="117"/>
      <c r="F60" s="117"/>
      <c r="G60" s="117"/>
      <c r="H60" s="117"/>
      <c r="I60" s="117"/>
      <c r="J60" s="117"/>
      <c r="K60" s="117"/>
    </row>
    <row r="61" spans="1:11" x14ac:dyDescent="0.3">
      <c r="B61" s="37" t="s">
        <v>169</v>
      </c>
      <c r="E61" s="114">
        <f t="shared" ref="E61:J61" si="4">IFERROR(E29/E30,"-")</f>
        <v>4.8552268244575709E-2</v>
      </c>
      <c r="F61" s="114" t="str">
        <f t="shared" si="4"/>
        <v>-</v>
      </c>
      <c r="G61" s="114">
        <f t="shared" si="4"/>
        <v>1.1019032157519648</v>
      </c>
      <c r="H61" s="114">
        <f t="shared" si="4"/>
        <v>0.93345321460926312</v>
      </c>
      <c r="I61" s="114">
        <f t="shared" si="4"/>
        <v>1.331646587608855</v>
      </c>
      <c r="J61" s="114">
        <f t="shared" si="4"/>
        <v>1.0811675339115949</v>
      </c>
      <c r="K61" s="114">
        <f>IFERROR(L29/L30,"-")</f>
        <v>1.0556029970905088</v>
      </c>
    </row>
    <row r="62" spans="1:11" x14ac:dyDescent="0.3">
      <c r="B62" s="37" t="s">
        <v>170</v>
      </c>
      <c r="E62" s="114">
        <f t="shared" ref="E62:J62" si="5">IFERROR((E29-E28)/E30,"-")</f>
        <v>4.8552268244575709E-2</v>
      </c>
      <c r="F62" s="114" t="str">
        <f t="shared" si="5"/>
        <v>-</v>
      </c>
      <c r="G62" s="114">
        <f t="shared" si="5"/>
        <v>0.92617175025862575</v>
      </c>
      <c r="H62" s="114">
        <f t="shared" si="5"/>
        <v>0.80071168130563974</v>
      </c>
      <c r="I62" s="114">
        <f t="shared" si="5"/>
        <v>1.2272997190177186</v>
      </c>
      <c r="J62" s="114">
        <f t="shared" si="5"/>
        <v>0.98611270926776884</v>
      </c>
      <c r="K62" s="114">
        <f>IFERROR((L29-L28)/L30,"-")</f>
        <v>0.95016817075309379</v>
      </c>
    </row>
    <row r="63" spans="1:11" x14ac:dyDescent="0.3">
      <c r="B63" s="37" t="s">
        <v>171</v>
      </c>
      <c r="E63" s="114">
        <f t="shared" ref="E63:J63" si="6">IFERROR(E27/E30,"-")</f>
        <v>0</v>
      </c>
      <c r="F63" s="114" t="str">
        <f t="shared" si="6"/>
        <v>-</v>
      </c>
      <c r="G63" s="114">
        <f t="shared" si="6"/>
        <v>0.67588157343720434</v>
      </c>
      <c r="H63" s="114">
        <f t="shared" si="6"/>
        <v>0.53196276009084742</v>
      </c>
      <c r="I63" s="114">
        <f t="shared" si="6"/>
        <v>0.71590509130449254</v>
      </c>
      <c r="J63" s="114">
        <f t="shared" si="6"/>
        <v>0.71988923473320232</v>
      </c>
      <c r="K63" s="114">
        <f>IFERROR(L27/L30,"-")</f>
        <v>0.59089076985086708</v>
      </c>
    </row>
    <row r="64" spans="1:11" x14ac:dyDescent="0.3">
      <c r="E64" s="116"/>
      <c r="F64" s="116"/>
      <c r="G64" s="116"/>
      <c r="H64" s="116"/>
      <c r="I64" s="116"/>
      <c r="J64" s="116"/>
      <c r="K64" s="116"/>
    </row>
    <row r="65" spans="2:11" x14ac:dyDescent="0.3">
      <c r="B65" s="32" t="s">
        <v>172</v>
      </c>
      <c r="C65" s="32"/>
      <c r="D65" s="32"/>
      <c r="E65" s="117"/>
      <c r="F65" s="117"/>
      <c r="G65" s="117"/>
      <c r="H65" s="117"/>
      <c r="I65" s="117"/>
      <c r="J65" s="117"/>
      <c r="K65" s="117"/>
    </row>
    <row r="66" spans="2:11" x14ac:dyDescent="0.3">
      <c r="B66" s="37" t="s">
        <v>173</v>
      </c>
      <c r="E66" s="118">
        <f t="shared" ref="E66:J66" si="7">IFERROR(E31/E32,"-")</f>
        <v>2.8843028924277001</v>
      </c>
      <c r="F66" s="118" t="str">
        <f t="shared" si="7"/>
        <v>-</v>
      </c>
      <c r="G66" s="118">
        <f t="shared" si="7"/>
        <v>0</v>
      </c>
      <c r="H66" s="118">
        <f t="shared" si="7"/>
        <v>166.31707317073105</v>
      </c>
      <c r="I66" s="118">
        <f t="shared" si="7"/>
        <v>8.9858188031414821E-2</v>
      </c>
      <c r="J66" s="118">
        <f t="shared" si="7"/>
        <v>0.14314244661527759</v>
      </c>
      <c r="K66" s="118">
        <f>IFERROR(L31/L32,"-")</f>
        <v>0.13080715339757953</v>
      </c>
    </row>
    <row r="67" spans="2:11" x14ac:dyDescent="0.3">
      <c r="B67" s="37" t="s">
        <v>174</v>
      </c>
      <c r="E67" s="119">
        <f t="shared" ref="E67:J67" si="8">IFERROR(E31-E27,"-")</f>
        <v>1.4506967470049901E-2</v>
      </c>
      <c r="F67" s="119" t="str">
        <f t="shared" si="8"/>
        <v>-</v>
      </c>
      <c r="G67" s="119">
        <f t="shared" si="8"/>
        <v>-360.79925464796997</v>
      </c>
      <c r="H67" s="119">
        <f t="shared" si="8"/>
        <v>-502.35466737341915</v>
      </c>
      <c r="I67" s="119">
        <f t="shared" si="8"/>
        <v>-636.58168745148146</v>
      </c>
      <c r="J67" s="119">
        <f t="shared" si="8"/>
        <v>-1032.6068300524955</v>
      </c>
      <c r="K67" s="119">
        <f>IFERROR(L31-L27,"-")</f>
        <v>-639.67116407513618</v>
      </c>
    </row>
    <row r="68" spans="2:11" x14ac:dyDescent="0.3">
      <c r="B68" s="37" t="s">
        <v>175</v>
      </c>
      <c r="E68" s="118">
        <f t="shared" ref="E68:J68" si="9">IFERROR(E67/E18,"-")</f>
        <v>-0.87761448699636424</v>
      </c>
      <c r="F68" s="118" t="str">
        <f t="shared" si="9"/>
        <v>-</v>
      </c>
      <c r="G68" s="118">
        <f t="shared" si="9"/>
        <v>2.9026451345514759</v>
      </c>
      <c r="H68" s="118">
        <f t="shared" si="9"/>
        <v>2.8375923599823105</v>
      </c>
      <c r="I68" s="118">
        <f t="shared" si="9"/>
        <v>11.599104176681001</v>
      </c>
      <c r="J68" s="118">
        <f t="shared" si="9"/>
        <v>30.481850638517503</v>
      </c>
      <c r="K68" s="118">
        <f>IFERROR(K67/L18,"-")</f>
        <v>177.4641113702379</v>
      </c>
    </row>
    <row r="69" spans="2:11" x14ac:dyDescent="0.3">
      <c r="E69" s="116"/>
      <c r="F69" s="116"/>
      <c r="G69" s="116"/>
      <c r="H69" s="116"/>
      <c r="I69" s="116"/>
      <c r="J69" s="116"/>
      <c r="K69" s="116"/>
    </row>
    <row r="70" spans="2:11" x14ac:dyDescent="0.3">
      <c r="B70" s="32" t="s">
        <v>178</v>
      </c>
      <c r="C70" s="32"/>
      <c r="D70" s="32"/>
      <c r="E70" s="117"/>
      <c r="F70" s="117"/>
      <c r="G70" s="117"/>
      <c r="H70" s="117"/>
      <c r="I70" s="117"/>
      <c r="J70" s="117"/>
      <c r="K70" s="117"/>
    </row>
    <row r="71" spans="2:11" x14ac:dyDescent="0.3">
      <c r="B71" s="37" t="s">
        <v>179</v>
      </c>
      <c r="E71" s="118" t="str">
        <f t="shared" ref="E71:J71" si="10">IFERROR(E20/E21,"-")</f>
        <v>-</v>
      </c>
      <c r="F71" s="118" t="str">
        <f t="shared" si="10"/>
        <v>-</v>
      </c>
      <c r="G71" s="118" t="str">
        <f t="shared" si="10"/>
        <v>-</v>
      </c>
      <c r="H71" s="118" t="str">
        <f t="shared" si="10"/>
        <v>-</v>
      </c>
      <c r="I71" s="118" t="str">
        <f t="shared" si="10"/>
        <v>-</v>
      </c>
      <c r="J71" s="118" t="str">
        <f t="shared" si="10"/>
        <v>-</v>
      </c>
      <c r="K71" s="118" t="str">
        <f>IFERROR(L20/L21,"-")</f>
        <v>-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C340C-9753-41BF-B06F-BBEF4C416855}">
  <dimension ref="A2:X71"/>
  <sheetViews>
    <sheetView showGridLines="0" topLeftCell="A40" zoomScale="115" zoomScaleNormal="115" workbookViewId="0">
      <selection activeCell="A72" sqref="A72:XFD79"/>
    </sheetView>
  </sheetViews>
  <sheetFormatPr defaultRowHeight="12.45" x14ac:dyDescent="0.3"/>
  <cols>
    <col min="1" max="1" width="2.69140625" customWidth="1"/>
    <col min="2" max="2" width="18.53515625" customWidth="1"/>
    <col min="3" max="3" width="19.3828125" bestFit="1" customWidth="1"/>
    <col min="4" max="4" width="6.69140625" customWidth="1"/>
    <col min="5" max="18" width="10.53515625" customWidth="1"/>
  </cols>
  <sheetData>
    <row r="2" spans="1:23" x14ac:dyDescent="0.3">
      <c r="A2" t="s">
        <v>1</v>
      </c>
      <c r="B2" s="97" t="s">
        <v>694</v>
      </c>
      <c r="C2" s="97"/>
      <c r="D2" s="97"/>
      <c r="E2" s="97"/>
      <c r="F2" s="97"/>
      <c r="G2" s="97"/>
      <c r="H2" s="97"/>
      <c r="I2" s="97"/>
      <c r="K2" s="98"/>
      <c r="L2" s="98"/>
      <c r="M2" s="98"/>
      <c r="N2" s="98"/>
      <c r="O2" s="98"/>
      <c r="P2" s="98"/>
      <c r="Q2" s="98"/>
      <c r="R2" s="98"/>
      <c r="S2" s="98"/>
      <c r="T2" s="98"/>
    </row>
    <row r="4" spans="1:23" x14ac:dyDescent="0.3">
      <c r="B4" s="99" t="s">
        <v>695</v>
      </c>
      <c r="C4" s="99"/>
      <c r="E4" s="99" t="s">
        <v>696</v>
      </c>
      <c r="F4" s="99"/>
      <c r="G4" s="99"/>
      <c r="H4" s="99"/>
      <c r="I4" s="99"/>
    </row>
    <row r="5" spans="1:23" x14ac:dyDescent="0.3">
      <c r="B5" t="s">
        <v>697</v>
      </c>
      <c r="C5" s="100" t="s">
        <v>195</v>
      </c>
      <c r="E5" t="s">
        <v>699</v>
      </c>
      <c r="F5" s="101" t="s">
        <v>187</v>
      </c>
      <c r="H5" t="s">
        <v>700</v>
      </c>
      <c r="I5" s="102">
        <v>3</v>
      </c>
    </row>
    <row r="6" spans="1:23" x14ac:dyDescent="0.3">
      <c r="B6" t="s">
        <v>701</v>
      </c>
      <c r="C6" s="100" t="s">
        <v>723</v>
      </c>
      <c r="E6" t="s">
        <v>703</v>
      </c>
      <c r="F6" s="102" t="s">
        <v>704</v>
      </c>
      <c r="H6" t="s">
        <v>703</v>
      </c>
      <c r="I6" s="102" t="s">
        <v>705</v>
      </c>
      <c r="V6" t="s">
        <v>702</v>
      </c>
      <c r="W6" t="s">
        <v>189</v>
      </c>
    </row>
    <row r="7" spans="1:23" x14ac:dyDescent="0.3">
      <c r="B7" t="s">
        <v>706</v>
      </c>
      <c r="C7" s="100">
        <v>-5</v>
      </c>
      <c r="V7" t="s">
        <v>707</v>
      </c>
      <c r="W7" t="s">
        <v>190</v>
      </c>
    </row>
    <row r="8" spans="1:23" x14ac:dyDescent="0.3">
      <c r="B8" t="s">
        <v>708</v>
      </c>
      <c r="C8" s="100">
        <v>0</v>
      </c>
      <c r="E8" t="s">
        <v>709</v>
      </c>
      <c r="F8" s="103">
        <v>2.0595531</v>
      </c>
      <c r="V8" s="113" t="s">
        <v>710</v>
      </c>
      <c r="W8" s="113" t="s">
        <v>196</v>
      </c>
    </row>
    <row r="9" spans="1:23" x14ac:dyDescent="0.3">
      <c r="B9" t="s">
        <v>711</v>
      </c>
      <c r="C9" s="100" t="s">
        <v>712</v>
      </c>
      <c r="V9" t="s">
        <v>713</v>
      </c>
      <c r="W9" t="s">
        <v>714</v>
      </c>
    </row>
    <row r="10" spans="1:23" x14ac:dyDescent="0.3">
      <c r="B10" t="s">
        <v>715</v>
      </c>
      <c r="C10" s="100" t="s">
        <v>237</v>
      </c>
      <c r="V10" t="s">
        <v>716</v>
      </c>
      <c r="W10" t="s">
        <v>192</v>
      </c>
    </row>
    <row r="11" spans="1:23" x14ac:dyDescent="0.3">
      <c r="B11" t="s">
        <v>718</v>
      </c>
      <c r="C11" s="104">
        <v>45992</v>
      </c>
      <c r="V11" t="s">
        <v>719</v>
      </c>
      <c r="W11" t="s">
        <v>193</v>
      </c>
    </row>
    <row r="12" spans="1:23" x14ac:dyDescent="0.3">
      <c r="V12" t="s">
        <v>721</v>
      </c>
      <c r="W12" t="s">
        <v>194</v>
      </c>
    </row>
    <row r="13" spans="1:23" x14ac:dyDescent="0.3">
      <c r="A13" t="s">
        <v>1</v>
      </c>
      <c r="B13" s="97" t="s">
        <v>722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V13" t="s">
        <v>723</v>
      </c>
      <c r="W13" t="s">
        <v>195</v>
      </c>
    </row>
    <row r="14" spans="1:23" ht="12.9" x14ac:dyDescent="0.35">
      <c r="B14" s="1" t="s">
        <v>724</v>
      </c>
      <c r="V14" t="s">
        <v>725</v>
      </c>
      <c r="W14" t="s">
        <v>197</v>
      </c>
    </row>
    <row r="15" spans="1:23" x14ac:dyDescent="0.3">
      <c r="B15" s="105"/>
      <c r="C15" s="105"/>
      <c r="D15" s="105"/>
      <c r="E15" s="106">
        <v>2019</v>
      </c>
      <c r="F15" s="106">
        <v>2020</v>
      </c>
      <c r="G15" s="106">
        <v>2021</v>
      </c>
      <c r="H15" s="106">
        <v>2022</v>
      </c>
      <c r="I15" s="106">
        <v>2023</v>
      </c>
      <c r="J15" s="106" t="s">
        <v>187</v>
      </c>
      <c r="L15" s="107" t="s">
        <v>188</v>
      </c>
    </row>
    <row r="16" spans="1:23" x14ac:dyDescent="0.3">
      <c r="B16" t="s">
        <v>57</v>
      </c>
      <c r="E16" s="108">
        <v>59.345222962857697</v>
      </c>
      <c r="F16" s="109">
        <v>111.18796272358701</v>
      </c>
      <c r="G16" s="109">
        <v>167.282394157807</v>
      </c>
      <c r="H16" s="109">
        <v>235.22265998087099</v>
      </c>
      <c r="I16" s="109">
        <v>148.741184721716</v>
      </c>
      <c r="J16" s="109">
        <v>178.43743232713501</v>
      </c>
      <c r="L16" s="108">
        <v>185.60321364511401</v>
      </c>
      <c r="Q16" s="108"/>
    </row>
    <row r="17" spans="2:17" x14ac:dyDescent="0.3">
      <c r="B17" t="s">
        <v>727</v>
      </c>
      <c r="E17" s="108">
        <v>45.190148650759802</v>
      </c>
      <c r="F17" s="108">
        <v>85.383590567746595</v>
      </c>
      <c r="G17" s="108">
        <v>132.23899476295199</v>
      </c>
      <c r="H17" s="108">
        <v>188.26476707311801</v>
      </c>
      <c r="I17" s="108">
        <v>134.60065864181601</v>
      </c>
      <c r="J17" s="108">
        <v>156.404880518857</v>
      </c>
      <c r="L17" s="108">
        <v>158.09209305468801</v>
      </c>
      <c r="Q17" s="108"/>
    </row>
    <row r="18" spans="2:17" x14ac:dyDescent="0.3">
      <c r="B18" t="s">
        <v>64</v>
      </c>
      <c r="E18" s="108">
        <v>1.43174</v>
      </c>
      <c r="F18" s="108">
        <v>9.2228200000000005</v>
      </c>
      <c r="G18" s="108">
        <v>11.079359999999999</v>
      </c>
      <c r="H18" s="108">
        <v>13.641080000000001</v>
      </c>
      <c r="I18" s="108">
        <v>-13.519310000000001</v>
      </c>
      <c r="J18" s="108">
        <v>-12.647489999999999</v>
      </c>
      <c r="L18" s="108" t="e">
        <v>#N/A</v>
      </c>
      <c r="Q18" s="108"/>
    </row>
    <row r="19" spans="2:17" x14ac:dyDescent="0.3">
      <c r="B19" t="s">
        <v>728</v>
      </c>
      <c r="E19" s="108">
        <v>0.21749850987642999</v>
      </c>
      <c r="F19" s="108">
        <v>0.17313621881604199</v>
      </c>
      <c r="G19" s="108">
        <v>0.508328806608915</v>
      </c>
      <c r="H19" s="108">
        <v>1.036861894366</v>
      </c>
      <c r="I19" s="108">
        <v>1.1545870092405901</v>
      </c>
      <c r="J19" s="108">
        <v>1.21666794175659</v>
      </c>
      <c r="L19" s="108" t="e">
        <v>#N/A</v>
      </c>
      <c r="Q19" s="108"/>
    </row>
    <row r="20" spans="2:17" x14ac:dyDescent="0.3">
      <c r="B20" t="s">
        <v>67</v>
      </c>
      <c r="E20" s="108">
        <v>1.21424</v>
      </c>
      <c r="F20" s="108">
        <v>9.0496800000000004</v>
      </c>
      <c r="G20" s="108">
        <v>10.57103</v>
      </c>
      <c r="H20" s="108">
        <v>12.60422</v>
      </c>
      <c r="I20" s="108">
        <v>-14.6739</v>
      </c>
      <c r="J20" s="108">
        <v>-13.86416</v>
      </c>
      <c r="L20" s="108">
        <v>-13.93957</v>
      </c>
      <c r="Q20" s="108"/>
    </row>
    <row r="21" spans="2:17" x14ac:dyDescent="0.3">
      <c r="B21" t="s">
        <v>729</v>
      </c>
      <c r="E21" s="108">
        <v>0.44228009978197402</v>
      </c>
      <c r="F21" s="108">
        <v>0.58079792255265705</v>
      </c>
      <c r="G21" s="108">
        <v>0.72109416810331495</v>
      </c>
      <c r="H21" s="108">
        <v>0.59569792971338997</v>
      </c>
      <c r="I21" s="108">
        <v>0.60046450947577901</v>
      </c>
      <c r="J21" s="108">
        <v>0.86847476597682505</v>
      </c>
      <c r="L21" s="108">
        <v>0.83096910074205099</v>
      </c>
      <c r="Q21" s="108"/>
    </row>
    <row r="22" spans="2:17" x14ac:dyDescent="0.3">
      <c r="B22" t="s">
        <v>70</v>
      </c>
      <c r="E22" s="108">
        <v>-0.68850957836907301</v>
      </c>
      <c r="F22" s="108">
        <v>1.02716245572007</v>
      </c>
      <c r="G22" s="108">
        <v>1.08013104793684</v>
      </c>
      <c r="H22" s="108">
        <v>1.29950388273087</v>
      </c>
      <c r="I22" s="108">
        <v>-3.1942210246400902</v>
      </c>
      <c r="J22" s="108">
        <v>-3.2478752164397502</v>
      </c>
      <c r="L22" s="108">
        <v>-3.4575681331485701</v>
      </c>
      <c r="Q22" s="108"/>
    </row>
    <row r="23" spans="2:17" x14ac:dyDescent="0.3">
      <c r="B23" t="s">
        <v>131</v>
      </c>
      <c r="E23" s="108">
        <v>1.64579100143788</v>
      </c>
      <c r="F23" s="108">
        <v>7.8115586979257001</v>
      </c>
      <c r="G23" s="108">
        <v>11.346293295483299</v>
      </c>
      <c r="H23" s="108">
        <v>12.581229304953199</v>
      </c>
      <c r="I23" s="108">
        <v>-10.173868127716</v>
      </c>
      <c r="J23" s="108">
        <v>-7.53100475279349</v>
      </c>
      <c r="L23" s="108">
        <v>-7.75488340403985</v>
      </c>
      <c r="Q23" s="108"/>
    </row>
    <row r="24" spans="2:17" x14ac:dyDescent="0.3">
      <c r="E24" s="108"/>
      <c r="F24" s="108"/>
      <c r="G24" s="108"/>
      <c r="H24" s="108"/>
      <c r="I24" s="108"/>
      <c r="J24" s="108"/>
      <c r="L24" s="108"/>
      <c r="Q24" s="108"/>
    </row>
    <row r="25" spans="2:17" x14ac:dyDescent="0.3">
      <c r="B25" t="s">
        <v>183</v>
      </c>
      <c r="E25" s="108">
        <v>-3.0469300000000001</v>
      </c>
      <c r="F25" s="108">
        <v>19.892669999999999</v>
      </c>
      <c r="G25" s="108">
        <v>13.383850000000001</v>
      </c>
      <c r="H25" s="108">
        <v>-34.419780000000003</v>
      </c>
      <c r="I25" s="108">
        <v>7.78552</v>
      </c>
      <c r="J25" s="108">
        <v>-30.297540000000001</v>
      </c>
      <c r="L25" s="108">
        <v>6.29054</v>
      </c>
      <c r="Q25" s="108"/>
    </row>
    <row r="26" spans="2:17" x14ac:dyDescent="0.3">
      <c r="E26" s="108"/>
      <c r="F26" s="108"/>
      <c r="G26" s="108"/>
      <c r="H26" s="108"/>
      <c r="I26" s="108"/>
      <c r="J26" s="108"/>
      <c r="L26" s="108"/>
      <c r="Q26" s="108"/>
    </row>
    <row r="27" spans="2:17" x14ac:dyDescent="0.3">
      <c r="B27" t="s">
        <v>730</v>
      </c>
      <c r="E27" s="108">
        <v>7.4267622355519904</v>
      </c>
      <c r="F27" s="108">
        <v>39.493851469947302</v>
      </c>
      <c r="G27" s="108">
        <v>73.5494465286843</v>
      </c>
      <c r="H27" s="108">
        <v>152.18001026639001</v>
      </c>
      <c r="I27" s="108">
        <v>137.18613634076101</v>
      </c>
      <c r="J27" s="108">
        <v>113.19154168521401</v>
      </c>
      <c r="L27" s="108">
        <v>77.793005342399297</v>
      </c>
      <c r="Q27" s="108"/>
    </row>
    <row r="28" spans="2:17" x14ac:dyDescent="0.3">
      <c r="B28" t="s">
        <v>731</v>
      </c>
      <c r="E28" s="108">
        <v>16.100771377959699</v>
      </c>
      <c r="F28" s="108">
        <v>43.8549759804826</v>
      </c>
      <c r="G28" s="108">
        <v>85.008619019417793</v>
      </c>
      <c r="H28" s="108">
        <v>66.677346853585505</v>
      </c>
      <c r="I28" s="108">
        <v>86.417162299348703</v>
      </c>
      <c r="J28" s="108">
        <v>98.369189654530601</v>
      </c>
      <c r="L28" s="108">
        <v>194.49363468562299</v>
      </c>
      <c r="Q28" s="108"/>
    </row>
    <row r="29" spans="2:17" x14ac:dyDescent="0.3">
      <c r="B29" t="s">
        <v>124</v>
      </c>
      <c r="E29" s="108">
        <v>52.812627772346502</v>
      </c>
      <c r="F29" s="108">
        <v>131.23958839839699</v>
      </c>
      <c r="G29" s="108">
        <v>220.14456446644601</v>
      </c>
      <c r="H29" s="108">
        <v>314.206306751505</v>
      </c>
      <c r="I29" s="108">
        <v>289.73053565336602</v>
      </c>
      <c r="J29" s="108">
        <v>310.07030240172003</v>
      </c>
      <c r="L29" s="108">
        <v>384.891742960942</v>
      </c>
      <c r="Q29" s="108"/>
    </row>
    <row r="30" spans="2:17" x14ac:dyDescent="0.3">
      <c r="B30" t="s">
        <v>144</v>
      </c>
      <c r="E30" s="108">
        <v>49.1410121632317</v>
      </c>
      <c r="F30" s="108">
        <v>107.52427668937101</v>
      </c>
      <c r="G30" s="108">
        <v>183.330543933473</v>
      </c>
      <c r="H30" s="108">
        <v>159.335901728061</v>
      </c>
      <c r="I30" s="108">
        <v>180.03833075092001</v>
      </c>
      <c r="J30" s="108">
        <v>239.71559670987699</v>
      </c>
      <c r="L30" s="108">
        <v>338.29628118270699</v>
      </c>
      <c r="Q30" s="108"/>
    </row>
    <row r="31" spans="2:17" x14ac:dyDescent="0.3">
      <c r="B31" t="s">
        <v>732</v>
      </c>
      <c r="E31" s="108">
        <v>8.11470373276034</v>
      </c>
      <c r="F31" s="108">
        <v>20.643478257791301</v>
      </c>
      <c r="G31" s="108">
        <v>48.651499569663898</v>
      </c>
      <c r="H31" s="108">
        <v>41.923253023660401</v>
      </c>
      <c r="I31" s="108">
        <v>46.978136047224602</v>
      </c>
      <c r="J31" s="108">
        <v>66.925541300333194</v>
      </c>
      <c r="L31" s="108">
        <v>100.19959580984499</v>
      </c>
      <c r="Q31" s="108"/>
    </row>
    <row r="32" spans="2:17" x14ac:dyDescent="0.3">
      <c r="B32" t="s">
        <v>733</v>
      </c>
      <c r="E32" s="108">
        <v>9.4586858809536594</v>
      </c>
      <c r="F32" s="108">
        <v>30.2842160756691</v>
      </c>
      <c r="G32" s="108">
        <v>46.823827701569797</v>
      </c>
      <c r="H32" s="108">
        <v>179.00089452177301</v>
      </c>
      <c r="I32" s="108">
        <v>155.53364519150301</v>
      </c>
      <c r="J32" s="108">
        <v>137.90573321419399</v>
      </c>
      <c r="L32" s="108">
        <v>103.679201430554</v>
      </c>
      <c r="Q32" s="108"/>
    </row>
    <row r="33" spans="2:24" x14ac:dyDescent="0.3">
      <c r="E33" s="108"/>
      <c r="F33" s="108"/>
      <c r="G33" s="108"/>
      <c r="H33" s="108"/>
      <c r="I33" s="108"/>
      <c r="J33" s="108"/>
      <c r="L33" s="108"/>
      <c r="Q33" s="108"/>
    </row>
    <row r="34" spans="2:24" x14ac:dyDescent="0.3">
      <c r="B34" t="s">
        <v>734</v>
      </c>
      <c r="E34" s="108">
        <v>180.84916699999999</v>
      </c>
      <c r="F34" s="108">
        <v>180.84916699999999</v>
      </c>
      <c r="G34" s="108">
        <v>180.84916699999999</v>
      </c>
      <c r="H34" s="108">
        <v>180.84916699999999</v>
      </c>
      <c r="I34" s="108">
        <v>180.84916699999999</v>
      </c>
      <c r="J34" s="108">
        <v>167.345236</v>
      </c>
      <c r="L34" s="108">
        <v>156.70540800000001</v>
      </c>
      <c r="Q34" s="108"/>
    </row>
    <row r="35" spans="2:24" x14ac:dyDescent="0.3">
      <c r="E35" s="108"/>
      <c r="F35" s="108"/>
      <c r="G35" s="108"/>
      <c r="H35" s="108"/>
      <c r="I35" s="108"/>
      <c r="J35" s="108"/>
      <c r="L35" s="108"/>
      <c r="Q35" s="108"/>
    </row>
    <row r="36" spans="2:24" x14ac:dyDescent="0.3">
      <c r="E36" s="108"/>
      <c r="F36" s="108"/>
      <c r="G36" s="108"/>
      <c r="H36" s="108"/>
      <c r="I36" s="108"/>
      <c r="J36" s="108"/>
      <c r="L36" s="108"/>
      <c r="Q36" s="108"/>
    </row>
    <row r="38" spans="2:24" ht="12.9" x14ac:dyDescent="0.35">
      <c r="B38" s="1" t="s">
        <v>735</v>
      </c>
    </row>
    <row r="41" spans="2:24" x14ac:dyDescent="0.3">
      <c r="X41" s="110"/>
    </row>
    <row r="42" spans="2:24" ht="12.65" customHeight="1" x14ac:dyDescent="0.3">
      <c r="N42" s="111"/>
    </row>
    <row r="43" spans="2:24" x14ac:dyDescent="0.3">
      <c r="C43" s="112"/>
    </row>
    <row r="50" spans="1:11" ht="17.600000000000001" x14ac:dyDescent="0.4">
      <c r="A50" t="s">
        <v>1</v>
      </c>
      <c r="B50" s="2" t="s">
        <v>163</v>
      </c>
      <c r="C50" s="2"/>
      <c r="D50" s="2"/>
      <c r="E50" s="2"/>
      <c r="F50" s="2"/>
      <c r="G50" s="2"/>
      <c r="H50" s="2"/>
      <c r="I50" s="2"/>
      <c r="J50" s="2"/>
      <c r="K50" s="2"/>
    </row>
    <row r="52" spans="1:11" x14ac:dyDescent="0.3">
      <c r="B52" s="31" t="s">
        <v>93</v>
      </c>
      <c r="C52" s="31"/>
      <c r="D52" s="31"/>
      <c r="E52" s="213">
        <v>2019</v>
      </c>
      <c r="F52" s="213">
        <v>2020</v>
      </c>
      <c r="G52" s="213">
        <v>2021</v>
      </c>
      <c r="H52" s="213">
        <v>2022</v>
      </c>
      <c r="I52" s="213">
        <v>2023</v>
      </c>
      <c r="J52" s="213" t="s">
        <v>187</v>
      </c>
      <c r="K52" s="213" t="s">
        <v>188</v>
      </c>
    </row>
    <row r="54" spans="1:11" x14ac:dyDescent="0.3">
      <c r="B54" s="32" t="s">
        <v>164</v>
      </c>
      <c r="C54" s="32"/>
      <c r="D54" s="32"/>
      <c r="E54" s="32"/>
      <c r="F54" s="32"/>
      <c r="G54" s="32"/>
      <c r="H54" s="32"/>
      <c r="I54" s="32"/>
      <c r="J54" s="32"/>
      <c r="K54" s="32"/>
    </row>
    <row r="55" spans="1:11" x14ac:dyDescent="0.3">
      <c r="B55" s="37" t="s">
        <v>165</v>
      </c>
      <c r="E55" s="114">
        <f t="shared" ref="E55:J55" si="0">IFERROR((E16-E17)/E16,"-")</f>
        <v>0.23852087169606068</v>
      </c>
      <c r="F55" s="114">
        <f t="shared" si="0"/>
        <v>0.23207882871269092</v>
      </c>
      <c r="G55" s="114">
        <f t="shared" si="0"/>
        <v>0.20948647687213623</v>
      </c>
      <c r="H55" s="114">
        <f t="shared" si="0"/>
        <v>0.19963167201481241</v>
      </c>
      <c r="I55" s="114">
        <f t="shared" si="0"/>
        <v>9.5067994156130237E-2</v>
      </c>
      <c r="J55" s="114">
        <f t="shared" si="0"/>
        <v>0.12347494312675962</v>
      </c>
      <c r="K55" s="114">
        <f>IFERROR((L16-L17)/L16,"-")</f>
        <v>0.14822545391390227</v>
      </c>
    </row>
    <row r="56" spans="1:11" x14ac:dyDescent="0.3">
      <c r="B56" s="37" t="s">
        <v>121</v>
      </c>
      <c r="E56" s="114">
        <f t="shared" ref="E56:J56" si="1">IFERROR(E18/E16,"-")</f>
        <v>2.4125614978244853E-2</v>
      </c>
      <c r="F56" s="114">
        <f t="shared" si="1"/>
        <v>8.2948007806635582E-2</v>
      </c>
      <c r="G56" s="114">
        <f t="shared" si="1"/>
        <v>6.6231476753902799E-2</v>
      </c>
      <c r="H56" s="114">
        <f t="shared" si="1"/>
        <v>5.7992201946484807E-2</v>
      </c>
      <c r="I56" s="114">
        <f t="shared" si="1"/>
        <v>-9.0891504093460418E-2</v>
      </c>
      <c r="J56" s="114">
        <f t="shared" si="1"/>
        <v>-7.0879130208581761E-2</v>
      </c>
      <c r="K56" s="114" t="str">
        <f>IFERROR(L18/L16,"-")</f>
        <v>-</v>
      </c>
    </row>
    <row r="57" spans="1:11" x14ac:dyDescent="0.3">
      <c r="B57" s="37" t="s">
        <v>166</v>
      </c>
      <c r="E57" s="114">
        <f t="shared" ref="E57:J57" si="2">IFERROR(E20/E16,"-")</f>
        <v>2.0460619058756499E-2</v>
      </c>
      <c r="F57" s="114">
        <f t="shared" si="2"/>
        <v>8.1390824854822477E-2</v>
      </c>
      <c r="G57" s="114">
        <f t="shared" si="2"/>
        <v>6.319272301918244E-2</v>
      </c>
      <c r="H57" s="114">
        <f t="shared" si="2"/>
        <v>5.3584208260483969E-2</v>
      </c>
      <c r="I57" s="114">
        <f t="shared" si="2"/>
        <v>-9.8653913692121023E-2</v>
      </c>
      <c r="J57" s="114">
        <f t="shared" si="2"/>
        <v>-7.7697598643889892E-2</v>
      </c>
      <c r="K57" s="114">
        <f>IFERROR(L20/L16,"-")</f>
        <v>-7.5104141389778986E-2</v>
      </c>
    </row>
    <row r="58" spans="1:11" x14ac:dyDescent="0.3">
      <c r="B58" s="37" t="s">
        <v>167</v>
      </c>
      <c r="E58" s="115">
        <f t="shared" ref="E58:J58" si="3">IFERROR(E23/E16,"-")</f>
        <v>2.7732493354484973E-2</v>
      </c>
      <c r="F58" s="115">
        <f t="shared" si="3"/>
        <v>7.0255435090084487E-2</v>
      </c>
      <c r="G58" s="115">
        <f t="shared" si="3"/>
        <v>6.7827181411450235E-2</v>
      </c>
      <c r="H58" s="115">
        <f t="shared" si="3"/>
        <v>5.348646812333617E-2</v>
      </c>
      <c r="I58" s="115">
        <f t="shared" si="3"/>
        <v>-6.839980565403303E-2</v>
      </c>
      <c r="J58" s="115">
        <f t="shared" si="3"/>
        <v>-4.2205296582539138E-2</v>
      </c>
      <c r="K58" s="115">
        <f>IFERROR(L23/L16,"-")</f>
        <v>-4.1782053509416682E-2</v>
      </c>
    </row>
    <row r="59" spans="1:11" x14ac:dyDescent="0.3">
      <c r="E59" s="116"/>
      <c r="F59" s="116"/>
      <c r="G59" s="116"/>
      <c r="H59" s="116"/>
      <c r="I59" s="116"/>
      <c r="J59" s="116"/>
      <c r="K59" s="116"/>
    </row>
    <row r="60" spans="1:11" x14ac:dyDescent="0.3">
      <c r="B60" s="32" t="s">
        <v>168</v>
      </c>
      <c r="C60" s="32"/>
      <c r="D60" s="32"/>
      <c r="E60" s="117"/>
      <c r="F60" s="117"/>
      <c r="G60" s="117"/>
      <c r="H60" s="117"/>
      <c r="I60" s="117"/>
      <c r="J60" s="117"/>
      <c r="K60" s="117"/>
    </row>
    <row r="61" spans="1:11" x14ac:dyDescent="0.3">
      <c r="B61" s="37" t="s">
        <v>169</v>
      </c>
      <c r="E61" s="114">
        <f t="shared" ref="E61:J61" si="4">IFERROR(E29/E30,"-")</f>
        <v>1.0747159133987472</v>
      </c>
      <c r="F61" s="114">
        <f t="shared" si="4"/>
        <v>1.2205577422997935</v>
      </c>
      <c r="G61" s="114">
        <f t="shared" si="4"/>
        <v>1.20080680361878</v>
      </c>
      <c r="H61" s="114">
        <f t="shared" si="4"/>
        <v>1.971974321818329</v>
      </c>
      <c r="I61" s="114">
        <f t="shared" si="4"/>
        <v>1.6092713948464858</v>
      </c>
      <c r="J61" s="114">
        <f t="shared" si="4"/>
        <v>1.2934923995662742</v>
      </c>
      <c r="K61" s="114">
        <f>IFERROR(L29/L30,"-")</f>
        <v>1.1377356606325499</v>
      </c>
    </row>
    <row r="62" spans="1:11" x14ac:dyDescent="0.3">
      <c r="B62" s="37" t="s">
        <v>170</v>
      </c>
      <c r="E62" s="114">
        <f t="shared" ref="E62:J62" si="5">IFERROR((E29-E28)/E30,"-")</f>
        <v>0.74707163687310763</v>
      </c>
      <c r="F62" s="114">
        <f t="shared" si="5"/>
        <v>0.81269658451515558</v>
      </c>
      <c r="G62" s="114">
        <f t="shared" si="5"/>
        <v>0.73711637214182035</v>
      </c>
      <c r="H62" s="114">
        <f t="shared" si="5"/>
        <v>1.5535039951032368</v>
      </c>
      <c r="I62" s="114">
        <f t="shared" si="5"/>
        <v>1.1292782626122986</v>
      </c>
      <c r="J62" s="114">
        <f t="shared" si="5"/>
        <v>0.88313449626478446</v>
      </c>
      <c r="K62" s="114">
        <f>IFERROR((L29-L28)/L30,"-")</f>
        <v>0.56281466532731061</v>
      </c>
    </row>
    <row r="63" spans="1:11" x14ac:dyDescent="0.3">
      <c r="B63" s="37" t="s">
        <v>171</v>
      </c>
      <c r="E63" s="114">
        <f t="shared" ref="E63:J63" si="6">IFERROR(E27/E30,"-")</f>
        <v>0.15113164968768886</v>
      </c>
      <c r="F63" s="114">
        <f t="shared" si="6"/>
        <v>0.36730171721165689</v>
      </c>
      <c r="G63" s="114">
        <f t="shared" si="6"/>
        <v>0.40118490323889472</v>
      </c>
      <c r="H63" s="114">
        <f t="shared" si="6"/>
        <v>0.95508927125611676</v>
      </c>
      <c r="I63" s="114">
        <f t="shared" si="6"/>
        <v>0.76198293868073963</v>
      </c>
      <c r="J63" s="114">
        <f t="shared" si="6"/>
        <v>0.4721909764687004</v>
      </c>
      <c r="K63" s="114">
        <f>IFERROR(L27/L30,"-")</f>
        <v>0.22995524831201106</v>
      </c>
    </row>
    <row r="64" spans="1:11" x14ac:dyDescent="0.3">
      <c r="E64" s="116"/>
      <c r="F64" s="116"/>
      <c r="G64" s="116"/>
      <c r="H64" s="116"/>
      <c r="I64" s="116"/>
      <c r="J64" s="116"/>
      <c r="K64" s="116"/>
    </row>
    <row r="65" spans="2:11" x14ac:dyDescent="0.3">
      <c r="B65" s="32" t="s">
        <v>172</v>
      </c>
      <c r="C65" s="32"/>
      <c r="D65" s="32"/>
      <c r="E65" s="117"/>
      <c r="F65" s="117"/>
      <c r="G65" s="117"/>
      <c r="H65" s="117"/>
      <c r="I65" s="117"/>
      <c r="J65" s="117"/>
      <c r="K65" s="117"/>
    </row>
    <row r="66" spans="2:11" x14ac:dyDescent="0.3">
      <c r="B66" s="37" t="s">
        <v>173</v>
      </c>
      <c r="E66" s="118">
        <f t="shared" ref="E66:J66" si="7">IFERROR(E31/E32,"-")</f>
        <v>0.85791026733432296</v>
      </c>
      <c r="F66" s="118">
        <f t="shared" si="7"/>
        <v>0.68165800317270397</v>
      </c>
      <c r="G66" s="118">
        <f t="shared" si="7"/>
        <v>1.0390329445030149</v>
      </c>
      <c r="H66" s="118">
        <f t="shared" si="7"/>
        <v>0.23420694704160269</v>
      </c>
      <c r="I66" s="118">
        <f t="shared" si="7"/>
        <v>0.30204484688430022</v>
      </c>
      <c r="J66" s="118">
        <f t="shared" si="7"/>
        <v>0.48529919489558149</v>
      </c>
      <c r="K66" s="118">
        <f>IFERROR(L31/L32,"-")</f>
        <v>0.96643873050044948</v>
      </c>
    </row>
    <row r="67" spans="2:11" x14ac:dyDescent="0.3">
      <c r="B67" s="37" t="s">
        <v>174</v>
      </c>
      <c r="E67" s="119">
        <f t="shared" ref="E67:J67" si="8">IFERROR(E31-E27,"-")</f>
        <v>0.68794149720834952</v>
      </c>
      <c r="F67" s="119">
        <f t="shared" si="8"/>
        <v>-18.850373212156001</v>
      </c>
      <c r="G67" s="119">
        <f t="shared" si="8"/>
        <v>-24.897946959020402</v>
      </c>
      <c r="H67" s="119">
        <f t="shared" si="8"/>
        <v>-110.25675724272961</v>
      </c>
      <c r="I67" s="119">
        <f t="shared" si="8"/>
        <v>-90.208000293536401</v>
      </c>
      <c r="J67" s="119">
        <f t="shared" si="8"/>
        <v>-46.266000384880812</v>
      </c>
      <c r="K67" s="119">
        <f>IFERROR(L31-L27,"-")</f>
        <v>22.406590467445696</v>
      </c>
    </row>
    <row r="68" spans="2:11" x14ac:dyDescent="0.3">
      <c r="B68" s="37" t="s">
        <v>175</v>
      </c>
      <c r="E68" s="118">
        <f t="shared" ref="E68:J68" si="9">IFERROR(E67/E18,"-")</f>
        <v>0.4804933138756684</v>
      </c>
      <c r="F68" s="118">
        <f t="shared" si="9"/>
        <v>-2.0438838893262581</v>
      </c>
      <c r="G68" s="118">
        <f t="shared" si="9"/>
        <v>-2.2472369305646178</v>
      </c>
      <c r="H68" s="118">
        <f t="shared" si="9"/>
        <v>-8.0826999946286957</v>
      </c>
      <c r="I68" s="118">
        <f t="shared" si="9"/>
        <v>6.6725299067434944</v>
      </c>
      <c r="J68" s="118">
        <f t="shared" si="9"/>
        <v>3.6581171746236456</v>
      </c>
      <c r="K68" s="118" t="str">
        <f>IFERROR(K67/L18,"-")</f>
        <v>-</v>
      </c>
    </row>
    <row r="69" spans="2:11" x14ac:dyDescent="0.3">
      <c r="E69" s="116"/>
      <c r="F69" s="116"/>
      <c r="G69" s="116"/>
      <c r="H69" s="116"/>
      <c r="I69" s="116"/>
      <c r="J69" s="116"/>
      <c r="K69" s="116"/>
    </row>
    <row r="70" spans="2:11" x14ac:dyDescent="0.3">
      <c r="B70" s="32" t="s">
        <v>178</v>
      </c>
      <c r="C70" s="32"/>
      <c r="D70" s="32"/>
      <c r="E70" s="117"/>
      <c r="F70" s="117"/>
      <c r="G70" s="117"/>
      <c r="H70" s="117"/>
      <c r="I70" s="117"/>
      <c r="J70" s="117"/>
      <c r="K70" s="117"/>
    </row>
    <row r="71" spans="2:11" x14ac:dyDescent="0.3">
      <c r="B71" s="37" t="s">
        <v>179</v>
      </c>
      <c r="E71" s="118">
        <f t="shared" ref="E71:J71" si="10">IFERROR(E20/E21,"-")</f>
        <v>2.7454095280311517</v>
      </c>
      <c r="F71" s="118">
        <f t="shared" si="10"/>
        <v>15.581460691570443</v>
      </c>
      <c r="G71" s="118">
        <f t="shared" si="10"/>
        <v>14.659708076415109</v>
      </c>
      <c r="H71" s="118">
        <f t="shared" si="10"/>
        <v>21.158744006487161</v>
      </c>
      <c r="I71" s="118">
        <f t="shared" si="10"/>
        <v>-24.437580853547352</v>
      </c>
      <c r="J71" s="118">
        <f t="shared" si="10"/>
        <v>-15.963802914188483</v>
      </c>
      <c r="K71" s="118">
        <f>IFERROR(L20/L21,"-")</f>
        <v>-16.775076218299859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22364-AD78-47E4-A9D0-7E904630D4BC}">
  <dimension ref="A2:X71"/>
  <sheetViews>
    <sheetView showGridLines="0" topLeftCell="A41" zoomScale="115" zoomScaleNormal="115" workbookViewId="0">
      <selection activeCell="A72" sqref="A72:XFD78"/>
    </sheetView>
  </sheetViews>
  <sheetFormatPr defaultRowHeight="12.45" x14ac:dyDescent="0.3"/>
  <cols>
    <col min="1" max="1" width="2.69140625" customWidth="1"/>
    <col min="2" max="2" width="18.53515625" customWidth="1"/>
    <col min="3" max="3" width="19.3828125" bestFit="1" customWidth="1"/>
    <col min="4" max="4" width="6.69140625" customWidth="1"/>
    <col min="5" max="18" width="10.53515625" customWidth="1"/>
  </cols>
  <sheetData>
    <row r="2" spans="1:23" x14ac:dyDescent="0.3">
      <c r="A2" t="s">
        <v>1</v>
      </c>
      <c r="B2" s="97" t="s">
        <v>694</v>
      </c>
      <c r="C2" s="97"/>
      <c r="D2" s="97"/>
      <c r="E2" s="97"/>
      <c r="F2" s="97"/>
      <c r="G2" s="97"/>
      <c r="H2" s="97"/>
      <c r="I2" s="97"/>
      <c r="K2" s="98"/>
      <c r="L2" s="98"/>
      <c r="M2" s="98"/>
      <c r="N2" s="98"/>
      <c r="O2" s="98"/>
      <c r="P2" s="98"/>
      <c r="Q2" s="98"/>
      <c r="R2" s="98"/>
      <c r="S2" s="98"/>
      <c r="T2" s="98"/>
    </row>
    <row r="4" spans="1:23" x14ac:dyDescent="0.3">
      <c r="B4" s="99" t="s">
        <v>695</v>
      </c>
      <c r="C4" s="99"/>
      <c r="E4" s="99" t="s">
        <v>696</v>
      </c>
      <c r="F4" s="99"/>
      <c r="G4" s="99"/>
      <c r="H4" s="99"/>
      <c r="I4" s="99"/>
    </row>
    <row r="5" spans="1:23" x14ac:dyDescent="0.3">
      <c r="B5" t="s">
        <v>697</v>
      </c>
      <c r="C5" s="100" t="s">
        <v>196</v>
      </c>
      <c r="E5" t="s">
        <v>699</v>
      </c>
      <c r="F5" s="101" t="s">
        <v>187</v>
      </c>
      <c r="H5" t="s">
        <v>700</v>
      </c>
      <c r="I5" s="102">
        <v>4</v>
      </c>
    </row>
    <row r="6" spans="1:23" x14ac:dyDescent="0.3">
      <c r="B6" t="s">
        <v>701</v>
      </c>
      <c r="C6" s="100" t="s">
        <v>710</v>
      </c>
      <c r="E6" t="s">
        <v>703</v>
      </c>
      <c r="F6" s="102" t="s">
        <v>704</v>
      </c>
      <c r="H6" t="s">
        <v>703</v>
      </c>
      <c r="I6" s="102" t="s">
        <v>739</v>
      </c>
      <c r="V6" t="s">
        <v>702</v>
      </c>
      <c r="W6" t="s">
        <v>189</v>
      </c>
    </row>
    <row r="7" spans="1:23" x14ac:dyDescent="0.3">
      <c r="B7" t="s">
        <v>706</v>
      </c>
      <c r="C7" s="100">
        <v>-5</v>
      </c>
      <c r="V7" t="s">
        <v>707</v>
      </c>
      <c r="W7" t="s">
        <v>190</v>
      </c>
    </row>
    <row r="8" spans="1:23" x14ac:dyDescent="0.3">
      <c r="B8" t="s">
        <v>708</v>
      </c>
      <c r="C8" s="100">
        <v>0</v>
      </c>
      <c r="E8" t="s">
        <v>709</v>
      </c>
      <c r="F8" s="103">
        <v>34.1</v>
      </c>
      <c r="V8" s="113" t="s">
        <v>710</v>
      </c>
      <c r="W8" s="113" t="s">
        <v>196</v>
      </c>
    </row>
    <row r="9" spans="1:23" x14ac:dyDescent="0.3">
      <c r="B9" t="s">
        <v>711</v>
      </c>
      <c r="C9" s="100" t="s">
        <v>712</v>
      </c>
      <c r="V9" t="s">
        <v>713</v>
      </c>
      <c r="W9" t="s">
        <v>714</v>
      </c>
    </row>
    <row r="10" spans="1:23" x14ac:dyDescent="0.3">
      <c r="B10" t="s">
        <v>715</v>
      </c>
      <c r="C10" s="100" t="s">
        <v>237</v>
      </c>
      <c r="V10" t="s">
        <v>716</v>
      </c>
      <c r="W10" t="s">
        <v>192</v>
      </c>
    </row>
    <row r="11" spans="1:23" x14ac:dyDescent="0.3">
      <c r="B11" t="s">
        <v>718</v>
      </c>
      <c r="C11" s="104">
        <v>45992</v>
      </c>
      <c r="V11" t="s">
        <v>719</v>
      </c>
      <c r="W11" t="s">
        <v>193</v>
      </c>
    </row>
    <row r="12" spans="1:23" x14ac:dyDescent="0.3">
      <c r="V12" t="s">
        <v>721</v>
      </c>
      <c r="W12" t="s">
        <v>194</v>
      </c>
    </row>
    <row r="13" spans="1:23" x14ac:dyDescent="0.3">
      <c r="A13" t="s">
        <v>1</v>
      </c>
      <c r="B13" s="97" t="s">
        <v>722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V13" t="s">
        <v>723</v>
      </c>
      <c r="W13" t="s">
        <v>195</v>
      </c>
    </row>
    <row r="14" spans="1:23" ht="12.9" x14ac:dyDescent="0.35">
      <c r="B14" s="1" t="s">
        <v>724</v>
      </c>
      <c r="V14" s="113" t="s">
        <v>725</v>
      </c>
      <c r="W14" s="113" t="s">
        <v>197</v>
      </c>
    </row>
    <row r="15" spans="1:23" x14ac:dyDescent="0.3">
      <c r="B15" s="105"/>
      <c r="C15" s="105"/>
      <c r="D15" s="105"/>
      <c r="E15" s="106">
        <v>2019</v>
      </c>
      <c r="F15" s="106">
        <v>2020</v>
      </c>
      <c r="G15" s="106">
        <v>2021</v>
      </c>
      <c r="H15" s="106">
        <v>2022</v>
      </c>
      <c r="I15" s="106">
        <v>2023</v>
      </c>
      <c r="J15" s="106" t="s">
        <v>187</v>
      </c>
      <c r="L15" s="107" t="s">
        <v>188</v>
      </c>
    </row>
    <row r="16" spans="1:23" ht="12.65" customHeight="1" x14ac:dyDescent="0.3">
      <c r="B16" t="s">
        <v>57</v>
      </c>
      <c r="E16" s="108">
        <v>4072.9940000000001</v>
      </c>
      <c r="F16" s="109">
        <v>3808.674</v>
      </c>
      <c r="G16" s="109">
        <v>4239.8149999999996</v>
      </c>
      <c r="H16" s="109">
        <v>4763.2939999999999</v>
      </c>
      <c r="I16" s="109">
        <v>5545.8869999999997</v>
      </c>
      <c r="J16" s="109">
        <v>5391.884</v>
      </c>
      <c r="L16" s="108">
        <v>5426.7839999999997</v>
      </c>
      <c r="Q16" s="108"/>
    </row>
    <row r="17" spans="2:17" ht="12.65" customHeight="1" x14ac:dyDescent="0.3">
      <c r="B17" t="s">
        <v>727</v>
      </c>
      <c r="E17" s="108">
        <v>2884.0059999999999</v>
      </c>
      <c r="F17" s="108">
        <v>2650.616</v>
      </c>
      <c r="G17" s="108">
        <v>2908.3789999999999</v>
      </c>
      <c r="H17" s="108">
        <v>3276.6840000000002</v>
      </c>
      <c r="I17" s="108">
        <v>3816.1460000000002</v>
      </c>
      <c r="J17" s="108">
        <v>3667.36</v>
      </c>
      <c r="L17" s="108">
        <v>3656.5590000000002</v>
      </c>
      <c r="Q17" s="108"/>
    </row>
    <row r="18" spans="2:17" ht="12.65" customHeight="1" x14ac:dyDescent="0.3">
      <c r="B18" t="s">
        <v>64</v>
      </c>
      <c r="E18" s="108">
        <v>667.28599999999994</v>
      </c>
      <c r="F18" s="108">
        <v>638.03700000000003</v>
      </c>
      <c r="G18" s="108">
        <v>734.06</v>
      </c>
      <c r="H18" s="108">
        <v>777.721</v>
      </c>
      <c r="I18" s="108">
        <v>874.12800000000004</v>
      </c>
      <c r="J18" s="108">
        <v>890.81</v>
      </c>
      <c r="L18" s="108">
        <v>897.06100000000004</v>
      </c>
      <c r="Q18" s="108"/>
    </row>
    <row r="19" spans="2:17" ht="12.65" customHeight="1" x14ac:dyDescent="0.3">
      <c r="B19" t="s">
        <v>728</v>
      </c>
      <c r="E19" s="108">
        <v>381.315</v>
      </c>
      <c r="F19" s="108">
        <v>369.48700000000002</v>
      </c>
      <c r="G19" s="108">
        <v>374.61200000000002</v>
      </c>
      <c r="H19" s="108">
        <v>399.23899999999998</v>
      </c>
      <c r="I19" s="108">
        <v>442.78500000000003</v>
      </c>
      <c r="J19" s="108">
        <v>467.48399999999998</v>
      </c>
      <c r="L19" s="108">
        <v>474.15300000000002</v>
      </c>
      <c r="Q19" s="108"/>
    </row>
    <row r="20" spans="2:17" ht="12.65" customHeight="1" x14ac:dyDescent="0.3">
      <c r="B20" t="s">
        <v>67</v>
      </c>
      <c r="E20" s="108">
        <v>285.971</v>
      </c>
      <c r="F20" s="108">
        <v>268.55</v>
      </c>
      <c r="G20" s="108">
        <v>359.44799999999998</v>
      </c>
      <c r="H20" s="108">
        <v>378.48200000000003</v>
      </c>
      <c r="I20" s="108">
        <v>431.34300000000002</v>
      </c>
      <c r="J20" s="108">
        <v>423.32600000000002</v>
      </c>
      <c r="L20" s="108">
        <v>422.90800000000002</v>
      </c>
      <c r="Q20" s="108"/>
    </row>
    <row r="21" spans="2:17" ht="12.65" customHeight="1" x14ac:dyDescent="0.3">
      <c r="B21" t="s">
        <v>729</v>
      </c>
      <c r="E21" s="108">
        <v>14.728999999999999</v>
      </c>
      <c r="F21" s="108">
        <v>13.568</v>
      </c>
      <c r="G21" s="108">
        <v>11.456</v>
      </c>
      <c r="H21" s="108">
        <v>13.909000000000001</v>
      </c>
      <c r="I21" s="108">
        <v>32.103000000000002</v>
      </c>
      <c r="J21" s="108">
        <v>31.382000000000001</v>
      </c>
      <c r="L21" s="108">
        <v>32.246000000000002</v>
      </c>
      <c r="Q21" s="108"/>
    </row>
    <row r="22" spans="2:17" ht="12.65" customHeight="1" x14ac:dyDescent="0.3">
      <c r="B22" t="s">
        <v>70</v>
      </c>
      <c r="E22" s="108">
        <v>65.061999999999998</v>
      </c>
      <c r="F22" s="108">
        <v>48.777999999999999</v>
      </c>
      <c r="G22" s="108">
        <v>81.736999999999995</v>
      </c>
      <c r="H22" s="108">
        <v>77.825999999999993</v>
      </c>
      <c r="I22" s="108">
        <v>99.852999999999994</v>
      </c>
      <c r="J22" s="108">
        <v>114.848</v>
      </c>
      <c r="L22" s="108">
        <v>113.148</v>
      </c>
      <c r="Q22" s="108"/>
    </row>
    <row r="23" spans="2:17" ht="12.65" customHeight="1" x14ac:dyDescent="0.3">
      <c r="B23" t="s">
        <v>131</v>
      </c>
      <c r="E23" s="108">
        <v>177.05500000000001</v>
      </c>
      <c r="F23" s="108">
        <v>151.27699999999999</v>
      </c>
      <c r="G23" s="108">
        <v>266.24799999999999</v>
      </c>
      <c r="H23" s="108">
        <v>269.16800000000001</v>
      </c>
      <c r="I23" s="108">
        <v>299.27499999999998</v>
      </c>
      <c r="J23" s="108">
        <v>288.99299999999999</v>
      </c>
      <c r="L23" s="108">
        <v>284.89299999999997</v>
      </c>
      <c r="Q23" s="108"/>
    </row>
    <row r="24" spans="2:17" ht="12.65" customHeight="1" x14ac:dyDescent="0.3">
      <c r="E24" s="108"/>
      <c r="F24" s="108"/>
      <c r="G24" s="108"/>
      <c r="H24" s="108"/>
      <c r="I24" s="108"/>
      <c r="J24" s="108"/>
      <c r="L24" s="108"/>
      <c r="Q24" s="108"/>
    </row>
    <row r="25" spans="2:17" ht="12.65" customHeight="1" x14ac:dyDescent="0.3">
      <c r="B25" t="s">
        <v>183</v>
      </c>
      <c r="E25" s="108">
        <v>158.994</v>
      </c>
      <c r="F25" s="108">
        <v>460.339</v>
      </c>
      <c r="G25" s="108">
        <v>186.35599999999999</v>
      </c>
      <c r="H25" s="108">
        <v>-202.971</v>
      </c>
      <c r="I25" s="108">
        <v>387.92500000000001</v>
      </c>
      <c r="J25" s="108">
        <v>439.53199999999998</v>
      </c>
      <c r="L25" s="108">
        <v>-16.5</v>
      </c>
      <c r="Q25" s="108"/>
    </row>
    <row r="26" spans="2:17" ht="12.65" customHeight="1" x14ac:dyDescent="0.3">
      <c r="E26" s="108"/>
      <c r="F26" s="108"/>
      <c r="G26" s="108"/>
      <c r="H26" s="108"/>
      <c r="I26" s="108"/>
      <c r="J26" s="108"/>
      <c r="L26" s="108"/>
      <c r="Q26" s="108"/>
    </row>
    <row r="27" spans="2:17" ht="12.65" customHeight="1" x14ac:dyDescent="0.3">
      <c r="B27" t="s">
        <v>730</v>
      </c>
      <c r="E27" s="108">
        <v>574.54999999999995</v>
      </c>
      <c r="F27" s="108">
        <v>950.35699999999997</v>
      </c>
      <c r="G27" s="108">
        <v>720.19299999999998</v>
      </c>
      <c r="H27" s="108">
        <v>505.786</v>
      </c>
      <c r="I27" s="108">
        <v>651.61900000000003</v>
      </c>
      <c r="J27" s="108">
        <v>703.39099999999996</v>
      </c>
      <c r="L27" s="108">
        <v>636.29999999999995</v>
      </c>
      <c r="Q27" s="108"/>
    </row>
    <row r="28" spans="2:17" ht="12.65" customHeight="1" x14ac:dyDescent="0.3">
      <c r="B28" t="s">
        <v>731</v>
      </c>
      <c r="E28" s="108">
        <v>592.69799999999998</v>
      </c>
      <c r="F28" s="108">
        <v>537.45399999999995</v>
      </c>
      <c r="G28" s="108">
        <v>763.85299999999995</v>
      </c>
      <c r="H28" s="108">
        <v>993.99599999999998</v>
      </c>
      <c r="I28" s="108">
        <v>926.60799999999995</v>
      </c>
      <c r="J28" s="108">
        <v>880.84199999999998</v>
      </c>
      <c r="L28" s="108">
        <v>967.6</v>
      </c>
      <c r="Q28" s="108"/>
    </row>
    <row r="29" spans="2:17" ht="12.65" customHeight="1" x14ac:dyDescent="0.3">
      <c r="B29" t="s">
        <v>124</v>
      </c>
      <c r="E29" s="108">
        <v>2270.8519999999999</v>
      </c>
      <c r="F29" s="108">
        <v>2552.886</v>
      </c>
      <c r="G29" s="108">
        <v>2690.4780000000001</v>
      </c>
      <c r="H29" s="108">
        <v>2912.607</v>
      </c>
      <c r="I29" s="108">
        <v>3078.326</v>
      </c>
      <c r="J29" s="108">
        <v>3073.9229999999998</v>
      </c>
      <c r="L29" s="108">
        <v>3135.2</v>
      </c>
      <c r="Q29" s="108"/>
    </row>
    <row r="30" spans="2:17" ht="12.65" customHeight="1" x14ac:dyDescent="0.3">
      <c r="B30" t="s">
        <v>144</v>
      </c>
      <c r="E30" s="108">
        <v>1490.5129999999999</v>
      </c>
      <c r="F30" s="108">
        <v>1683.684</v>
      </c>
      <c r="G30" s="108">
        <v>1984.7940000000001</v>
      </c>
      <c r="H30" s="108">
        <v>1982.914</v>
      </c>
      <c r="I30" s="108">
        <v>2451.4450000000002</v>
      </c>
      <c r="J30" s="108">
        <v>2150.2060000000001</v>
      </c>
      <c r="L30" s="108">
        <v>2188.6</v>
      </c>
      <c r="Q30" s="108"/>
    </row>
    <row r="31" spans="2:17" ht="12.65" customHeight="1" x14ac:dyDescent="0.3">
      <c r="B31" t="s">
        <v>732</v>
      </c>
      <c r="E31" s="108">
        <v>767.59100000000001</v>
      </c>
      <c r="F31" s="108">
        <v>787.35299999999995</v>
      </c>
      <c r="G31" s="108">
        <v>532.94299999999998</v>
      </c>
      <c r="H31" s="108">
        <v>609.9</v>
      </c>
      <c r="I31" s="108">
        <v>923.74099999999999</v>
      </c>
      <c r="J31" s="108">
        <v>680.85199999999998</v>
      </c>
      <c r="L31" s="108">
        <v>678.3</v>
      </c>
      <c r="Q31" s="108"/>
    </row>
    <row r="32" spans="2:17" ht="12.65" customHeight="1" x14ac:dyDescent="0.3">
      <c r="B32" t="s">
        <v>733</v>
      </c>
      <c r="E32" s="108">
        <v>1487.597</v>
      </c>
      <c r="F32" s="108">
        <v>1546.3710000000001</v>
      </c>
      <c r="G32" s="108">
        <v>1801.3030000000001</v>
      </c>
      <c r="H32" s="108">
        <v>2051.4520000000002</v>
      </c>
      <c r="I32" s="108">
        <v>2222.2570000000001</v>
      </c>
      <c r="J32" s="108">
        <v>2436.3020000000001</v>
      </c>
      <c r="L32" s="108">
        <v>2474.1999999999998</v>
      </c>
      <c r="Q32" s="108"/>
    </row>
    <row r="33" spans="2:24" ht="12.65" customHeight="1" x14ac:dyDescent="0.3">
      <c r="E33" s="108"/>
      <c r="F33" s="108"/>
      <c r="G33" s="108"/>
      <c r="H33" s="108"/>
      <c r="I33" s="108"/>
      <c r="J33" s="108"/>
      <c r="L33" s="108"/>
      <c r="Q33" s="108"/>
    </row>
    <row r="34" spans="2:24" ht="12.65" customHeight="1" x14ac:dyDescent="0.3">
      <c r="B34" t="s">
        <v>734</v>
      </c>
      <c r="E34" s="108">
        <v>102</v>
      </c>
      <c r="F34" s="108">
        <v>102</v>
      </c>
      <c r="G34" s="108">
        <v>102</v>
      </c>
      <c r="H34" s="108">
        <v>102</v>
      </c>
      <c r="I34" s="108">
        <v>102</v>
      </c>
      <c r="J34" s="108">
        <v>102</v>
      </c>
      <c r="L34" s="108">
        <v>102</v>
      </c>
      <c r="Q34" s="108"/>
    </row>
    <row r="35" spans="2:24" ht="12.65" customHeight="1" x14ac:dyDescent="0.3">
      <c r="E35" s="108"/>
      <c r="F35" s="108"/>
      <c r="G35" s="108"/>
      <c r="H35" s="108"/>
      <c r="I35" s="108"/>
      <c r="J35" s="108"/>
      <c r="L35" s="108"/>
      <c r="Q35" s="108"/>
    </row>
    <row r="36" spans="2:24" ht="12.65" customHeight="1" x14ac:dyDescent="0.3">
      <c r="E36" s="108"/>
      <c r="F36" s="108"/>
      <c r="G36" s="108"/>
      <c r="H36" s="108"/>
      <c r="I36" s="108"/>
      <c r="J36" s="108"/>
      <c r="L36" s="108"/>
      <c r="Q36" s="108"/>
    </row>
    <row r="38" spans="2:24" ht="12.9" x14ac:dyDescent="0.35">
      <c r="B38" s="1" t="s">
        <v>735</v>
      </c>
    </row>
    <row r="41" spans="2:24" x14ac:dyDescent="0.3">
      <c r="X41" s="110"/>
    </row>
    <row r="42" spans="2:24" ht="12.65" customHeight="1" x14ac:dyDescent="0.3">
      <c r="N42" s="111"/>
    </row>
    <row r="43" spans="2:24" x14ac:dyDescent="0.3">
      <c r="C43" s="112"/>
    </row>
    <row r="50" spans="1:11" ht="17.600000000000001" x14ac:dyDescent="0.4">
      <c r="A50" t="s">
        <v>1</v>
      </c>
      <c r="B50" s="2" t="s">
        <v>163</v>
      </c>
      <c r="C50" s="2"/>
      <c r="D50" s="2"/>
      <c r="E50" s="2"/>
      <c r="F50" s="2"/>
      <c r="G50" s="2"/>
      <c r="H50" s="2"/>
      <c r="I50" s="2"/>
      <c r="J50" s="2"/>
      <c r="K50" s="2"/>
    </row>
    <row r="52" spans="1:11" x14ac:dyDescent="0.3">
      <c r="B52" s="31" t="s">
        <v>93</v>
      </c>
      <c r="C52" s="31"/>
      <c r="D52" s="31"/>
      <c r="E52" s="213">
        <v>2019</v>
      </c>
      <c r="F52" s="213">
        <v>2020</v>
      </c>
      <c r="G52" s="213">
        <v>2021</v>
      </c>
      <c r="H52" s="213">
        <v>2022</v>
      </c>
      <c r="I52" s="213">
        <v>2023</v>
      </c>
      <c r="J52" s="213" t="s">
        <v>187</v>
      </c>
      <c r="K52" s="213" t="s">
        <v>188</v>
      </c>
    </row>
    <row r="54" spans="1:11" x14ac:dyDescent="0.3">
      <c r="B54" s="32" t="s">
        <v>164</v>
      </c>
      <c r="C54" s="32"/>
      <c r="D54" s="32"/>
      <c r="E54" s="32"/>
      <c r="F54" s="32"/>
      <c r="G54" s="32"/>
      <c r="H54" s="32"/>
      <c r="I54" s="32"/>
      <c r="J54" s="32"/>
      <c r="K54" s="32"/>
    </row>
    <row r="55" spans="1:11" x14ac:dyDescent="0.3">
      <c r="B55" s="37" t="s">
        <v>165</v>
      </c>
      <c r="E55" s="114">
        <f t="shared" ref="E55:J55" si="0">IFERROR((E16-E17)/E16,"-")</f>
        <v>0.2919198997101396</v>
      </c>
      <c r="F55" s="114">
        <f t="shared" si="0"/>
        <v>0.30405805275011721</v>
      </c>
      <c r="G55" s="114">
        <f t="shared" si="0"/>
        <v>0.31403162637992454</v>
      </c>
      <c r="H55" s="114">
        <f t="shared" si="0"/>
        <v>0.31209704880698097</v>
      </c>
      <c r="I55" s="114">
        <f t="shared" si="0"/>
        <v>0.31189618540731168</v>
      </c>
      <c r="J55" s="114">
        <f t="shared" si="0"/>
        <v>0.31983699946067085</v>
      </c>
      <c r="K55" s="114">
        <f>IFERROR((L16-L17)/L16,"-")</f>
        <v>0.3262014850784552</v>
      </c>
    </row>
    <row r="56" spans="1:11" x14ac:dyDescent="0.3">
      <c r="B56" s="37" t="s">
        <v>121</v>
      </c>
      <c r="E56" s="114">
        <f t="shared" ref="E56:J56" si="1">IFERROR(E18/E16,"-")</f>
        <v>0.16383181512175071</v>
      </c>
      <c r="F56" s="114">
        <f t="shared" si="1"/>
        <v>0.16752208248855113</v>
      </c>
      <c r="G56" s="114">
        <f t="shared" si="1"/>
        <v>0.1731349127261449</v>
      </c>
      <c r="H56" s="114">
        <f t="shared" si="1"/>
        <v>0.16327377650844144</v>
      </c>
      <c r="I56" s="114">
        <f t="shared" si="1"/>
        <v>0.15761734777502681</v>
      </c>
      <c r="J56" s="114">
        <f t="shared" si="1"/>
        <v>0.1652131240212141</v>
      </c>
      <c r="K56" s="114">
        <f>IFERROR(L18/L16,"-")</f>
        <v>0.16530250697282223</v>
      </c>
    </row>
    <row r="57" spans="1:11" x14ac:dyDescent="0.3">
      <c r="B57" s="37" t="s">
        <v>166</v>
      </c>
      <c r="E57" s="114">
        <f t="shared" ref="E57:J57" si="2">IFERROR(E20/E16,"-")</f>
        <v>7.0211495523931536E-2</v>
      </c>
      <c r="F57" s="114">
        <f t="shared" si="2"/>
        <v>7.0510104041459049E-2</v>
      </c>
      <c r="G57" s="114">
        <f t="shared" si="2"/>
        <v>8.4779170789291522E-2</v>
      </c>
      <c r="H57" s="114">
        <f t="shared" si="2"/>
        <v>7.9458038911727896E-2</v>
      </c>
      <c r="I57" s="114">
        <f t="shared" si="2"/>
        <v>7.7777098595770172E-2</v>
      </c>
      <c r="J57" s="114">
        <f t="shared" si="2"/>
        <v>7.8511703886804687E-2</v>
      </c>
      <c r="K57" s="114">
        <f>IFERROR(L20/L16,"-")</f>
        <v>7.7929764663565021E-2</v>
      </c>
    </row>
    <row r="58" spans="1:11" x14ac:dyDescent="0.3">
      <c r="B58" s="37" t="s">
        <v>167</v>
      </c>
      <c r="E58" s="115">
        <f t="shared" ref="E58:J58" si="3">IFERROR(E23/E16,"-")</f>
        <v>4.3470478964614236E-2</v>
      </c>
      <c r="F58" s="115">
        <f t="shared" si="3"/>
        <v>3.9719072832172034E-2</v>
      </c>
      <c r="G58" s="115">
        <f t="shared" si="3"/>
        <v>6.2797079589557561E-2</v>
      </c>
      <c r="H58" s="115">
        <f t="shared" si="3"/>
        <v>5.6508794124402149E-2</v>
      </c>
      <c r="I58" s="115">
        <f t="shared" si="3"/>
        <v>5.3963414689120061E-2</v>
      </c>
      <c r="J58" s="115">
        <f t="shared" si="3"/>
        <v>5.3597777696997931E-2</v>
      </c>
      <c r="K58" s="115">
        <f>IFERROR(L23/L16,"-")</f>
        <v>5.2497574991007566E-2</v>
      </c>
    </row>
    <row r="59" spans="1:11" x14ac:dyDescent="0.3">
      <c r="E59" s="116"/>
      <c r="F59" s="116"/>
      <c r="G59" s="116"/>
      <c r="H59" s="116"/>
      <c r="I59" s="116"/>
      <c r="J59" s="116"/>
      <c r="K59" s="116"/>
    </row>
    <row r="60" spans="1:11" x14ac:dyDescent="0.3">
      <c r="B60" s="32" t="s">
        <v>168</v>
      </c>
      <c r="C60" s="32"/>
      <c r="D60" s="32"/>
      <c r="E60" s="117"/>
      <c r="F60" s="117"/>
      <c r="G60" s="117"/>
      <c r="H60" s="117"/>
      <c r="I60" s="117"/>
      <c r="J60" s="117"/>
      <c r="K60" s="117"/>
    </row>
    <row r="61" spans="1:11" x14ac:dyDescent="0.3">
      <c r="B61" s="37" t="s">
        <v>169</v>
      </c>
      <c r="E61" s="114">
        <f t="shared" ref="E61:J61" si="4">IFERROR(E29/E30,"-")</f>
        <v>1.523537198266637</v>
      </c>
      <c r="F61" s="114">
        <f t="shared" si="4"/>
        <v>1.5162500801813168</v>
      </c>
      <c r="G61" s="114">
        <f t="shared" si="4"/>
        <v>1.3555452102334045</v>
      </c>
      <c r="H61" s="114">
        <f t="shared" si="4"/>
        <v>1.4688519017970523</v>
      </c>
      <c r="I61" s="114">
        <f t="shared" si="4"/>
        <v>1.2557189739113053</v>
      </c>
      <c r="J61" s="114">
        <f t="shared" si="4"/>
        <v>1.4295946527914067</v>
      </c>
      <c r="K61" s="114">
        <f>IFERROR(L29/L30,"-")</f>
        <v>1.4325139358494015</v>
      </c>
    </row>
    <row r="62" spans="1:11" x14ac:dyDescent="0.3">
      <c r="B62" s="37" t="s">
        <v>170</v>
      </c>
      <c r="E62" s="114">
        <f t="shared" ref="E62:J62" si="5">IFERROR((E29-E28)/E30,"-")</f>
        <v>1.125890213637855</v>
      </c>
      <c r="F62" s="114">
        <f t="shared" si="5"/>
        <v>1.1970369736838979</v>
      </c>
      <c r="G62" s="114">
        <f t="shared" si="5"/>
        <v>0.97069267641881218</v>
      </c>
      <c r="H62" s="114">
        <f t="shared" si="5"/>
        <v>0.9675714630084814</v>
      </c>
      <c r="I62" s="114">
        <f t="shared" si="5"/>
        <v>0.87773456063668553</v>
      </c>
      <c r="J62" s="114">
        <f t="shared" si="5"/>
        <v>1.01993994993968</v>
      </c>
      <c r="K62" s="114">
        <f>IFERROR((L29-L28)/L30,"-")</f>
        <v>0.99040482500228455</v>
      </c>
    </row>
    <row r="63" spans="1:11" x14ac:dyDescent="0.3">
      <c r="B63" s="37" t="s">
        <v>171</v>
      </c>
      <c r="E63" s="114">
        <f t="shared" ref="E63:J63" si="6">IFERROR(E27/E30,"-")</f>
        <v>0.38547131088423919</v>
      </c>
      <c r="F63" s="114">
        <f t="shared" si="6"/>
        <v>0.56445093022206061</v>
      </c>
      <c r="G63" s="114">
        <f t="shared" si="6"/>
        <v>0.36285528876044565</v>
      </c>
      <c r="H63" s="114">
        <f t="shared" si="6"/>
        <v>0.25507208078615612</v>
      </c>
      <c r="I63" s="114">
        <f t="shared" si="6"/>
        <v>0.26581016502511784</v>
      </c>
      <c r="J63" s="114">
        <f t="shared" si="6"/>
        <v>0.32712726129496428</v>
      </c>
      <c r="K63" s="114">
        <f>IFERROR(L27/L30,"-")</f>
        <v>0.29073380243077768</v>
      </c>
    </row>
    <row r="64" spans="1:11" x14ac:dyDescent="0.3">
      <c r="E64" s="116"/>
      <c r="F64" s="116"/>
      <c r="G64" s="116"/>
      <c r="H64" s="116"/>
      <c r="I64" s="116"/>
      <c r="J64" s="116"/>
      <c r="K64" s="116"/>
    </row>
    <row r="65" spans="2:11" x14ac:dyDescent="0.3">
      <c r="B65" s="32" t="s">
        <v>172</v>
      </c>
      <c r="C65" s="32"/>
      <c r="D65" s="32"/>
      <c r="E65" s="117"/>
      <c r="F65" s="117"/>
      <c r="G65" s="117"/>
      <c r="H65" s="117"/>
      <c r="I65" s="117"/>
      <c r="J65" s="117"/>
      <c r="K65" s="117"/>
    </row>
    <row r="66" spans="2:11" x14ac:dyDescent="0.3">
      <c r="B66" s="37" t="s">
        <v>173</v>
      </c>
      <c r="E66" s="118">
        <f t="shared" ref="E66:J66" si="7">IFERROR(E31/E32,"-")</f>
        <v>0.51599391501865088</v>
      </c>
      <c r="F66" s="118">
        <f t="shared" si="7"/>
        <v>0.50916177295099296</v>
      </c>
      <c r="G66" s="118">
        <f t="shared" si="7"/>
        <v>0.29586527086225911</v>
      </c>
      <c r="H66" s="118">
        <f t="shared" si="7"/>
        <v>0.2973016185609022</v>
      </c>
      <c r="I66" s="118">
        <f t="shared" si="7"/>
        <v>0.41567694465581612</v>
      </c>
      <c r="J66" s="118">
        <f t="shared" si="7"/>
        <v>0.27946124905697239</v>
      </c>
      <c r="K66" s="118">
        <f>IFERROR(L31/L32,"-")</f>
        <v>0.27414921994988278</v>
      </c>
    </row>
    <row r="67" spans="2:11" x14ac:dyDescent="0.3">
      <c r="B67" s="37" t="s">
        <v>174</v>
      </c>
      <c r="E67" s="119">
        <f t="shared" ref="E67:J67" si="8">IFERROR(E31-E27,"-")</f>
        <v>193.04100000000005</v>
      </c>
      <c r="F67" s="119">
        <f t="shared" si="8"/>
        <v>-163.00400000000002</v>
      </c>
      <c r="G67" s="119">
        <f t="shared" si="8"/>
        <v>-187.25</v>
      </c>
      <c r="H67" s="119">
        <f t="shared" si="8"/>
        <v>104.11399999999998</v>
      </c>
      <c r="I67" s="119">
        <f t="shared" si="8"/>
        <v>272.12199999999996</v>
      </c>
      <c r="J67" s="119">
        <f t="shared" si="8"/>
        <v>-22.538999999999987</v>
      </c>
      <c r="K67" s="119">
        <f>IFERROR(L31-L27,"-")</f>
        <v>42</v>
      </c>
    </row>
    <row r="68" spans="2:11" x14ac:dyDescent="0.3">
      <c r="B68" s="37" t="s">
        <v>175</v>
      </c>
      <c r="E68" s="118">
        <f t="shared" ref="E68:J68" si="9">IFERROR(E67/E18,"-")</f>
        <v>0.28929274703800179</v>
      </c>
      <c r="F68" s="118">
        <f t="shared" si="9"/>
        <v>-0.25547734692502161</v>
      </c>
      <c r="G68" s="118">
        <f t="shared" si="9"/>
        <v>-0.25508813993406537</v>
      </c>
      <c r="H68" s="118">
        <f t="shared" si="9"/>
        <v>0.13387062969882513</v>
      </c>
      <c r="I68" s="118">
        <f t="shared" si="9"/>
        <v>0.31130681090183582</v>
      </c>
      <c r="J68" s="118">
        <f t="shared" si="9"/>
        <v>-2.5301691718772789E-2</v>
      </c>
      <c r="K68" s="118">
        <f>IFERROR(K67/L18,"-")</f>
        <v>4.6819558536153057E-2</v>
      </c>
    </row>
    <row r="69" spans="2:11" x14ac:dyDescent="0.3">
      <c r="E69" s="116"/>
      <c r="F69" s="116"/>
      <c r="G69" s="116"/>
      <c r="H69" s="116"/>
      <c r="I69" s="116"/>
      <c r="J69" s="116"/>
      <c r="K69" s="116"/>
    </row>
    <row r="70" spans="2:11" x14ac:dyDescent="0.3">
      <c r="B70" s="32" t="s">
        <v>178</v>
      </c>
      <c r="C70" s="32"/>
      <c r="D70" s="32"/>
      <c r="E70" s="117"/>
      <c r="F70" s="117"/>
      <c r="G70" s="117"/>
      <c r="H70" s="117"/>
      <c r="I70" s="117"/>
      <c r="J70" s="117"/>
      <c r="K70" s="117"/>
    </row>
    <row r="71" spans="2:11" x14ac:dyDescent="0.3">
      <c r="B71" s="37" t="s">
        <v>179</v>
      </c>
      <c r="E71" s="118">
        <f t="shared" ref="E71:J71" si="10">IFERROR(E20/E21,"-")</f>
        <v>19.415506823273816</v>
      </c>
      <c r="F71" s="118">
        <f t="shared" si="10"/>
        <v>19.792895047169814</v>
      </c>
      <c r="G71" s="118">
        <f t="shared" si="10"/>
        <v>31.376396648044693</v>
      </c>
      <c r="H71" s="118">
        <f t="shared" si="10"/>
        <v>27.211302034653823</v>
      </c>
      <c r="I71" s="118">
        <f t="shared" si="10"/>
        <v>13.436220913933278</v>
      </c>
      <c r="J71" s="118">
        <f t="shared" si="10"/>
        <v>13.489452552418584</v>
      </c>
      <c r="K71" s="118">
        <f>IFERROR(L20/L21,"-")</f>
        <v>13.115053029833158</v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B27F-2631-4E91-91DF-B579E548D627}">
  <dimension ref="A2:X71"/>
  <sheetViews>
    <sheetView showGridLines="0" topLeftCell="A45" zoomScale="115" zoomScaleNormal="115" workbookViewId="0">
      <selection activeCell="A86" sqref="A86:XFD86"/>
    </sheetView>
  </sheetViews>
  <sheetFormatPr defaultRowHeight="12.45" x14ac:dyDescent="0.3"/>
  <cols>
    <col min="1" max="1" width="2.69140625" customWidth="1"/>
    <col min="2" max="2" width="18.53515625" customWidth="1"/>
    <col min="3" max="3" width="10.53515625" bestFit="1" customWidth="1"/>
    <col min="4" max="4" width="6.69140625" customWidth="1"/>
    <col min="5" max="18" width="10.53515625" customWidth="1"/>
  </cols>
  <sheetData>
    <row r="2" spans="1:23" x14ac:dyDescent="0.3">
      <c r="A2" t="s">
        <v>1</v>
      </c>
      <c r="B2" s="97" t="s">
        <v>694</v>
      </c>
      <c r="C2" s="97"/>
      <c r="D2" s="97"/>
      <c r="E2" s="97"/>
      <c r="F2" s="97"/>
      <c r="G2" s="97"/>
      <c r="H2" s="97"/>
      <c r="I2" s="97"/>
      <c r="K2" s="98"/>
      <c r="L2" s="98"/>
      <c r="M2" s="98"/>
      <c r="N2" s="98"/>
      <c r="O2" s="98"/>
      <c r="P2" s="98"/>
      <c r="Q2" s="98"/>
      <c r="R2" s="98"/>
      <c r="S2" s="98"/>
      <c r="T2" s="98"/>
    </row>
    <row r="4" spans="1:23" x14ac:dyDescent="0.3">
      <c r="B4" s="99" t="s">
        <v>695</v>
      </c>
      <c r="C4" s="99"/>
      <c r="E4" s="99" t="s">
        <v>696</v>
      </c>
      <c r="F4" s="99"/>
      <c r="G4" s="99"/>
      <c r="H4" s="99"/>
      <c r="I4" s="99"/>
    </row>
    <row r="5" spans="1:23" x14ac:dyDescent="0.3">
      <c r="B5" t="s">
        <v>697</v>
      </c>
      <c r="C5" s="100" t="s">
        <v>197</v>
      </c>
      <c r="E5" t="s">
        <v>699</v>
      </c>
      <c r="F5" s="101" t="s">
        <v>187</v>
      </c>
      <c r="H5" t="s">
        <v>700</v>
      </c>
      <c r="I5" s="102">
        <v>4</v>
      </c>
    </row>
    <row r="6" spans="1:23" x14ac:dyDescent="0.3">
      <c r="B6" t="s">
        <v>701</v>
      </c>
      <c r="C6" s="100" t="s">
        <v>725</v>
      </c>
      <c r="E6" t="s">
        <v>703</v>
      </c>
      <c r="F6" s="102" t="s">
        <v>704</v>
      </c>
      <c r="H6" t="s">
        <v>703</v>
      </c>
      <c r="I6" s="102" t="s">
        <v>739</v>
      </c>
      <c r="V6" t="s">
        <v>702</v>
      </c>
      <c r="W6" t="s">
        <v>189</v>
      </c>
    </row>
    <row r="7" spans="1:23" x14ac:dyDescent="0.3">
      <c r="B7" t="s">
        <v>706</v>
      </c>
      <c r="C7" s="100">
        <v>-5</v>
      </c>
      <c r="V7" t="s">
        <v>707</v>
      </c>
      <c r="W7" t="s">
        <v>190</v>
      </c>
    </row>
    <row r="8" spans="1:23" x14ac:dyDescent="0.3">
      <c r="B8" t="s">
        <v>708</v>
      </c>
      <c r="C8" s="100">
        <v>0</v>
      </c>
      <c r="E8" t="s">
        <v>709</v>
      </c>
      <c r="F8" s="103">
        <v>18.559999999999999</v>
      </c>
      <c r="V8" s="113" t="s">
        <v>710</v>
      </c>
      <c r="W8" s="113" t="s">
        <v>196</v>
      </c>
    </row>
    <row r="9" spans="1:23" x14ac:dyDescent="0.3">
      <c r="B9" t="s">
        <v>711</v>
      </c>
      <c r="C9" s="100" t="s">
        <v>712</v>
      </c>
      <c r="V9" t="s">
        <v>713</v>
      </c>
      <c r="W9" t="s">
        <v>714</v>
      </c>
    </row>
    <row r="10" spans="1:23" x14ac:dyDescent="0.3">
      <c r="B10" t="s">
        <v>715</v>
      </c>
      <c r="C10" s="100" t="s">
        <v>237</v>
      </c>
      <c r="V10" t="s">
        <v>716</v>
      </c>
      <c r="W10" t="s">
        <v>192</v>
      </c>
    </row>
    <row r="11" spans="1:23" x14ac:dyDescent="0.3">
      <c r="B11" t="s">
        <v>718</v>
      </c>
      <c r="C11" s="104">
        <v>45992</v>
      </c>
      <c r="V11" t="s">
        <v>719</v>
      </c>
      <c r="W11" t="s">
        <v>193</v>
      </c>
    </row>
    <row r="12" spans="1:23" x14ac:dyDescent="0.3">
      <c r="V12" t="s">
        <v>721</v>
      </c>
      <c r="W12" t="s">
        <v>194</v>
      </c>
    </row>
    <row r="13" spans="1:23" x14ac:dyDescent="0.3">
      <c r="A13" t="s">
        <v>1</v>
      </c>
      <c r="B13" s="97" t="s">
        <v>722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V13" t="s">
        <v>723</v>
      </c>
      <c r="W13" t="s">
        <v>195</v>
      </c>
    </row>
    <row r="14" spans="1:23" ht="12.9" x14ac:dyDescent="0.35">
      <c r="B14" s="1" t="s">
        <v>724</v>
      </c>
      <c r="V14" s="113" t="s">
        <v>725</v>
      </c>
      <c r="W14" s="113" t="s">
        <v>197</v>
      </c>
    </row>
    <row r="15" spans="1:23" x14ac:dyDescent="0.3">
      <c r="B15" s="105"/>
      <c r="C15" s="105"/>
      <c r="D15" s="105"/>
      <c r="E15" s="106">
        <v>2019</v>
      </c>
      <c r="F15" s="106">
        <v>2020</v>
      </c>
      <c r="G15" s="106">
        <v>2021</v>
      </c>
      <c r="H15" s="106">
        <v>2022</v>
      </c>
      <c r="I15" s="106">
        <v>2023</v>
      </c>
      <c r="J15" s="106" t="s">
        <v>187</v>
      </c>
      <c r="L15" s="107" t="s">
        <v>188</v>
      </c>
    </row>
    <row r="16" spans="1:23" ht="12.65" customHeight="1" x14ac:dyDescent="0.3">
      <c r="B16" t="s">
        <v>57</v>
      </c>
      <c r="E16" s="108">
        <v>2093.5770000000002</v>
      </c>
      <c r="F16" s="109">
        <v>1585.105</v>
      </c>
      <c r="G16" s="109">
        <v>1874.5830000000001</v>
      </c>
      <c r="H16" s="109">
        <v>2361.627</v>
      </c>
      <c r="I16" s="109">
        <v>2871.3119999999999</v>
      </c>
      <c r="J16" s="109">
        <v>2655.9459999999999</v>
      </c>
      <c r="L16" s="108">
        <v>2523.7570000000001</v>
      </c>
      <c r="Q16" s="108"/>
    </row>
    <row r="17" spans="2:17" ht="12.65" customHeight="1" x14ac:dyDescent="0.3">
      <c r="B17" t="s">
        <v>727</v>
      </c>
      <c r="E17" s="108">
        <v>1758.1959999999999</v>
      </c>
      <c r="F17" s="108">
        <v>1345.702</v>
      </c>
      <c r="G17" s="108">
        <v>1565.931</v>
      </c>
      <c r="H17" s="108">
        <v>2058.598</v>
      </c>
      <c r="I17" s="108">
        <v>2397.1550000000002</v>
      </c>
      <c r="J17" s="108">
        <v>2171.643</v>
      </c>
      <c r="L17" s="108">
        <v>2080.0929999999998</v>
      </c>
      <c r="Q17" s="108"/>
    </row>
    <row r="18" spans="2:17" ht="12.65" customHeight="1" x14ac:dyDescent="0.3">
      <c r="B18" t="s">
        <v>64</v>
      </c>
      <c r="E18" s="108">
        <v>191.76599999999999</v>
      </c>
      <c r="F18" s="108">
        <v>137.21299999999999</v>
      </c>
      <c r="G18" s="108">
        <v>177.191</v>
      </c>
      <c r="H18" s="108">
        <v>139.958</v>
      </c>
      <c r="I18" s="108">
        <v>274.41800000000001</v>
      </c>
      <c r="J18" s="108">
        <v>275.63</v>
      </c>
      <c r="L18" s="108">
        <v>217.40100000000001</v>
      </c>
      <c r="Q18" s="108"/>
    </row>
    <row r="19" spans="2:17" ht="12.65" customHeight="1" x14ac:dyDescent="0.3">
      <c r="B19" t="s">
        <v>728</v>
      </c>
      <c r="E19" s="108">
        <v>46.613</v>
      </c>
      <c r="F19" s="108">
        <v>50.741</v>
      </c>
      <c r="G19" s="108">
        <v>53.790999999999997</v>
      </c>
      <c r="H19" s="108">
        <v>54.911000000000001</v>
      </c>
      <c r="I19" s="108">
        <v>60.744</v>
      </c>
      <c r="J19" s="108">
        <v>79.147000000000006</v>
      </c>
      <c r="L19" s="108">
        <v>81.349000000000004</v>
      </c>
      <c r="Q19" s="108"/>
    </row>
    <row r="20" spans="2:17" ht="12.65" customHeight="1" x14ac:dyDescent="0.3">
      <c r="B20" t="s">
        <v>67</v>
      </c>
      <c r="E20" s="108">
        <v>145.15299999999999</v>
      </c>
      <c r="F20" s="108">
        <v>86.471999999999994</v>
      </c>
      <c r="G20" s="108">
        <v>123.4</v>
      </c>
      <c r="H20" s="108">
        <v>85.046999999999997</v>
      </c>
      <c r="I20" s="108">
        <v>213.67400000000001</v>
      </c>
      <c r="J20" s="108">
        <v>196.483</v>
      </c>
      <c r="L20" s="108">
        <v>136.05199999999999</v>
      </c>
      <c r="Q20" s="108"/>
    </row>
    <row r="21" spans="2:17" ht="12.65" customHeight="1" x14ac:dyDescent="0.3">
      <c r="B21" t="s">
        <v>729</v>
      </c>
      <c r="E21" s="108">
        <v>10.327</v>
      </c>
      <c r="F21" s="108">
        <v>9.9689999999999994</v>
      </c>
      <c r="G21" s="108">
        <v>8.593</v>
      </c>
      <c r="H21" s="108">
        <v>9.9350000000000005</v>
      </c>
      <c r="I21" s="108">
        <v>19.669</v>
      </c>
      <c r="J21" s="108">
        <v>27.823</v>
      </c>
      <c r="L21" s="108">
        <v>131.23099999999999</v>
      </c>
      <c r="Q21" s="108"/>
    </row>
    <row r="22" spans="2:17" ht="12.65" customHeight="1" x14ac:dyDescent="0.3">
      <c r="B22" t="s">
        <v>70</v>
      </c>
      <c r="E22" s="108">
        <v>44.981000000000002</v>
      </c>
      <c r="F22" s="108">
        <v>24.850999999999999</v>
      </c>
      <c r="G22" s="108">
        <v>29.178999999999998</v>
      </c>
      <c r="H22" s="108">
        <v>24.95</v>
      </c>
      <c r="I22" s="108">
        <v>50.6</v>
      </c>
      <c r="J22" s="108">
        <v>50.817999999999998</v>
      </c>
      <c r="L22" s="108">
        <v>38.445999999999998</v>
      </c>
      <c r="Q22" s="108"/>
    </row>
    <row r="23" spans="2:17" ht="12.65" customHeight="1" x14ac:dyDescent="0.3">
      <c r="B23" t="s">
        <v>131</v>
      </c>
      <c r="E23" s="108">
        <v>95.625</v>
      </c>
      <c r="F23" s="108">
        <v>39.582999999999998</v>
      </c>
      <c r="G23" s="108">
        <v>86.757000000000005</v>
      </c>
      <c r="H23" s="108">
        <v>54.725000000000001</v>
      </c>
      <c r="I23" s="108">
        <v>143.39099999999999</v>
      </c>
      <c r="J23" s="108">
        <v>121.877</v>
      </c>
      <c r="L23" s="108">
        <v>72.792000000000002</v>
      </c>
      <c r="Q23" s="108"/>
    </row>
    <row r="24" spans="2:17" ht="12.65" customHeight="1" x14ac:dyDescent="0.3">
      <c r="E24" s="108"/>
      <c r="F24" s="108"/>
      <c r="G24" s="108"/>
      <c r="H24" s="108"/>
      <c r="I24" s="108"/>
      <c r="J24" s="108"/>
      <c r="L24" s="108"/>
      <c r="Q24" s="108"/>
    </row>
    <row r="25" spans="2:17" ht="12.65" customHeight="1" x14ac:dyDescent="0.3">
      <c r="B25" t="s">
        <v>183</v>
      </c>
      <c r="E25" s="108">
        <v>-1.706</v>
      </c>
      <c r="F25" s="108">
        <v>189.80500000000001</v>
      </c>
      <c r="G25" s="108">
        <v>98.456000000000003</v>
      </c>
      <c r="H25" s="108">
        <v>-177.15899999999999</v>
      </c>
      <c r="I25" s="108">
        <v>-125.235</v>
      </c>
      <c r="J25" s="108">
        <v>167.83600000000001</v>
      </c>
      <c r="L25" s="108">
        <v>55.744999999999997</v>
      </c>
      <c r="Q25" s="108"/>
    </row>
    <row r="26" spans="2:17" ht="12.65" customHeight="1" x14ac:dyDescent="0.3">
      <c r="E26" s="108"/>
      <c r="F26" s="108"/>
      <c r="G26" s="108"/>
      <c r="H26" s="108"/>
      <c r="I26" s="108"/>
      <c r="J26" s="108"/>
      <c r="L26" s="108"/>
      <c r="Q26" s="108"/>
    </row>
    <row r="27" spans="2:17" ht="12.65" customHeight="1" x14ac:dyDescent="0.3">
      <c r="B27" t="s">
        <v>730</v>
      </c>
      <c r="E27" s="108">
        <v>22.834</v>
      </c>
      <c r="F27" s="108">
        <v>122.589</v>
      </c>
      <c r="G27" s="108">
        <v>196.82499999999999</v>
      </c>
      <c r="H27" s="108">
        <v>67.948999999999998</v>
      </c>
      <c r="I27" s="108">
        <v>62.165999999999997</v>
      </c>
      <c r="J27" s="108">
        <v>48.341000000000001</v>
      </c>
      <c r="L27" s="108">
        <v>53.723999999999997</v>
      </c>
      <c r="Q27" s="108"/>
    </row>
    <row r="28" spans="2:17" ht="12.65" customHeight="1" x14ac:dyDescent="0.3">
      <c r="B28" t="s">
        <v>731</v>
      </c>
      <c r="E28" s="108">
        <v>589.745</v>
      </c>
      <c r="F28" s="108">
        <v>454.76600000000002</v>
      </c>
      <c r="G28" s="108">
        <v>537.96400000000006</v>
      </c>
      <c r="H28" s="108">
        <v>725.68600000000004</v>
      </c>
      <c r="I28" s="108">
        <v>889.45799999999997</v>
      </c>
      <c r="J28" s="108">
        <v>876.70899999999995</v>
      </c>
      <c r="L28" s="108">
        <v>760.71299999999997</v>
      </c>
      <c r="Q28" s="108"/>
    </row>
    <row r="29" spans="2:17" ht="12.65" customHeight="1" x14ac:dyDescent="0.3">
      <c r="B29" t="s">
        <v>124</v>
      </c>
      <c r="E29" s="108">
        <v>1048.0429999999999</v>
      </c>
      <c r="F29" s="108">
        <v>933.65599999999995</v>
      </c>
      <c r="G29" s="108">
        <v>1144.836</v>
      </c>
      <c r="H29" s="108">
        <v>1367.3789999999999</v>
      </c>
      <c r="I29" s="108">
        <v>1695.971</v>
      </c>
      <c r="J29" s="108">
        <v>1506.7449999999999</v>
      </c>
      <c r="L29" s="108">
        <v>1402.3810000000001</v>
      </c>
      <c r="Q29" s="108"/>
    </row>
    <row r="30" spans="2:17" ht="12.65" customHeight="1" x14ac:dyDescent="0.3">
      <c r="B30" t="s">
        <v>144</v>
      </c>
      <c r="E30" s="108">
        <v>504.399</v>
      </c>
      <c r="F30" s="108">
        <v>395.73</v>
      </c>
      <c r="G30" s="108">
        <v>554.95699999999999</v>
      </c>
      <c r="H30" s="108">
        <v>772.26499999999999</v>
      </c>
      <c r="I30" s="108">
        <v>1043.075</v>
      </c>
      <c r="J30" s="108">
        <v>884.48400000000004</v>
      </c>
      <c r="L30" s="108">
        <v>856.60400000000004</v>
      </c>
      <c r="Q30" s="108"/>
    </row>
    <row r="31" spans="2:17" ht="12.65" customHeight="1" x14ac:dyDescent="0.3">
      <c r="B31" t="s">
        <v>732</v>
      </c>
      <c r="E31" s="108">
        <v>232.31899999999999</v>
      </c>
      <c r="F31" s="108">
        <v>179.375</v>
      </c>
      <c r="G31" s="108">
        <v>199.84800000000001</v>
      </c>
      <c r="H31" s="108">
        <v>302.36</v>
      </c>
      <c r="I31" s="108">
        <v>474.94600000000003</v>
      </c>
      <c r="J31" s="108">
        <v>446.83800000000002</v>
      </c>
      <c r="L31" s="108">
        <v>390.91500000000002</v>
      </c>
      <c r="Q31" s="108"/>
    </row>
    <row r="32" spans="2:17" ht="12.65" customHeight="1" x14ac:dyDescent="0.3">
      <c r="B32" t="s">
        <v>733</v>
      </c>
      <c r="E32" s="108">
        <v>658.83100000000002</v>
      </c>
      <c r="F32" s="108">
        <v>663.16700000000003</v>
      </c>
      <c r="G32" s="108">
        <v>750.24400000000003</v>
      </c>
      <c r="H32" s="108">
        <v>790.82100000000003</v>
      </c>
      <c r="I32" s="108">
        <v>894.755</v>
      </c>
      <c r="J32" s="108">
        <v>975.63900000000001</v>
      </c>
      <c r="L32" s="108">
        <v>935.32100000000003</v>
      </c>
      <c r="Q32" s="108"/>
    </row>
    <row r="33" spans="2:24" ht="12.65" customHeight="1" x14ac:dyDescent="0.3">
      <c r="E33" s="108"/>
      <c r="F33" s="108"/>
      <c r="G33" s="108"/>
      <c r="H33" s="108"/>
      <c r="I33" s="108"/>
      <c r="J33" s="108"/>
      <c r="L33" s="108"/>
      <c r="Q33" s="108"/>
    </row>
    <row r="34" spans="2:24" ht="12.65" customHeight="1" x14ac:dyDescent="0.3">
      <c r="B34" t="s">
        <v>734</v>
      </c>
      <c r="E34" s="108">
        <v>38.273423000000001</v>
      </c>
      <c r="F34" s="108">
        <v>38.271375999999997</v>
      </c>
      <c r="G34" s="108">
        <v>38.267204999999997</v>
      </c>
      <c r="H34" s="108">
        <v>38.269179999999999</v>
      </c>
      <c r="I34" s="108">
        <v>38.266964999999999</v>
      </c>
      <c r="J34" s="108">
        <v>38.265979999999999</v>
      </c>
      <c r="L34" s="108">
        <v>38.267586000000001</v>
      </c>
      <c r="Q34" s="108"/>
    </row>
    <row r="35" spans="2:24" ht="12.65" customHeight="1" x14ac:dyDescent="0.3">
      <c r="E35" s="108"/>
      <c r="F35" s="108"/>
      <c r="G35" s="108"/>
      <c r="H35" s="108"/>
      <c r="I35" s="108"/>
      <c r="J35" s="108"/>
      <c r="L35" s="108"/>
      <c r="Q35" s="108"/>
    </row>
    <row r="36" spans="2:24" ht="12.65" customHeight="1" x14ac:dyDescent="0.3">
      <c r="E36" s="108"/>
      <c r="F36" s="108"/>
      <c r="G36" s="108"/>
      <c r="H36" s="108"/>
      <c r="I36" s="108"/>
      <c r="J36" s="108"/>
      <c r="L36" s="108"/>
      <c r="Q36" s="108"/>
    </row>
    <row r="38" spans="2:24" ht="12.9" x14ac:dyDescent="0.35">
      <c r="B38" s="1" t="s">
        <v>735</v>
      </c>
    </row>
    <row r="41" spans="2:24" x14ac:dyDescent="0.3">
      <c r="X41" s="110"/>
    </row>
    <row r="42" spans="2:24" ht="12.65" customHeight="1" x14ac:dyDescent="0.3">
      <c r="N42" s="111"/>
    </row>
    <row r="43" spans="2:24" x14ac:dyDescent="0.3">
      <c r="C43" s="112"/>
    </row>
    <row r="50" spans="1:11" ht="17.600000000000001" x14ac:dyDescent="0.4">
      <c r="A50" t="s">
        <v>1</v>
      </c>
      <c r="B50" s="2" t="s">
        <v>163</v>
      </c>
      <c r="C50" s="2"/>
      <c r="D50" s="2"/>
      <c r="E50" s="2"/>
      <c r="F50" s="2"/>
      <c r="G50" s="2"/>
      <c r="H50" s="2"/>
      <c r="I50" s="2"/>
      <c r="J50" s="2"/>
      <c r="K50" s="2"/>
    </row>
    <row r="52" spans="1:11" x14ac:dyDescent="0.3">
      <c r="B52" s="31" t="s">
        <v>93</v>
      </c>
      <c r="C52" s="31"/>
      <c r="D52" s="31"/>
      <c r="E52" s="213">
        <v>2019</v>
      </c>
      <c r="F52" s="213">
        <v>2020</v>
      </c>
      <c r="G52" s="213">
        <v>2021</v>
      </c>
      <c r="H52" s="213">
        <v>2022</v>
      </c>
      <c r="I52" s="213">
        <v>2023</v>
      </c>
      <c r="J52" s="213" t="s">
        <v>187</v>
      </c>
      <c r="K52" s="213" t="s">
        <v>188</v>
      </c>
    </row>
    <row r="54" spans="1:11" x14ac:dyDescent="0.3">
      <c r="B54" s="32" t="s">
        <v>164</v>
      </c>
      <c r="C54" s="32"/>
      <c r="D54" s="32"/>
      <c r="E54" s="32"/>
      <c r="F54" s="32"/>
      <c r="G54" s="32"/>
      <c r="H54" s="32"/>
      <c r="I54" s="32"/>
      <c r="J54" s="32"/>
      <c r="K54" s="32"/>
    </row>
    <row r="55" spans="1:11" x14ac:dyDescent="0.3">
      <c r="B55" s="37" t="s">
        <v>165</v>
      </c>
      <c r="E55" s="114">
        <f t="shared" ref="E55:J55" si="0">IFERROR((E16-E17)/E16,"-")</f>
        <v>0.16019520657706895</v>
      </c>
      <c r="F55" s="114">
        <f t="shared" si="0"/>
        <v>0.15103289687433957</v>
      </c>
      <c r="G55" s="114">
        <f t="shared" si="0"/>
        <v>0.16465101838648918</v>
      </c>
      <c r="H55" s="114">
        <f t="shared" si="0"/>
        <v>0.12831365833808642</v>
      </c>
      <c r="I55" s="114">
        <f t="shared" si="0"/>
        <v>0.16513600751154864</v>
      </c>
      <c r="J55" s="114">
        <f t="shared" si="0"/>
        <v>0.18234670433811526</v>
      </c>
      <c r="K55" s="114">
        <f>IFERROR((L16-L17)/L16,"-")</f>
        <v>0.17579505475368676</v>
      </c>
    </row>
    <row r="56" spans="1:11" x14ac:dyDescent="0.3">
      <c r="B56" s="37" t="s">
        <v>121</v>
      </c>
      <c r="E56" s="114">
        <f t="shared" ref="E56:J56" si="1">IFERROR(E18/E16,"-")</f>
        <v>9.1597299741065161E-2</v>
      </c>
      <c r="F56" s="114">
        <f t="shared" si="1"/>
        <v>8.6563981565889958E-2</v>
      </c>
      <c r="G56" s="114">
        <f t="shared" si="1"/>
        <v>9.4522888557081755E-2</v>
      </c>
      <c r="H56" s="114">
        <f t="shared" si="1"/>
        <v>5.9263380711687325E-2</v>
      </c>
      <c r="I56" s="114">
        <f t="shared" si="1"/>
        <v>9.5572337663061349E-2</v>
      </c>
      <c r="J56" s="114">
        <f t="shared" si="1"/>
        <v>0.10377846537542555</v>
      </c>
      <c r="K56" s="114">
        <f>IFERROR(L18/L16,"-")</f>
        <v>8.6141811592795978E-2</v>
      </c>
    </row>
    <row r="57" spans="1:11" x14ac:dyDescent="0.3">
      <c r="B57" s="37" t="s">
        <v>166</v>
      </c>
      <c r="E57" s="114">
        <f t="shared" ref="E57:J57" si="2">IFERROR(E20/E16,"-")</f>
        <v>6.9332534700180595E-2</v>
      </c>
      <c r="F57" s="114">
        <f t="shared" si="2"/>
        <v>5.4552852965576409E-2</v>
      </c>
      <c r="G57" s="114">
        <f t="shared" si="2"/>
        <v>6.5827973474634094E-2</v>
      </c>
      <c r="H57" s="114">
        <f t="shared" si="2"/>
        <v>3.6012037464002569E-2</v>
      </c>
      <c r="I57" s="114">
        <f t="shared" si="2"/>
        <v>7.441685194782037E-2</v>
      </c>
      <c r="J57" s="114">
        <f t="shared" si="2"/>
        <v>7.3978537214235529E-2</v>
      </c>
      <c r="K57" s="114">
        <f>IFERROR(L20/L16,"-")</f>
        <v>5.3908518133877384E-2</v>
      </c>
    </row>
    <row r="58" spans="1:11" x14ac:dyDescent="0.3">
      <c r="B58" s="37" t="s">
        <v>167</v>
      </c>
      <c r="E58" s="115">
        <f t="shared" ref="E58:J58" si="3">IFERROR(E23/E16,"-")</f>
        <v>4.5675415807491196E-2</v>
      </c>
      <c r="F58" s="115">
        <f t="shared" si="3"/>
        <v>2.4971847290873473E-2</v>
      </c>
      <c r="G58" s="115">
        <f t="shared" si="3"/>
        <v>4.6280692826084519E-2</v>
      </c>
      <c r="H58" s="115">
        <f t="shared" si="3"/>
        <v>2.317258398553201E-2</v>
      </c>
      <c r="I58" s="115">
        <f t="shared" si="3"/>
        <v>4.9939191561209649E-2</v>
      </c>
      <c r="J58" s="115">
        <f t="shared" si="3"/>
        <v>4.5888357669922504E-2</v>
      </c>
      <c r="K58" s="115">
        <f>IFERROR(L23/L16,"-")</f>
        <v>2.8842713462508475E-2</v>
      </c>
    </row>
    <row r="59" spans="1:11" x14ac:dyDescent="0.3">
      <c r="E59" s="116"/>
      <c r="F59" s="116"/>
      <c r="G59" s="116"/>
      <c r="H59" s="116"/>
      <c r="I59" s="116"/>
      <c r="J59" s="116"/>
      <c r="K59" s="116"/>
    </row>
    <row r="60" spans="1:11" x14ac:dyDescent="0.3">
      <c r="B60" s="32" t="s">
        <v>168</v>
      </c>
      <c r="C60" s="32"/>
      <c r="D60" s="32"/>
      <c r="E60" s="117"/>
      <c r="F60" s="117"/>
      <c r="G60" s="117"/>
      <c r="H60" s="117"/>
      <c r="I60" s="117"/>
      <c r="J60" s="117"/>
      <c r="K60" s="117"/>
    </row>
    <row r="61" spans="1:11" x14ac:dyDescent="0.3">
      <c r="B61" s="37" t="s">
        <v>169</v>
      </c>
      <c r="E61" s="114">
        <f t="shared" ref="E61:J61" si="4">IFERROR(E29/E30,"-")</f>
        <v>2.0778054674969617</v>
      </c>
      <c r="F61" s="114">
        <f t="shared" si="4"/>
        <v>2.359325802946453</v>
      </c>
      <c r="G61" s="114">
        <f t="shared" si="4"/>
        <v>2.0629273979785823</v>
      </c>
      <c r="H61" s="114">
        <f t="shared" si="4"/>
        <v>1.7706085346351317</v>
      </c>
      <c r="I61" s="114">
        <f t="shared" si="4"/>
        <v>1.6259338973707547</v>
      </c>
      <c r="J61" s="114">
        <f t="shared" si="4"/>
        <v>1.7035299677552107</v>
      </c>
      <c r="K61" s="114">
        <f>IFERROR(L29/L30,"-")</f>
        <v>1.6371403822536434</v>
      </c>
    </row>
    <row r="62" spans="1:11" x14ac:dyDescent="0.3">
      <c r="B62" s="37" t="s">
        <v>170</v>
      </c>
      <c r="E62" s="114">
        <f t="shared" ref="E62:J62" si="5">IFERROR((E29-E28)/E30,"-")</f>
        <v>0.90860211856090101</v>
      </c>
      <c r="F62" s="114">
        <f t="shared" si="5"/>
        <v>1.2101432795087557</v>
      </c>
      <c r="G62" s="114">
        <f t="shared" si="5"/>
        <v>1.0935477883872082</v>
      </c>
      <c r="H62" s="114">
        <f t="shared" si="5"/>
        <v>0.83092332295261329</v>
      </c>
      <c r="I62" s="114">
        <f t="shared" si="5"/>
        <v>0.77320710399539827</v>
      </c>
      <c r="J62" s="114">
        <f t="shared" si="5"/>
        <v>0.71232040376083672</v>
      </c>
      <c r="K62" s="114">
        <f>IFERROR((L29-L28)/L30,"-")</f>
        <v>0.74908359055059293</v>
      </c>
    </row>
    <row r="63" spans="1:11" x14ac:dyDescent="0.3">
      <c r="B63" s="37" t="s">
        <v>171</v>
      </c>
      <c r="E63" s="114">
        <f t="shared" ref="E63:J63" si="6">IFERROR(E27/E30,"-")</f>
        <v>4.526971702957381E-2</v>
      </c>
      <c r="F63" s="114">
        <f t="shared" si="6"/>
        <v>0.30977939504207413</v>
      </c>
      <c r="G63" s="114">
        <f t="shared" si="6"/>
        <v>0.35466711835331383</v>
      </c>
      <c r="H63" s="114">
        <f t="shared" si="6"/>
        <v>8.7986636711491525E-2</v>
      </c>
      <c r="I63" s="114">
        <f t="shared" si="6"/>
        <v>5.9598782446132821E-2</v>
      </c>
      <c r="J63" s="114">
        <f t="shared" si="6"/>
        <v>5.4654465202310043E-2</v>
      </c>
      <c r="K63" s="114">
        <f>IFERROR(L27/L30,"-")</f>
        <v>6.2717428356626859E-2</v>
      </c>
    </row>
    <row r="64" spans="1:11" x14ac:dyDescent="0.3">
      <c r="E64" s="116"/>
      <c r="F64" s="116"/>
      <c r="G64" s="116"/>
      <c r="H64" s="116"/>
      <c r="I64" s="116"/>
      <c r="J64" s="116"/>
      <c r="K64" s="116"/>
    </row>
    <row r="65" spans="2:11" x14ac:dyDescent="0.3">
      <c r="B65" s="32" t="s">
        <v>172</v>
      </c>
      <c r="C65" s="32"/>
      <c r="D65" s="32"/>
      <c r="E65" s="117"/>
      <c r="F65" s="117"/>
      <c r="G65" s="117"/>
      <c r="H65" s="117"/>
      <c r="I65" s="117"/>
      <c r="J65" s="117"/>
      <c r="K65" s="117"/>
    </row>
    <row r="66" spans="2:11" x14ac:dyDescent="0.3">
      <c r="B66" s="37" t="s">
        <v>173</v>
      </c>
      <c r="E66" s="118">
        <f t="shared" ref="E66:J66" si="7">IFERROR(E31/E32,"-")</f>
        <v>0.35262305507785757</v>
      </c>
      <c r="F66" s="118">
        <f t="shared" si="7"/>
        <v>0.27048239734486185</v>
      </c>
      <c r="G66" s="118">
        <f t="shared" si="7"/>
        <v>0.26637733857251777</v>
      </c>
      <c r="H66" s="118">
        <f t="shared" si="7"/>
        <v>0.38233683728681966</v>
      </c>
      <c r="I66" s="118">
        <f t="shared" si="7"/>
        <v>0.53081122765449762</v>
      </c>
      <c r="J66" s="118">
        <f t="shared" si="7"/>
        <v>0.45799522159323275</v>
      </c>
      <c r="K66" s="118">
        <f>IFERROR(L31/L32,"-")</f>
        <v>0.41794742125965312</v>
      </c>
    </row>
    <row r="67" spans="2:11" x14ac:dyDescent="0.3">
      <c r="B67" s="37" t="s">
        <v>174</v>
      </c>
      <c r="E67" s="119">
        <f t="shared" ref="E67:J67" si="8">IFERROR(E31-E27,"-")</f>
        <v>209.48499999999999</v>
      </c>
      <c r="F67" s="119">
        <f t="shared" si="8"/>
        <v>56.786000000000001</v>
      </c>
      <c r="G67" s="119">
        <f t="shared" si="8"/>
        <v>3.0230000000000246</v>
      </c>
      <c r="H67" s="119">
        <f t="shared" si="8"/>
        <v>234.411</v>
      </c>
      <c r="I67" s="119">
        <f t="shared" si="8"/>
        <v>412.78000000000003</v>
      </c>
      <c r="J67" s="119">
        <f t="shared" si="8"/>
        <v>398.49700000000001</v>
      </c>
      <c r="K67" s="119">
        <f>IFERROR(L31-L27,"-")</f>
        <v>337.19100000000003</v>
      </c>
    </row>
    <row r="68" spans="2:11" x14ac:dyDescent="0.3">
      <c r="B68" s="37" t="s">
        <v>175</v>
      </c>
      <c r="E68" s="118">
        <f t="shared" ref="E68:J68" si="9">IFERROR(E67/E18,"-")</f>
        <v>1.0923990696995296</v>
      </c>
      <c r="F68" s="118">
        <f t="shared" si="9"/>
        <v>0.41385291481127884</v>
      </c>
      <c r="G68" s="118">
        <f t="shared" si="9"/>
        <v>1.7060685926486248E-2</v>
      </c>
      <c r="H68" s="118">
        <f t="shared" si="9"/>
        <v>1.6748667457380071</v>
      </c>
      <c r="I68" s="118">
        <f t="shared" si="9"/>
        <v>1.5042016194272971</v>
      </c>
      <c r="J68" s="118">
        <f t="shared" si="9"/>
        <v>1.4457678772267171</v>
      </c>
      <c r="K68" s="118">
        <f>IFERROR(K67/L18,"-")</f>
        <v>1.551009424979646</v>
      </c>
    </row>
    <row r="69" spans="2:11" x14ac:dyDescent="0.3">
      <c r="E69" s="116"/>
      <c r="F69" s="116"/>
      <c r="G69" s="116"/>
      <c r="H69" s="116"/>
      <c r="I69" s="116"/>
      <c r="J69" s="116"/>
      <c r="K69" s="116"/>
    </row>
    <row r="70" spans="2:11" x14ac:dyDescent="0.3">
      <c r="B70" s="32" t="s">
        <v>178</v>
      </c>
      <c r="C70" s="32"/>
      <c r="D70" s="32"/>
      <c r="E70" s="117"/>
      <c r="F70" s="117"/>
      <c r="G70" s="117"/>
      <c r="H70" s="117"/>
      <c r="I70" s="117"/>
      <c r="J70" s="117"/>
      <c r="K70" s="117"/>
    </row>
    <row r="71" spans="2:11" x14ac:dyDescent="0.3">
      <c r="B71" s="37" t="s">
        <v>179</v>
      </c>
      <c r="E71" s="118">
        <f t="shared" ref="E71:J71" si="10">IFERROR(E20/E21,"-")</f>
        <v>14.055679287305122</v>
      </c>
      <c r="F71" s="118">
        <f t="shared" si="10"/>
        <v>8.6740896780018062</v>
      </c>
      <c r="G71" s="118">
        <f t="shared" si="10"/>
        <v>14.360526009542651</v>
      </c>
      <c r="H71" s="118">
        <f t="shared" si="10"/>
        <v>8.5603422244589833</v>
      </c>
      <c r="I71" s="118">
        <f t="shared" si="10"/>
        <v>10.863490772281255</v>
      </c>
      <c r="J71" s="118">
        <f t="shared" si="10"/>
        <v>7.0618912410595547</v>
      </c>
      <c r="K71" s="118">
        <f>IFERROR(L20/L21,"-")</f>
        <v>1.0367367466528488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64065892"><![CDATA[{"F-US^FG_PRICE(45962,,,EUR)":11.375845,"GM-US^FG_PRICE(45962,,,EUR)":59.85964,"7267-JP^FG_PRICE(45962,,,EUR)":8.7733965,"7203-JP^FG_PRICE(45962,,,EUR)":17.648024,"MBG-DE^FG_PRICE(45962,,,EUR)":56.21,"BMW-DE^FG_PRICE(45962,,,EUR)":80.72,"VOW-DE^FG_PRICE(45962,,,EUR)":91.35,"7201-JP^FG_PRICE(45962,,,EUR)":1.9880741,"STLAM-IT^FG_PRICE(45962,,,EUR)":8.778}]]></FdsFormulaCache>
</file>

<file path=customXml/itemProps1.xml><?xml version="1.0" encoding="utf-8"?>
<ds:datastoreItem xmlns:ds="http://schemas.openxmlformats.org/officeDocument/2006/customXml" ds:itemID="{62506CA8-ED64-42B2-86B1-AB74594A4013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Assignment Manager</vt:lpstr>
      <vt:lpstr>Cover</vt:lpstr>
      <vt:lpstr>Recapitalization</vt:lpstr>
      <vt:lpstr>Peer Analysis</vt:lpstr>
      <vt:lpstr>Financials</vt:lpstr>
      <vt:lpstr>BS</vt:lpstr>
      <vt:lpstr>IS</vt:lpstr>
      <vt:lpstr>CF</vt:lpstr>
      <vt:lpstr>Peer Group&gt;&gt;&gt;</vt:lpstr>
      <vt:lpstr>Honeywell_International</vt:lpstr>
      <vt:lpstr>Daifuku</vt:lpstr>
      <vt:lpstr>Hyster_Yale</vt:lpstr>
      <vt:lpstr>Mitsubishi_Logisnext</vt:lpstr>
      <vt:lpstr>Toyota_Industries</vt:lpstr>
      <vt:lpstr>Symbotic</vt:lpstr>
      <vt:lpstr>KENGIC</vt:lpstr>
      <vt:lpstr>Jungheinrich</vt:lpstr>
      <vt:lpstr>Manitou_BF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Theodor Hogan</dc:creator>
  <cp:keywords/>
  <dc:description/>
  <cp:lastModifiedBy>Theodor Hogan</cp:lastModifiedBy>
  <cp:revision/>
  <dcterms:created xsi:type="dcterms:W3CDTF">2025-11-20T17:00:41Z</dcterms:created>
  <dcterms:modified xsi:type="dcterms:W3CDTF">2025-12-20T16:48:01Z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</Properties>
</file>