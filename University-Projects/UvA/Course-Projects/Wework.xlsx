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"/>
    </mc:Choice>
  </mc:AlternateContent>
  <xr:revisionPtr revIDLastSave="181" documentId="8_{FBD7CF5C-2686-4113-8DF7-CAD6CECCEA05}" xr6:coauthVersionLast="47" xr6:coauthVersionMax="47" xr10:uidLastSave="{AA98C886-6B2C-405D-9F8E-D14C4084F159}"/>
  <bookViews>
    <workbookView xWindow="-96" yWindow="-96" windowWidth="23232" windowHeight="12432" xr2:uid="{18F37B8F-F7E5-4483-A13A-399D6ACEE0FC}"/>
  </bookViews>
  <sheets>
    <sheet name="Sheet1" sheetId="1" r:id="rId1"/>
    <sheet name="WACC" sheetId="3" r:id="rId2"/>
    <sheet name="Model" sheetId="2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5" i="1" l="1"/>
  <c r="V25" i="1" s="1"/>
  <c r="U19" i="1"/>
  <c r="V19" i="1" s="1"/>
  <c r="U16" i="1"/>
  <c r="V16" i="1" s="1"/>
  <c r="U13" i="1"/>
  <c r="V13" i="1" s="1"/>
  <c r="U11" i="1"/>
  <c r="V11" i="1" s="1"/>
  <c r="U10" i="1"/>
  <c r="V10" i="1" s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T25" i="1"/>
  <c r="T19" i="1"/>
  <c r="T16" i="1"/>
  <c r="T13" i="1"/>
  <c r="T11" i="1"/>
  <c r="T10" i="1"/>
  <c r="F25" i="1"/>
  <c r="P2" i="2"/>
  <c r="Q2" i="2" s="1"/>
  <c r="K2" i="2"/>
  <c r="L2" i="2" s="1"/>
  <c r="M2" i="2" s="1"/>
  <c r="N2" i="2" s="1"/>
  <c r="O2" i="2" s="1"/>
  <c r="J2" i="2"/>
  <c r="E19" i="1"/>
  <c r="F19" i="1" s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E10" i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F16" i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E12" i="1"/>
  <c r="D21" i="1"/>
  <c r="D25" i="1" s="1"/>
  <c r="E11" i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E15" i="1" l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E18" i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F13" i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D22" i="1"/>
  <c r="G25" i="1"/>
  <c r="E21" i="1" l="1"/>
  <c r="E24" i="1" s="1"/>
  <c r="E28" i="1" s="1"/>
  <c r="F12" i="1"/>
  <c r="H25" i="1"/>
  <c r="E22" i="1" l="1"/>
  <c r="G12" i="1"/>
  <c r="F21" i="1"/>
  <c r="I25" i="1"/>
  <c r="F22" i="1" l="1"/>
  <c r="F24" i="1"/>
  <c r="F28" i="1" s="1"/>
  <c r="H12" i="1"/>
  <c r="G21" i="1"/>
  <c r="G22" i="1" l="1"/>
  <c r="G24" i="1"/>
  <c r="G28" i="1" s="1"/>
  <c r="I12" i="1"/>
  <c r="H21" i="1"/>
  <c r="K25" i="1"/>
  <c r="H22" i="1" l="1"/>
  <c r="H24" i="1"/>
  <c r="H28" i="1" s="1"/>
  <c r="J12" i="1"/>
  <c r="I21" i="1"/>
  <c r="L25" i="1"/>
  <c r="I22" i="1" l="1"/>
  <c r="I24" i="1"/>
  <c r="I28" i="1" s="1"/>
  <c r="K12" i="1"/>
  <c r="J21" i="1"/>
  <c r="M25" i="1"/>
  <c r="J22" i="1" l="1"/>
  <c r="J24" i="1"/>
  <c r="J28" i="1" s="1"/>
  <c r="L12" i="1"/>
  <c r="K21" i="1"/>
  <c r="N25" i="1"/>
  <c r="K22" i="1" l="1"/>
  <c r="K24" i="1"/>
  <c r="K28" i="1" s="1"/>
  <c r="M12" i="1"/>
  <c r="L21" i="1"/>
  <c r="O25" i="1"/>
  <c r="L22" i="1" l="1"/>
  <c r="L24" i="1"/>
  <c r="L28" i="1" s="1"/>
  <c r="N12" i="1"/>
  <c r="M21" i="1"/>
  <c r="P25" i="1"/>
  <c r="M22" i="1" l="1"/>
  <c r="M24" i="1"/>
  <c r="M28" i="1" s="1"/>
  <c r="O12" i="1"/>
  <c r="N21" i="1"/>
  <c r="Q25" i="1"/>
  <c r="N22" i="1" l="1"/>
  <c r="N24" i="1"/>
  <c r="N28" i="1" s="1"/>
  <c r="P12" i="1"/>
  <c r="O21" i="1"/>
  <c r="R25" i="1"/>
  <c r="O22" i="1" l="1"/>
  <c r="O24" i="1"/>
  <c r="O28" i="1" s="1"/>
  <c r="Q12" i="1"/>
  <c r="P21" i="1"/>
  <c r="S25" i="1"/>
  <c r="P22" i="1" l="1"/>
  <c r="P24" i="1"/>
  <c r="P28" i="1" s="1"/>
  <c r="R12" i="1"/>
  <c r="Q21" i="1"/>
  <c r="Q22" i="1" l="1"/>
  <c r="Q24" i="1"/>
  <c r="Q28" i="1" s="1"/>
  <c r="S12" i="1"/>
  <c r="T12" i="1" s="1"/>
  <c r="U12" i="1" s="1"/>
  <c r="R21" i="1"/>
  <c r="U21" i="1" l="1"/>
  <c r="V12" i="1"/>
  <c r="V21" i="1" s="1"/>
  <c r="T21" i="1"/>
  <c r="S21" i="1"/>
  <c r="S24" i="1" s="1"/>
  <c r="S28" i="1" s="1"/>
  <c r="R22" i="1"/>
  <c r="R24" i="1"/>
  <c r="R28" i="1" s="1"/>
  <c r="V24" i="1" l="1"/>
  <c r="V27" i="1" s="1"/>
  <c r="V28" i="1" s="1"/>
  <c r="V22" i="1"/>
  <c r="U27" i="1"/>
  <c r="U28" i="1" s="1"/>
  <c r="U24" i="1"/>
  <c r="U22" i="1"/>
  <c r="T22" i="1"/>
  <c r="T24" i="1"/>
  <c r="T27" i="1" s="1"/>
  <c r="T28" i="1" s="1"/>
  <c r="S22" i="1"/>
  <c r="D30" i="1"/>
</calcChain>
</file>

<file path=xl/sharedStrings.xml><?xml version="1.0" encoding="utf-8"?>
<sst xmlns="http://schemas.openxmlformats.org/spreadsheetml/2006/main" count="42" uniqueCount="38">
  <si>
    <t>Rev</t>
  </si>
  <si>
    <t>Total Expenses</t>
  </si>
  <si>
    <t>Deprecation</t>
  </si>
  <si>
    <t>EBIT</t>
  </si>
  <si>
    <t>Taxes</t>
  </si>
  <si>
    <t>Assumptions</t>
  </si>
  <si>
    <t>Revenue growth rate</t>
  </si>
  <si>
    <t>Expenses growth rate</t>
  </si>
  <si>
    <t>Risk- free rate</t>
  </si>
  <si>
    <t xml:space="preserve">Company </t>
  </si>
  <si>
    <t>Date</t>
  </si>
  <si>
    <t>WeWork</t>
  </si>
  <si>
    <t>% growth</t>
  </si>
  <si>
    <t>% of revenue</t>
  </si>
  <si>
    <t>% of EBIT</t>
  </si>
  <si>
    <t>Revenue</t>
  </si>
  <si>
    <t>COGS</t>
  </si>
  <si>
    <t>Gross Margin</t>
  </si>
  <si>
    <t>WACC</t>
  </si>
  <si>
    <t>Market Cap</t>
  </si>
  <si>
    <t>% of Equity</t>
  </si>
  <si>
    <t>Cost of Equity</t>
  </si>
  <si>
    <t>Risk Free Rate</t>
  </si>
  <si>
    <t>Beta</t>
  </si>
  <si>
    <t>Market Risk Premium</t>
  </si>
  <si>
    <t>Debt</t>
  </si>
  <si>
    <t>% of Debt</t>
  </si>
  <si>
    <t>Cost of Debt</t>
  </si>
  <si>
    <t>Tax Rate</t>
  </si>
  <si>
    <t>Total</t>
  </si>
  <si>
    <t>After Tax WACC</t>
  </si>
  <si>
    <t>Tax</t>
  </si>
  <si>
    <t>PV of FCF</t>
  </si>
  <si>
    <t>NPV</t>
  </si>
  <si>
    <t>NPV Items</t>
  </si>
  <si>
    <t xml:space="preserve">t= </t>
  </si>
  <si>
    <t>in 000s of $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</si>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</sst>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#.0%_);\(#,##0.0%\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21">
    <xf numFmtId="0" fontId="0" fillId="0" borderId="0" xfId="0"/>
    <xf numFmtId="3" fontId="0" fillId="0" borderId="0" xfId="0" applyNumberFormat="1"/>
    <xf numFmtId="9" fontId="0" fillId="0" borderId="0" xfId="0" applyNumberFormat="1"/>
    <xf numFmtId="0" fontId="2" fillId="3" borderId="0" xfId="0" applyFont="1" applyFill="1"/>
    <xf numFmtId="164" fontId="1" fillId="2" borderId="1" xfId="2" applyNumberFormat="1" applyBorder="1" applyAlignment="1">
      <alignment horizontal="center"/>
    </xf>
    <xf numFmtId="9" fontId="1" fillId="2" borderId="1" xfId="2" applyNumberFormat="1" applyBorder="1" applyAlignment="1">
      <alignment horizontal="center"/>
    </xf>
    <xf numFmtId="0" fontId="1" fillId="2" borderId="1" xfId="2" applyBorder="1" applyAlignment="1">
      <alignment horizontal="center"/>
    </xf>
    <xf numFmtId="14" fontId="1" fillId="2" borderId="1" xfId="2" applyNumberFormat="1" applyBorder="1" applyAlignment="1">
      <alignment horizontal="center"/>
    </xf>
    <xf numFmtId="0" fontId="3" fillId="0" borderId="0" xfId="0" applyFont="1"/>
    <xf numFmtId="164" fontId="3" fillId="0" borderId="1" xfId="0" applyNumberFormat="1" applyFont="1" applyBorder="1" applyAlignment="1">
      <alignment horizontal="center"/>
    </xf>
    <xf numFmtId="37" fontId="0" fillId="0" borderId="0" xfId="0" applyNumberFormat="1"/>
    <xf numFmtId="165" fontId="3" fillId="0" borderId="0" xfId="1" applyNumberFormat="1" applyFont="1"/>
    <xf numFmtId="0" fontId="5" fillId="0" borderId="0" xfId="0" applyFont="1"/>
    <xf numFmtId="10" fontId="0" fillId="0" borderId="0" xfId="0" applyNumberFormat="1"/>
    <xf numFmtId="9" fontId="3" fillId="0" borderId="0" xfId="0" applyNumberFormat="1" applyFont="1"/>
    <xf numFmtId="0" fontId="4" fillId="0" borderId="2" xfId="0" applyFont="1" applyBorder="1"/>
    <xf numFmtId="0" fontId="4" fillId="0" borderId="3" xfId="0" applyFont="1" applyBorder="1"/>
    <xf numFmtId="37" fontId="4" fillId="0" borderId="3" xfId="0" applyNumberFormat="1" applyFont="1" applyBorder="1"/>
    <xf numFmtId="37" fontId="4" fillId="0" borderId="4" xfId="0" applyNumberFormat="1" applyFont="1" applyBorder="1"/>
    <xf numFmtId="0" fontId="4" fillId="0" borderId="5" xfId="0" applyFont="1" applyBorder="1"/>
    <xf numFmtId="37" fontId="4" fillId="0" borderId="5" xfId="0" applyNumberFormat="1" applyFont="1" applyBorder="1"/>
  </cellXfs>
  <cellStyles count="3">
    <cellStyle name="20% - Accent4" xfId="2" builtinId="42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8</xdr:row>
      <xdr:rowOff>180975</xdr:rowOff>
    </xdr:from>
    <xdr:to>
      <xdr:col>3</xdr:col>
      <xdr:colOff>704850</xdr:colOff>
      <xdr:row>27</xdr:row>
      <xdr:rowOff>161925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5D60CB5-FAF5-3CDE-7E86-E244E771551F}"/>
            </a:ext>
          </a:extLst>
        </xdr:cNvPr>
        <xdr:cNvCxnSpPr/>
      </xdr:nvCxnSpPr>
      <xdr:spPr>
        <a:xfrm>
          <a:off x="3124200" y="1704975"/>
          <a:ext cx="0" cy="3600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1ABD-EBDD-40FE-BA8F-524C1F7FDE24}">
  <sheetPr>
    <pageSetUpPr fitToPage="1"/>
  </sheetPr>
  <dimension ref="B2:V31"/>
  <sheetViews>
    <sheetView showGridLines="0" tabSelected="1" zoomScale="70" zoomScaleNormal="70" workbookViewId="0">
      <selection activeCell="P24" sqref="P24"/>
    </sheetView>
  </sheetViews>
  <sheetFormatPr defaultRowHeight="15" x14ac:dyDescent="0.25"/>
  <cols>
    <col min="1" max="1" width="5.7109375" customWidth="1"/>
    <col min="2" max="2" width="18.7109375" customWidth="1"/>
    <col min="3" max="3" width="1.7109375" customWidth="1"/>
    <col min="4" max="13" width="11.7109375" bestFit="1" customWidth="1"/>
    <col min="14" max="18" width="13.28515625" bestFit="1" customWidth="1"/>
    <col min="19" max="19" width="11.28515625" bestFit="1" customWidth="1"/>
    <col min="20" max="34" width="11.85546875" bestFit="1" customWidth="1"/>
  </cols>
  <sheetData>
    <row r="2" spans="2:22" x14ac:dyDescent="0.25">
      <c r="B2" t="s">
        <v>9</v>
      </c>
      <c r="D2" s="6" t="s">
        <v>11</v>
      </c>
    </row>
    <row r="3" spans="2:22" x14ac:dyDescent="0.25">
      <c r="B3" t="s">
        <v>10</v>
      </c>
      <c r="D3" s="7">
        <v>45360</v>
      </c>
    </row>
    <row r="5" spans="2:22" x14ac:dyDescent="0.25">
      <c r="B5" s="3" t="s">
        <v>5</v>
      </c>
      <c r="C5" s="3"/>
      <c r="D5" s="3"/>
      <c r="E5" s="3"/>
      <c r="F5" s="3"/>
      <c r="G5" s="3"/>
      <c r="H5" s="3"/>
      <c r="I5" s="3"/>
      <c r="J5" s="3"/>
    </row>
    <row r="6" spans="2:22" x14ac:dyDescent="0.25">
      <c r="P6" s="1"/>
      <c r="Q6" s="1"/>
    </row>
    <row r="7" spans="2:22" x14ac:dyDescent="0.25">
      <c r="B7" t="s">
        <v>6</v>
      </c>
      <c r="D7" s="4">
        <v>0.13500000000000001</v>
      </c>
      <c r="F7" t="s">
        <v>18</v>
      </c>
      <c r="G7" s="4">
        <v>8.2000000000000003E-2</v>
      </c>
      <c r="P7" s="2"/>
      <c r="Q7" s="2"/>
    </row>
    <row r="8" spans="2:22" x14ac:dyDescent="0.25">
      <c r="B8" t="s">
        <v>7</v>
      </c>
      <c r="D8" s="5">
        <v>0.05</v>
      </c>
      <c r="F8" t="s">
        <v>31</v>
      </c>
      <c r="G8" s="4">
        <v>0.21</v>
      </c>
    </row>
    <row r="9" spans="2:22" x14ac:dyDescent="0.25">
      <c r="B9" t="s">
        <v>8</v>
      </c>
      <c r="D9" s="5">
        <v>0.03</v>
      </c>
    </row>
    <row r="10" spans="2:22" x14ac:dyDescent="0.25">
      <c r="B10" s="8" t="s">
        <v>36</v>
      </c>
      <c r="C10" t="s">
        <v>35</v>
      </c>
      <c r="D10">
        <v>0</v>
      </c>
      <c r="E10">
        <f>D10+1</f>
        <v>1</v>
      </c>
      <c r="F10">
        <f t="shared" ref="F10:S10" si="0">E10+1</f>
        <v>2</v>
      </c>
      <c r="G10">
        <f t="shared" si="0"/>
        <v>3</v>
      </c>
      <c r="H10">
        <f t="shared" si="0"/>
        <v>4</v>
      </c>
      <c r="I10">
        <f t="shared" si="0"/>
        <v>5</v>
      </c>
      <c r="J10">
        <f t="shared" si="0"/>
        <v>6</v>
      </c>
      <c r="K10">
        <f t="shared" si="0"/>
        <v>7</v>
      </c>
      <c r="L10">
        <f t="shared" si="0"/>
        <v>8</v>
      </c>
      <c r="M10">
        <f t="shared" si="0"/>
        <v>9</v>
      </c>
      <c r="N10">
        <f t="shared" si="0"/>
        <v>10</v>
      </c>
      <c r="O10">
        <f t="shared" si="0"/>
        <v>11</v>
      </c>
      <c r="P10">
        <f t="shared" si="0"/>
        <v>12</v>
      </c>
      <c r="Q10">
        <f t="shared" si="0"/>
        <v>13</v>
      </c>
      <c r="R10">
        <f t="shared" si="0"/>
        <v>14</v>
      </c>
      <c r="S10">
        <f t="shared" si="0"/>
        <v>15</v>
      </c>
      <c r="T10">
        <f t="shared" ref="T10:T11" si="1">S10+1</f>
        <v>16</v>
      </c>
      <c r="U10">
        <f t="shared" ref="U10:U11" si="2">T10+1</f>
        <v>17</v>
      </c>
      <c r="V10">
        <f t="shared" ref="V10:V11" si="3">U10+1</f>
        <v>18</v>
      </c>
    </row>
    <row r="11" spans="2:22" x14ac:dyDescent="0.25">
      <c r="B11" s="3" t="s">
        <v>34</v>
      </c>
      <c r="C11" s="3"/>
      <c r="D11" s="3">
        <v>2018</v>
      </c>
      <c r="E11" s="3">
        <f>D11+1</f>
        <v>2019</v>
      </c>
      <c r="F11" s="3">
        <f t="shared" ref="F11:L11" si="4">E11+1</f>
        <v>2020</v>
      </c>
      <c r="G11" s="3">
        <f t="shared" si="4"/>
        <v>2021</v>
      </c>
      <c r="H11" s="3">
        <f t="shared" si="4"/>
        <v>2022</v>
      </c>
      <c r="I11" s="3">
        <f t="shared" si="4"/>
        <v>2023</v>
      </c>
      <c r="J11" s="3">
        <f t="shared" si="4"/>
        <v>2024</v>
      </c>
      <c r="K11" s="3">
        <f t="shared" si="4"/>
        <v>2025</v>
      </c>
      <c r="L11" s="3">
        <f t="shared" si="4"/>
        <v>2026</v>
      </c>
      <c r="M11" s="3">
        <f>L11+1</f>
        <v>2027</v>
      </c>
      <c r="N11" s="3">
        <f>M11+1</f>
        <v>2028</v>
      </c>
      <c r="O11" s="3">
        <f>N11+1</f>
        <v>2029</v>
      </c>
      <c r="P11" s="3">
        <f t="shared" ref="P11:S11" si="5">O11+1</f>
        <v>2030</v>
      </c>
      <c r="Q11" s="3">
        <f t="shared" si="5"/>
        <v>2031</v>
      </c>
      <c r="R11" s="3">
        <f t="shared" si="5"/>
        <v>2032</v>
      </c>
      <c r="S11" s="3">
        <f t="shared" si="5"/>
        <v>2033</v>
      </c>
      <c r="T11" s="3">
        <f t="shared" si="1"/>
        <v>2034</v>
      </c>
      <c r="U11" s="3">
        <f t="shared" si="2"/>
        <v>2035</v>
      </c>
      <c r="V11" s="3">
        <f t="shared" si="3"/>
        <v>2036</v>
      </c>
    </row>
    <row r="12" spans="2:22" x14ac:dyDescent="0.25">
      <c r="B12" t="s">
        <v>0</v>
      </c>
      <c r="D12" s="1">
        <v>1821751</v>
      </c>
      <c r="E12" s="1">
        <f>D12*(1+E13)</f>
        <v>2076796.1400000001</v>
      </c>
      <c r="F12" s="1">
        <f t="shared" ref="F12:S12" si="6">E12*(1+F13)</f>
        <v>2367547.5996000003</v>
      </c>
      <c r="G12" s="1">
        <f t="shared" si="6"/>
        <v>2699004.2635440007</v>
      </c>
      <c r="H12" s="1">
        <f t="shared" si="6"/>
        <v>3076864.8604401611</v>
      </c>
      <c r="I12" s="1">
        <f t="shared" si="6"/>
        <v>3507625.9409017842</v>
      </c>
      <c r="J12" s="1">
        <f t="shared" si="6"/>
        <v>3998693.5726280343</v>
      </c>
      <c r="K12" s="1">
        <f t="shared" si="6"/>
        <v>4558510.6727959597</v>
      </c>
      <c r="L12" s="1">
        <f t="shared" si="6"/>
        <v>5196702.1669873949</v>
      </c>
      <c r="M12" s="1">
        <f t="shared" si="6"/>
        <v>5924240.4703656305</v>
      </c>
      <c r="N12" s="1">
        <f t="shared" si="6"/>
        <v>6753634.1362168193</v>
      </c>
      <c r="O12" s="1">
        <f t="shared" si="6"/>
        <v>7699142.9152871752</v>
      </c>
      <c r="P12" s="1">
        <f t="shared" si="6"/>
        <v>8777022.9234273806</v>
      </c>
      <c r="Q12" s="1">
        <f t="shared" si="6"/>
        <v>10005806.132707216</v>
      </c>
      <c r="R12" s="1">
        <f t="shared" si="6"/>
        <v>11406618.991286227</v>
      </c>
      <c r="S12" s="1">
        <f t="shared" si="6"/>
        <v>13003545.650066301</v>
      </c>
      <c r="T12" s="1">
        <f t="shared" ref="T12" si="7">S12*(1+T13)</f>
        <v>14824042.041075585</v>
      </c>
      <c r="U12" s="1">
        <f t="shared" ref="U12" si="8">T12*(1+U13)</f>
        <v>16899407.926826168</v>
      </c>
      <c r="V12" s="1">
        <f t="shared" ref="V12" si="9">U12*(1+V13)</f>
        <v>19265325.036581833</v>
      </c>
    </row>
    <row r="13" spans="2:22" x14ac:dyDescent="0.25">
      <c r="B13" s="8" t="s">
        <v>12</v>
      </c>
      <c r="C13" s="8"/>
      <c r="D13" s="8"/>
      <c r="E13" s="9">
        <v>0.14000000000000001</v>
      </c>
      <c r="F13" s="9">
        <f>E13</f>
        <v>0.14000000000000001</v>
      </c>
      <c r="G13" s="9">
        <f t="shared" ref="G13:S13" si="10">F13</f>
        <v>0.14000000000000001</v>
      </c>
      <c r="H13" s="9">
        <f t="shared" si="10"/>
        <v>0.14000000000000001</v>
      </c>
      <c r="I13" s="9">
        <f t="shared" si="10"/>
        <v>0.14000000000000001</v>
      </c>
      <c r="J13" s="9">
        <f t="shared" si="10"/>
        <v>0.14000000000000001</v>
      </c>
      <c r="K13" s="9">
        <f t="shared" si="10"/>
        <v>0.14000000000000001</v>
      </c>
      <c r="L13" s="9">
        <f t="shared" si="10"/>
        <v>0.14000000000000001</v>
      </c>
      <c r="M13" s="9">
        <f t="shared" si="10"/>
        <v>0.14000000000000001</v>
      </c>
      <c r="N13" s="9">
        <f t="shared" si="10"/>
        <v>0.14000000000000001</v>
      </c>
      <c r="O13" s="9">
        <f t="shared" si="10"/>
        <v>0.14000000000000001</v>
      </c>
      <c r="P13" s="9">
        <f t="shared" si="10"/>
        <v>0.14000000000000001</v>
      </c>
      <c r="Q13" s="9">
        <f t="shared" si="10"/>
        <v>0.14000000000000001</v>
      </c>
      <c r="R13" s="9">
        <f t="shared" si="10"/>
        <v>0.14000000000000001</v>
      </c>
      <c r="S13" s="9">
        <f t="shared" si="10"/>
        <v>0.14000000000000001</v>
      </c>
      <c r="T13" s="9">
        <f t="shared" ref="T13" si="11">S13</f>
        <v>0.14000000000000001</v>
      </c>
      <c r="U13" s="9">
        <f t="shared" ref="U13" si="12">T13</f>
        <v>0.14000000000000001</v>
      </c>
      <c r="V13" s="9">
        <f t="shared" ref="V13" si="13">U13</f>
        <v>0.14000000000000001</v>
      </c>
    </row>
    <row r="15" spans="2:22" x14ac:dyDescent="0.25">
      <c r="B15" t="s">
        <v>1</v>
      </c>
      <c r="D15" s="1">
        <v>3512750</v>
      </c>
      <c r="E15" s="1">
        <f>D15*(1+E16)</f>
        <v>3512750</v>
      </c>
      <c r="F15" s="1">
        <f t="shared" ref="F15:S15" si="14">E15*(1+F16)</f>
        <v>3512750</v>
      </c>
      <c r="G15" s="1">
        <f t="shared" si="14"/>
        <v>3512750</v>
      </c>
      <c r="H15" s="1">
        <f t="shared" si="14"/>
        <v>3512750</v>
      </c>
      <c r="I15" s="1">
        <f t="shared" si="14"/>
        <v>3512750</v>
      </c>
      <c r="J15" s="1">
        <f t="shared" si="14"/>
        <v>3512750</v>
      </c>
      <c r="K15" s="1">
        <f t="shared" si="14"/>
        <v>3512750</v>
      </c>
      <c r="L15" s="1">
        <f t="shared" si="14"/>
        <v>3512750</v>
      </c>
      <c r="M15" s="1">
        <f t="shared" si="14"/>
        <v>3512750</v>
      </c>
      <c r="N15" s="1">
        <f t="shared" si="14"/>
        <v>3512750</v>
      </c>
      <c r="O15" s="1">
        <f t="shared" si="14"/>
        <v>3512750</v>
      </c>
      <c r="P15" s="1">
        <f t="shared" si="14"/>
        <v>3512750</v>
      </c>
      <c r="Q15" s="1">
        <f t="shared" si="14"/>
        <v>3512750</v>
      </c>
      <c r="R15" s="1">
        <f t="shared" si="14"/>
        <v>3512750</v>
      </c>
      <c r="S15" s="1">
        <f t="shared" si="14"/>
        <v>3512750</v>
      </c>
      <c r="T15" s="1">
        <f t="shared" ref="T15" si="15">S15*(1+T16)</f>
        <v>3512750</v>
      </c>
      <c r="U15" s="1">
        <f t="shared" ref="U15" si="16">T15*(1+U16)</f>
        <v>3512750</v>
      </c>
      <c r="V15" s="1">
        <f t="shared" ref="V15" si="17">U15*(1+V16)</f>
        <v>3512750</v>
      </c>
    </row>
    <row r="16" spans="2:22" x14ac:dyDescent="0.25">
      <c r="B16" s="8" t="s">
        <v>12</v>
      </c>
      <c r="C16" s="8"/>
      <c r="D16" s="8"/>
      <c r="E16" s="9">
        <v>0</v>
      </c>
      <c r="F16" s="9">
        <f>E16</f>
        <v>0</v>
      </c>
      <c r="G16" s="9">
        <f t="shared" ref="G16:S16" si="18">F16</f>
        <v>0</v>
      </c>
      <c r="H16" s="9">
        <f t="shared" si="18"/>
        <v>0</v>
      </c>
      <c r="I16" s="9">
        <f t="shared" si="18"/>
        <v>0</v>
      </c>
      <c r="J16" s="9">
        <f t="shared" si="18"/>
        <v>0</v>
      </c>
      <c r="K16" s="9">
        <f t="shared" si="18"/>
        <v>0</v>
      </c>
      <c r="L16" s="9">
        <f t="shared" si="18"/>
        <v>0</v>
      </c>
      <c r="M16" s="9">
        <f t="shared" si="18"/>
        <v>0</v>
      </c>
      <c r="N16" s="9">
        <f t="shared" si="18"/>
        <v>0</v>
      </c>
      <c r="O16" s="9">
        <f t="shared" si="18"/>
        <v>0</v>
      </c>
      <c r="P16" s="9">
        <f t="shared" si="18"/>
        <v>0</v>
      </c>
      <c r="Q16" s="9">
        <f t="shared" si="18"/>
        <v>0</v>
      </c>
      <c r="R16" s="9">
        <f t="shared" si="18"/>
        <v>0</v>
      </c>
      <c r="S16" s="9">
        <f t="shared" si="18"/>
        <v>0</v>
      </c>
      <c r="T16" s="9">
        <f t="shared" ref="T16" si="19">S16</f>
        <v>0</v>
      </c>
      <c r="U16" s="9">
        <f t="shared" ref="U16" si="20">T16</f>
        <v>0</v>
      </c>
      <c r="V16" s="9">
        <f t="shared" ref="V16" si="21">U16</f>
        <v>0</v>
      </c>
    </row>
    <row r="18" spans="2:22" x14ac:dyDescent="0.25">
      <c r="B18" t="s">
        <v>2</v>
      </c>
      <c r="D18" s="1">
        <v>88952</v>
      </c>
      <c r="E18" s="1">
        <f>D18*(1+E19)</f>
        <v>93399.6</v>
      </c>
      <c r="F18" s="1">
        <f t="shared" ref="F18:S18" si="22">E18*(1+F19)</f>
        <v>98069.580000000016</v>
      </c>
      <c r="G18" s="1">
        <f t="shared" si="22"/>
        <v>102973.05900000002</v>
      </c>
      <c r="H18" s="1">
        <f t="shared" si="22"/>
        <v>108121.71195000003</v>
      </c>
      <c r="I18" s="1">
        <f t="shared" si="22"/>
        <v>113527.79754750003</v>
      </c>
      <c r="J18" s="1">
        <f t="shared" si="22"/>
        <v>119204.18742487504</v>
      </c>
      <c r="K18" s="1">
        <f t="shared" si="22"/>
        <v>125164.3967961188</v>
      </c>
      <c r="L18" s="1">
        <f t="shared" si="22"/>
        <v>131422.61663592476</v>
      </c>
      <c r="M18" s="1">
        <f t="shared" si="22"/>
        <v>137993.747467721</v>
      </c>
      <c r="N18" s="1">
        <f t="shared" si="22"/>
        <v>144893.43484110705</v>
      </c>
      <c r="O18" s="1">
        <f t="shared" si="22"/>
        <v>152138.10658316241</v>
      </c>
      <c r="P18" s="1">
        <f t="shared" si="22"/>
        <v>159745.01191232054</v>
      </c>
      <c r="Q18" s="1">
        <f t="shared" si="22"/>
        <v>167732.26250793657</v>
      </c>
      <c r="R18" s="1">
        <f t="shared" si="22"/>
        <v>176118.8756333334</v>
      </c>
      <c r="S18" s="1">
        <f t="shared" si="22"/>
        <v>184924.81941500009</v>
      </c>
      <c r="T18" s="1">
        <f t="shared" ref="T18" si="23">S18*(1+T19)</f>
        <v>194171.06038575011</v>
      </c>
      <c r="U18" s="1">
        <f t="shared" ref="U18" si="24">T18*(1+U19)</f>
        <v>203879.61340503761</v>
      </c>
      <c r="V18" s="1">
        <f t="shared" ref="V18" si="25">U18*(1+V19)</f>
        <v>214073.5940752895</v>
      </c>
    </row>
    <row r="19" spans="2:22" x14ac:dyDescent="0.25">
      <c r="B19" s="8" t="s">
        <v>12</v>
      </c>
      <c r="C19" s="8"/>
      <c r="D19" s="8"/>
      <c r="E19" s="9">
        <f>D8</f>
        <v>0.05</v>
      </c>
      <c r="F19" s="9">
        <f>E19</f>
        <v>0.05</v>
      </c>
      <c r="G19" s="9">
        <f t="shared" ref="G19:S19" si="26">F19</f>
        <v>0.05</v>
      </c>
      <c r="H19" s="9">
        <f t="shared" si="26"/>
        <v>0.05</v>
      </c>
      <c r="I19" s="9">
        <f t="shared" si="26"/>
        <v>0.05</v>
      </c>
      <c r="J19" s="9">
        <f t="shared" si="26"/>
        <v>0.05</v>
      </c>
      <c r="K19" s="9">
        <f t="shared" si="26"/>
        <v>0.05</v>
      </c>
      <c r="L19" s="9">
        <f t="shared" si="26"/>
        <v>0.05</v>
      </c>
      <c r="M19" s="9">
        <f t="shared" si="26"/>
        <v>0.05</v>
      </c>
      <c r="N19" s="9">
        <f t="shared" si="26"/>
        <v>0.05</v>
      </c>
      <c r="O19" s="9">
        <f t="shared" si="26"/>
        <v>0.05</v>
      </c>
      <c r="P19" s="9">
        <f t="shared" si="26"/>
        <v>0.05</v>
      </c>
      <c r="Q19" s="9">
        <f t="shared" si="26"/>
        <v>0.05</v>
      </c>
      <c r="R19" s="9">
        <f t="shared" si="26"/>
        <v>0.05</v>
      </c>
      <c r="S19" s="9">
        <f t="shared" si="26"/>
        <v>0.05</v>
      </c>
      <c r="T19" s="9">
        <f t="shared" ref="T19" si="27">S19</f>
        <v>0.05</v>
      </c>
      <c r="U19" s="9">
        <f t="shared" ref="U19" si="28">T19</f>
        <v>0.05</v>
      </c>
      <c r="V19" s="9">
        <f t="shared" ref="V19" si="29">U19</f>
        <v>0.05</v>
      </c>
    </row>
    <row r="21" spans="2:22" x14ac:dyDescent="0.25">
      <c r="B21" t="s">
        <v>3</v>
      </c>
      <c r="D21" s="10">
        <f>D12-D15</f>
        <v>-1690999</v>
      </c>
      <c r="E21" s="10">
        <f t="shared" ref="E21:S21" si="30">E12-E15</f>
        <v>-1435953.8599999999</v>
      </c>
      <c r="F21" s="10">
        <f t="shared" si="30"/>
        <v>-1145202.4003999997</v>
      </c>
      <c r="G21" s="10">
        <f t="shared" si="30"/>
        <v>-813745.73645599931</v>
      </c>
      <c r="H21" s="10">
        <f t="shared" si="30"/>
        <v>-435885.13955983892</v>
      </c>
      <c r="I21" s="10">
        <f t="shared" si="30"/>
        <v>-5124.0590982157737</v>
      </c>
      <c r="J21" s="10">
        <f t="shared" si="30"/>
        <v>485943.57262803428</v>
      </c>
      <c r="K21" s="10">
        <f t="shared" si="30"/>
        <v>1045760.6727959597</v>
      </c>
      <c r="L21" s="10">
        <f t="shared" si="30"/>
        <v>1683952.1669873949</v>
      </c>
      <c r="M21" s="10">
        <f t="shared" si="30"/>
        <v>2411490.4703656305</v>
      </c>
      <c r="N21" s="10">
        <f t="shared" si="30"/>
        <v>3240884.1362168193</v>
      </c>
      <c r="O21" s="10">
        <f t="shared" si="30"/>
        <v>4186392.9152871752</v>
      </c>
      <c r="P21" s="10">
        <f t="shared" si="30"/>
        <v>5264272.9234273806</v>
      </c>
      <c r="Q21" s="10">
        <f t="shared" si="30"/>
        <v>6493056.1327072158</v>
      </c>
      <c r="R21" s="10">
        <f t="shared" si="30"/>
        <v>7893868.9912862275</v>
      </c>
      <c r="S21" s="10">
        <f t="shared" si="30"/>
        <v>9490795.6500663012</v>
      </c>
      <c r="T21" s="10">
        <f t="shared" ref="T21:AH21" si="31">T12-T15</f>
        <v>11311292.041075585</v>
      </c>
      <c r="U21" s="10">
        <f t="shared" ref="U21:V21" si="32">U12-U15</f>
        <v>13386657.926826168</v>
      </c>
      <c r="V21" s="10">
        <f t="shared" si="32"/>
        <v>15752575.036581833</v>
      </c>
    </row>
    <row r="22" spans="2:22" x14ac:dyDescent="0.25">
      <c r="B22" s="8" t="s">
        <v>13</v>
      </c>
      <c r="C22" s="8"/>
      <c r="D22" s="11">
        <f>D21/D12</f>
        <v>-0.92822729341166821</v>
      </c>
      <c r="E22" s="11">
        <f t="shared" ref="E22:S22" si="33">E21/E12</f>
        <v>-0.69142745036111242</v>
      </c>
      <c r="F22" s="11">
        <f t="shared" si="33"/>
        <v>-0.48370828979044933</v>
      </c>
      <c r="G22" s="11">
        <f t="shared" si="33"/>
        <v>-0.30149849981618349</v>
      </c>
      <c r="H22" s="11">
        <f t="shared" si="33"/>
        <v>-0.14166535071595032</v>
      </c>
      <c r="I22" s="11">
        <f t="shared" si="33"/>
        <v>-1.46083396135975E-3</v>
      </c>
      <c r="J22" s="11">
        <f t="shared" si="33"/>
        <v>0.12152558424442132</v>
      </c>
      <c r="K22" s="11">
        <f t="shared" si="33"/>
        <v>0.22940840723194864</v>
      </c>
      <c r="L22" s="11">
        <f t="shared" si="33"/>
        <v>0.32404246248416557</v>
      </c>
      <c r="M22" s="11">
        <f t="shared" si="33"/>
        <v>0.40705479165277686</v>
      </c>
      <c r="N22" s="11">
        <f t="shared" si="33"/>
        <v>0.47987262425682187</v>
      </c>
      <c r="O22" s="11">
        <f t="shared" si="33"/>
        <v>0.54374791601475603</v>
      </c>
      <c r="P22" s="11">
        <f t="shared" si="33"/>
        <v>0.59977887369715455</v>
      </c>
      <c r="Q22" s="11">
        <f t="shared" si="33"/>
        <v>0.6489288365764514</v>
      </c>
      <c r="R22" s="11">
        <f t="shared" si="33"/>
        <v>0.69204283910215036</v>
      </c>
      <c r="S22" s="11">
        <f t="shared" si="33"/>
        <v>0.72986213956328982</v>
      </c>
      <c r="T22" s="11">
        <f t="shared" ref="T22:AH22" si="34">T21/T12</f>
        <v>0.76303696452920167</v>
      </c>
      <c r="U22" s="11">
        <f t="shared" ref="U22:V22" si="35">U21/U12</f>
        <v>0.79213768818351027</v>
      </c>
      <c r="V22" s="11">
        <f t="shared" si="35"/>
        <v>0.81766463875746509</v>
      </c>
    </row>
    <row r="24" spans="2:22" x14ac:dyDescent="0.25">
      <c r="B24" t="s">
        <v>4</v>
      </c>
      <c r="D24" s="10">
        <v>-16</v>
      </c>
      <c r="E24" s="10">
        <f>E21*E25</f>
        <v>0</v>
      </c>
      <c r="F24" s="10">
        <f t="shared" ref="F24:S24" si="36">F21*F25</f>
        <v>0</v>
      </c>
      <c r="G24" s="10">
        <f t="shared" si="36"/>
        <v>0</v>
      </c>
      <c r="H24" s="10">
        <f t="shared" si="36"/>
        <v>0</v>
      </c>
      <c r="I24" s="10">
        <f t="shared" si="36"/>
        <v>0</v>
      </c>
      <c r="J24" s="10">
        <f t="shared" si="36"/>
        <v>102048.1502518872</v>
      </c>
      <c r="K24" s="10">
        <f t="shared" si="36"/>
        <v>219609.74128715153</v>
      </c>
      <c r="L24" s="10">
        <f t="shared" si="36"/>
        <v>353629.95506735292</v>
      </c>
      <c r="M24" s="10">
        <f t="shared" si="36"/>
        <v>506412.99877678236</v>
      </c>
      <c r="N24" s="10">
        <f t="shared" si="36"/>
        <v>680585.66860553203</v>
      </c>
      <c r="O24" s="10">
        <f t="shared" si="36"/>
        <v>879142.51221030671</v>
      </c>
      <c r="P24" s="10">
        <f t="shared" si="36"/>
        <v>1105497.3139197498</v>
      </c>
      <c r="Q24" s="10">
        <f t="shared" si="36"/>
        <v>1363541.7878685154</v>
      </c>
      <c r="R24" s="10">
        <f t="shared" si="36"/>
        <v>1657712.4881701076</v>
      </c>
      <c r="S24" s="10">
        <f t="shared" si="36"/>
        <v>1993067.0865139232</v>
      </c>
      <c r="T24" s="10">
        <f t="shared" ref="T24:AH24" si="37">T21*T25</f>
        <v>2375371.3286258727</v>
      </c>
      <c r="U24" s="10">
        <f t="shared" ref="U24:V24" si="38">U21*U25</f>
        <v>2811198.1646334953</v>
      </c>
      <c r="V24" s="10">
        <f t="shared" si="38"/>
        <v>3308040.7576821847</v>
      </c>
    </row>
    <row r="25" spans="2:22" x14ac:dyDescent="0.25">
      <c r="B25" s="8" t="s">
        <v>14</v>
      </c>
      <c r="C25" s="8"/>
      <c r="D25" s="11">
        <f>D24/D21</f>
        <v>9.4618624848388445E-6</v>
      </c>
      <c r="E25" s="14">
        <v>0</v>
      </c>
      <c r="F25" s="14">
        <f>E25</f>
        <v>0</v>
      </c>
      <c r="G25" s="14">
        <f t="shared" ref="G25:S25" si="39">F25</f>
        <v>0</v>
      </c>
      <c r="H25" s="14">
        <f t="shared" si="39"/>
        <v>0</v>
      </c>
      <c r="I25" s="14">
        <f t="shared" si="39"/>
        <v>0</v>
      </c>
      <c r="J25" s="14">
        <v>0.21</v>
      </c>
      <c r="K25" s="14">
        <f t="shared" si="39"/>
        <v>0.21</v>
      </c>
      <c r="L25" s="14">
        <f t="shared" si="39"/>
        <v>0.21</v>
      </c>
      <c r="M25" s="14">
        <f t="shared" si="39"/>
        <v>0.21</v>
      </c>
      <c r="N25" s="14">
        <f t="shared" si="39"/>
        <v>0.21</v>
      </c>
      <c r="O25" s="14">
        <f t="shared" si="39"/>
        <v>0.21</v>
      </c>
      <c r="P25" s="14">
        <f t="shared" si="39"/>
        <v>0.21</v>
      </c>
      <c r="Q25" s="14">
        <f t="shared" si="39"/>
        <v>0.21</v>
      </c>
      <c r="R25" s="14">
        <f t="shared" si="39"/>
        <v>0.21</v>
      </c>
      <c r="S25" s="14">
        <f t="shared" si="39"/>
        <v>0.21</v>
      </c>
      <c r="T25" s="14">
        <f t="shared" ref="T25" si="40">S25</f>
        <v>0.21</v>
      </c>
      <c r="U25" s="14">
        <f t="shared" ref="U25" si="41">T25</f>
        <v>0.21</v>
      </c>
      <c r="V25" s="14">
        <f t="shared" ref="V25" si="42">U25</f>
        <v>0.21</v>
      </c>
    </row>
    <row r="27" spans="2:22" x14ac:dyDescent="0.25">
      <c r="B27" s="15" t="s">
        <v>37</v>
      </c>
      <c r="C27" s="16"/>
      <c r="D27" s="16"/>
      <c r="E27" s="17">
        <f>E21-E24</f>
        <v>-1435953.8599999999</v>
      </c>
      <c r="F27" s="17">
        <f t="shared" ref="F27:T27" si="43">F21-F24</f>
        <v>-1145202.4003999997</v>
      </c>
      <c r="G27" s="17">
        <f t="shared" si="43"/>
        <v>-813745.73645599931</v>
      </c>
      <c r="H27" s="17">
        <f t="shared" si="43"/>
        <v>-435885.13955983892</v>
      </c>
      <c r="I27" s="17">
        <f t="shared" si="43"/>
        <v>-5124.0590982157737</v>
      </c>
      <c r="J27" s="17">
        <f t="shared" si="43"/>
        <v>383895.42237614706</v>
      </c>
      <c r="K27" s="17">
        <f t="shared" si="43"/>
        <v>826150.93150880816</v>
      </c>
      <c r="L27" s="17">
        <f t="shared" si="43"/>
        <v>1330322.2119200421</v>
      </c>
      <c r="M27" s="17">
        <f t="shared" si="43"/>
        <v>1905077.4715888482</v>
      </c>
      <c r="N27" s="17">
        <f t="shared" si="43"/>
        <v>2560298.4676112873</v>
      </c>
      <c r="O27" s="17">
        <f t="shared" si="43"/>
        <v>3307250.4030768685</v>
      </c>
      <c r="P27" s="17">
        <f t="shared" si="43"/>
        <v>4158775.6095076306</v>
      </c>
      <c r="Q27" s="17">
        <f t="shared" si="43"/>
        <v>5129514.3448387003</v>
      </c>
      <c r="R27" s="17">
        <f t="shared" si="43"/>
        <v>6236156.5031161197</v>
      </c>
      <c r="S27" s="18">
        <f t="shared" si="43"/>
        <v>7497728.5635523777</v>
      </c>
      <c r="T27" s="18">
        <f t="shared" si="43"/>
        <v>8935920.7124497127</v>
      </c>
      <c r="U27" s="18">
        <f t="shared" ref="U27:V27" si="44">U21-U24</f>
        <v>10575459.762192672</v>
      </c>
      <c r="V27" s="18">
        <f t="shared" si="44"/>
        <v>12444534.278899647</v>
      </c>
    </row>
    <row r="28" spans="2:22" x14ac:dyDescent="0.25">
      <c r="B28" s="15" t="s">
        <v>32</v>
      </c>
      <c r="C28" s="16"/>
      <c r="D28" s="16"/>
      <c r="E28" s="17">
        <f>E27/(1+$D$9)^E10</f>
        <v>-1394129.9611650484</v>
      </c>
      <c r="F28" s="17">
        <f t="shared" ref="F28:S28" si="45">F27/(1+$G$7)^F10</f>
        <v>-978200.15682603209</v>
      </c>
      <c r="G28" s="17">
        <f t="shared" si="45"/>
        <v>-642402.08794821822</v>
      </c>
      <c r="H28" s="17">
        <f t="shared" si="45"/>
        <v>-318026.2878532121</v>
      </c>
      <c r="I28" s="17">
        <f t="shared" si="45"/>
        <v>-3455.2368768270462</v>
      </c>
      <c r="J28" s="17">
        <f t="shared" si="45"/>
        <v>239248.58006890924</v>
      </c>
      <c r="K28" s="17">
        <f t="shared" si="45"/>
        <v>475848.35410329729</v>
      </c>
      <c r="L28" s="17">
        <f t="shared" si="45"/>
        <v>708172.0078178515</v>
      </c>
      <c r="M28" s="17">
        <f t="shared" si="45"/>
        <v>937275.56365490041</v>
      </c>
      <c r="N28" s="17">
        <f t="shared" si="45"/>
        <v>1164174.2487719548</v>
      </c>
      <c r="O28" s="17">
        <f t="shared" si="45"/>
        <v>1389847.68995929</v>
      </c>
      <c r="P28" s="17">
        <f t="shared" si="45"/>
        <v>1615244.827599766</v>
      </c>
      <c r="Q28" s="17">
        <f t="shared" si="45"/>
        <v>1841288.5760069115</v>
      </c>
      <c r="R28" s="17">
        <f t="shared" si="45"/>
        <v>2068880.2557295742</v>
      </c>
      <c r="S28" s="18">
        <f t="shared" si="45"/>
        <v>2298903.8218135405</v>
      </c>
      <c r="T28" s="18">
        <f t="shared" ref="T28" si="46">T27/(1+$G$7)^T10</f>
        <v>2532229.9105520197</v>
      </c>
      <c r="U28" s="18">
        <f t="shared" ref="U28" si="47">U27/(1+$G$7)^U10</f>
        <v>2769719.7259281892</v>
      </c>
      <c r="V28" s="18">
        <f t="shared" ref="V28" si="48">V27/(1+$G$7)^V10</f>
        <v>3012228.785745318</v>
      </c>
    </row>
    <row r="30" spans="2:22" x14ac:dyDescent="0.25">
      <c r="B30" s="19" t="s">
        <v>33</v>
      </c>
      <c r="C30" s="19"/>
      <c r="D30" s="20">
        <f>SUM(E28:S28)</f>
        <v>9402670.1948566586</v>
      </c>
    </row>
    <row r="31" spans="2:22" x14ac:dyDescent="0.25">
      <c r="C31" s="10"/>
    </row>
  </sheetData>
  <pageMargins left="0.7" right="0.7" top="0.75" bottom="0.75" header="0.3" footer="0.3"/>
  <pageSetup paperSize="9" scale="7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725E3-B1F9-4E7C-9961-E18909417C49}">
  <dimension ref="B2:D19"/>
  <sheetViews>
    <sheetView showGridLines="0" workbookViewId="0">
      <pane ySplit="2" topLeftCell="A3" activePane="bottomLeft" state="frozen"/>
      <selection pane="bottomLeft" activeCell="D9" sqref="D9"/>
    </sheetView>
  </sheetViews>
  <sheetFormatPr defaultRowHeight="15" x14ac:dyDescent="0.25"/>
  <cols>
    <col min="2" max="2" width="10.7109375" customWidth="1"/>
  </cols>
  <sheetData>
    <row r="2" spans="2:4" ht="26.25" x14ac:dyDescent="0.4">
      <c r="B2" s="12" t="s">
        <v>18</v>
      </c>
    </row>
    <row r="4" spans="2:4" x14ac:dyDescent="0.25">
      <c r="B4" s="3" t="s">
        <v>18</v>
      </c>
      <c r="C4" s="3"/>
      <c r="D4" s="3"/>
    </row>
    <row r="5" spans="2:4" x14ac:dyDescent="0.25">
      <c r="B5" t="s">
        <v>19</v>
      </c>
      <c r="D5" s="1">
        <v>16000</v>
      </c>
    </row>
    <row r="6" spans="2:4" x14ac:dyDescent="0.25">
      <c r="B6" t="s">
        <v>20</v>
      </c>
    </row>
    <row r="7" spans="2:4" x14ac:dyDescent="0.25">
      <c r="B7" t="s">
        <v>21</v>
      </c>
    </row>
    <row r="8" spans="2:4" x14ac:dyDescent="0.25">
      <c r="B8" t="s">
        <v>22</v>
      </c>
      <c r="D8" s="2">
        <v>0.02</v>
      </c>
    </row>
    <row r="9" spans="2:4" x14ac:dyDescent="0.25">
      <c r="B9" t="s">
        <v>23</v>
      </c>
    </row>
    <row r="10" spans="2:4" x14ac:dyDescent="0.25">
      <c r="B10" t="s">
        <v>24</v>
      </c>
    </row>
    <row r="12" spans="2:4" x14ac:dyDescent="0.25">
      <c r="B12" t="s">
        <v>25</v>
      </c>
      <c r="D12" s="1">
        <v>2400</v>
      </c>
    </row>
    <row r="13" spans="2:4" x14ac:dyDescent="0.25">
      <c r="B13" t="s">
        <v>26</v>
      </c>
    </row>
    <row r="14" spans="2:4" x14ac:dyDescent="0.25">
      <c r="B14" t="s">
        <v>27</v>
      </c>
      <c r="D14" s="13">
        <v>6.2E-2</v>
      </c>
    </row>
    <row r="15" spans="2:4" x14ac:dyDescent="0.25">
      <c r="B15" t="s">
        <v>28</v>
      </c>
      <c r="D15" s="2">
        <v>0.21</v>
      </c>
    </row>
    <row r="17" spans="2:2" x14ac:dyDescent="0.25">
      <c r="B17" t="s">
        <v>29</v>
      </c>
    </row>
    <row r="19" spans="2:2" x14ac:dyDescent="0.25">
      <c r="B19" t="s">
        <v>30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FE674-BB47-4DB7-9518-E42DE93624F5}">
  <dimension ref="A2:Q5"/>
  <sheetViews>
    <sheetView workbookViewId="0">
      <pane xSplit="1" topLeftCell="B1" activePane="topRight" state="frozen"/>
      <selection pane="topRight" activeCell="I4" sqref="I4"/>
    </sheetView>
  </sheetViews>
  <sheetFormatPr defaultRowHeight="15" x14ac:dyDescent="0.25"/>
  <cols>
    <col min="1" max="1" width="11.7109375" bestFit="1" customWidth="1"/>
  </cols>
  <sheetData>
    <row r="2" spans="1:17" x14ac:dyDescent="0.25">
      <c r="I2">
        <v>2016</v>
      </c>
      <c r="J2">
        <f>+I2+1</f>
        <v>2017</v>
      </c>
      <c r="K2">
        <f t="shared" ref="K2:Q2" si="0">+J2+1</f>
        <v>2018</v>
      </c>
      <c r="L2">
        <f t="shared" si="0"/>
        <v>2019</v>
      </c>
      <c r="M2">
        <f t="shared" si="0"/>
        <v>2020</v>
      </c>
      <c r="N2">
        <f t="shared" si="0"/>
        <v>2021</v>
      </c>
      <c r="O2">
        <f t="shared" si="0"/>
        <v>2022</v>
      </c>
      <c r="P2">
        <f t="shared" si="0"/>
        <v>2023</v>
      </c>
      <c r="Q2">
        <f t="shared" si="0"/>
        <v>2024</v>
      </c>
    </row>
    <row r="3" spans="1:17" x14ac:dyDescent="0.25">
      <c r="A3" t="s">
        <v>15</v>
      </c>
      <c r="I3">
        <v>436099</v>
      </c>
      <c r="J3">
        <v>886004</v>
      </c>
      <c r="K3">
        <v>1821571</v>
      </c>
    </row>
    <row r="4" spans="1:17" x14ac:dyDescent="0.25">
      <c r="A4" t="s">
        <v>16</v>
      </c>
    </row>
    <row r="5" spans="1:17" x14ac:dyDescent="0.25">
      <c r="A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WACC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 Hogan (21053197)</dc:creator>
  <cp:lastModifiedBy>Theodor Hogan</cp:lastModifiedBy>
  <cp:lastPrinted>2024-03-13T06:41:53Z</cp:lastPrinted>
  <dcterms:created xsi:type="dcterms:W3CDTF">2024-03-09T10:00:44Z</dcterms:created>
  <dcterms:modified xsi:type="dcterms:W3CDTF">2024-03-14T13:17:54Z</dcterms:modified>
</cp:coreProperties>
</file>