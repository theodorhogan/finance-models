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Courses/Year 2/Finance 2/"/>
    </mc:Choice>
  </mc:AlternateContent>
  <xr:revisionPtr revIDLastSave="1240" documentId="8_{30DE00E7-7376-4933-89BF-FA30643ED974}" xr6:coauthVersionLast="47" xr6:coauthVersionMax="47" xr10:uidLastSave="{00EBE9A1-E453-480D-95B0-453313AA3418}"/>
  <bookViews>
    <workbookView xWindow="0" yWindow="0" windowWidth="21600" windowHeight="12560" activeTab="4" xr2:uid="{CFFDFE3A-0EFF-4549-A8F9-B459945CF80C}"/>
  </bookViews>
  <sheets>
    <sheet name="Q1" sheetId="2" r:id="rId1"/>
    <sheet name="Q2" sheetId="3" r:id="rId2"/>
    <sheet name="Q3" sheetId="4" r:id="rId3"/>
    <sheet name="Q4" sheetId="5" r:id="rId4"/>
    <sheet name="Q5" sheetId="1" r:id="rId5"/>
    <sheet name="Q6" sheetId="6" r:id="rId6"/>
  </sheets>
  <definedNames>
    <definedName name="ATWACC">'Q5'!$D$3</definedName>
    <definedName name="Beta_E">'Q4'!$D$10</definedName>
    <definedName name="Equity">'Q4'!$D$9</definedName>
    <definedName name="Net_Debt">'Q4'!$D$8</definedName>
    <definedName name="_xlnm.Print_Area" localSheetId="4">'Q5'!$B$1:$Y$46</definedName>
    <definedName name="PTWACC">'Q5'!$D$2</definedName>
    <definedName name="RAAPL">'Q1'!$C$2:$C$1259</definedName>
    <definedName name="Rd">'Q4'!$D$6</definedName>
    <definedName name="Rf">'Q4'!$D$4</definedName>
    <definedName name="Rm">'Q4'!$D$5</definedName>
    <definedName name="RSPX">'Q1'!$F$2:$F$1259</definedName>
    <definedName name="Tax">'Q4'!$D$7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D10" i="5"/>
  <c r="D7" i="3"/>
  <c r="H14" i="4"/>
  <c r="D5" i="3"/>
  <c r="D4" i="3" s="1"/>
  <c r="D9" i="5" s="1"/>
  <c r="D6" i="5"/>
  <c r="D11" i="3"/>
  <c r="C19" i="6"/>
  <c r="C20" i="6" s="1"/>
  <c r="F15" i="6"/>
  <c r="I18" i="6" s="1"/>
  <c r="I19" i="6" s="1"/>
  <c r="I20" i="6" s="1"/>
  <c r="I8" i="6"/>
  <c r="H8" i="6"/>
  <c r="G8" i="6"/>
  <c r="F8" i="6"/>
  <c r="E8" i="6"/>
  <c r="D8" i="6"/>
  <c r="C8" i="6"/>
  <c r="O19" i="2"/>
  <c r="N91" i="1" a="1"/>
  <c r="N91" i="1" s="1"/>
  <c r="N90" i="1" a="1"/>
  <c r="N90" i="1" s="1"/>
  <c r="N89" i="1" a="1"/>
  <c r="N89" i="1" s="1"/>
  <c r="N83" i="1" a="1"/>
  <c r="N83" i="1" s="1"/>
  <c r="T82" i="1"/>
  <c r="S82" i="1"/>
  <c r="R82" i="1"/>
  <c r="Q82" i="1"/>
  <c r="P82" i="1"/>
  <c r="O82" i="1"/>
  <c r="N82" i="1"/>
  <c r="N84" i="1" a="1"/>
  <c r="N84" i="1" s="1"/>
  <c r="N81" i="1" a="1"/>
  <c r="N81" i="1" s="1"/>
  <c r="N80" i="1" a="1"/>
  <c r="N80" i="1" s="1"/>
  <c r="R9" i="1"/>
  <c r="D25" i="1" s="1"/>
  <c r="D5" i="5"/>
  <c r="D8" i="5"/>
  <c r="C2" i="2"/>
  <c r="F2" i="2"/>
  <c r="C3" i="2"/>
  <c r="F3" i="2"/>
  <c r="C4" i="2"/>
  <c r="F4" i="2"/>
  <c r="C5" i="2"/>
  <c r="F5" i="2"/>
  <c r="C6" i="2"/>
  <c r="F6" i="2"/>
  <c r="C7" i="2"/>
  <c r="F7" i="2"/>
  <c r="C8" i="2"/>
  <c r="F8" i="2"/>
  <c r="C9" i="2"/>
  <c r="F9" i="2"/>
  <c r="C10" i="2"/>
  <c r="F10" i="2"/>
  <c r="C11" i="2"/>
  <c r="F11" i="2"/>
  <c r="C12" i="2"/>
  <c r="F12" i="2"/>
  <c r="C13" i="2"/>
  <c r="F13" i="2"/>
  <c r="C14" i="2"/>
  <c r="F14" i="2"/>
  <c r="C15" i="2"/>
  <c r="F15" i="2"/>
  <c r="C16" i="2"/>
  <c r="F16" i="2"/>
  <c r="C17" i="2"/>
  <c r="F17" i="2"/>
  <c r="C18" i="2"/>
  <c r="F18" i="2"/>
  <c r="C19" i="2"/>
  <c r="F19" i="2"/>
  <c r="C20" i="2"/>
  <c r="F20" i="2"/>
  <c r="C21" i="2"/>
  <c r="F21" i="2"/>
  <c r="C22" i="2"/>
  <c r="F22" i="2"/>
  <c r="C23" i="2"/>
  <c r="F23" i="2"/>
  <c r="C24" i="2"/>
  <c r="F24" i="2"/>
  <c r="C25" i="2"/>
  <c r="F25" i="2"/>
  <c r="C26" i="2"/>
  <c r="F26" i="2"/>
  <c r="C27" i="2"/>
  <c r="F27" i="2"/>
  <c r="C28" i="2"/>
  <c r="F28" i="2"/>
  <c r="C29" i="2"/>
  <c r="F29" i="2"/>
  <c r="C30" i="2"/>
  <c r="F30" i="2"/>
  <c r="C31" i="2"/>
  <c r="F31" i="2"/>
  <c r="C32" i="2"/>
  <c r="F32" i="2"/>
  <c r="C33" i="2"/>
  <c r="F33" i="2"/>
  <c r="C34" i="2"/>
  <c r="F34" i="2"/>
  <c r="C35" i="2"/>
  <c r="F35" i="2"/>
  <c r="C36" i="2"/>
  <c r="F36" i="2"/>
  <c r="C37" i="2"/>
  <c r="F37" i="2"/>
  <c r="C38" i="2"/>
  <c r="F38" i="2"/>
  <c r="C39" i="2"/>
  <c r="F39" i="2"/>
  <c r="C40" i="2"/>
  <c r="F40" i="2"/>
  <c r="C41" i="2"/>
  <c r="F41" i="2"/>
  <c r="C42" i="2"/>
  <c r="F42" i="2"/>
  <c r="C43" i="2"/>
  <c r="F43" i="2"/>
  <c r="C44" i="2"/>
  <c r="F44" i="2"/>
  <c r="C45" i="2"/>
  <c r="F45" i="2"/>
  <c r="C46" i="2"/>
  <c r="F46" i="2"/>
  <c r="C47" i="2"/>
  <c r="F47" i="2"/>
  <c r="C48" i="2"/>
  <c r="F48" i="2"/>
  <c r="C49" i="2"/>
  <c r="F49" i="2"/>
  <c r="C50" i="2"/>
  <c r="F50" i="2"/>
  <c r="C51" i="2"/>
  <c r="F51" i="2"/>
  <c r="C52" i="2"/>
  <c r="F52" i="2"/>
  <c r="C53" i="2"/>
  <c r="F53" i="2"/>
  <c r="C54" i="2"/>
  <c r="F54" i="2"/>
  <c r="C55" i="2"/>
  <c r="F55" i="2"/>
  <c r="C56" i="2"/>
  <c r="F56" i="2"/>
  <c r="C57" i="2"/>
  <c r="F57" i="2"/>
  <c r="C58" i="2"/>
  <c r="F58" i="2"/>
  <c r="C59" i="2"/>
  <c r="F59" i="2"/>
  <c r="C60" i="2"/>
  <c r="F60" i="2"/>
  <c r="C61" i="2"/>
  <c r="F61" i="2"/>
  <c r="C62" i="2"/>
  <c r="F62" i="2"/>
  <c r="C63" i="2"/>
  <c r="F63" i="2"/>
  <c r="C64" i="2"/>
  <c r="F64" i="2"/>
  <c r="C65" i="2"/>
  <c r="F65" i="2"/>
  <c r="C66" i="2"/>
  <c r="F66" i="2"/>
  <c r="C67" i="2"/>
  <c r="F67" i="2"/>
  <c r="C68" i="2"/>
  <c r="F68" i="2"/>
  <c r="C69" i="2"/>
  <c r="F69" i="2"/>
  <c r="C70" i="2"/>
  <c r="F70" i="2"/>
  <c r="C71" i="2"/>
  <c r="F71" i="2"/>
  <c r="C72" i="2"/>
  <c r="F72" i="2"/>
  <c r="C73" i="2"/>
  <c r="F73" i="2"/>
  <c r="C74" i="2"/>
  <c r="F74" i="2"/>
  <c r="C75" i="2"/>
  <c r="F75" i="2"/>
  <c r="C76" i="2"/>
  <c r="F76" i="2"/>
  <c r="C77" i="2"/>
  <c r="F77" i="2"/>
  <c r="C78" i="2"/>
  <c r="F78" i="2"/>
  <c r="C79" i="2"/>
  <c r="F79" i="2"/>
  <c r="C80" i="2"/>
  <c r="F80" i="2"/>
  <c r="C81" i="2"/>
  <c r="F81" i="2"/>
  <c r="C82" i="2"/>
  <c r="F82" i="2"/>
  <c r="C83" i="2"/>
  <c r="F83" i="2"/>
  <c r="C84" i="2"/>
  <c r="F84" i="2"/>
  <c r="C85" i="2"/>
  <c r="F85" i="2"/>
  <c r="C86" i="2"/>
  <c r="F86" i="2"/>
  <c r="C87" i="2"/>
  <c r="F87" i="2"/>
  <c r="C88" i="2"/>
  <c r="F88" i="2"/>
  <c r="C89" i="2"/>
  <c r="F89" i="2"/>
  <c r="C90" i="2"/>
  <c r="F90" i="2"/>
  <c r="C91" i="2"/>
  <c r="F91" i="2"/>
  <c r="C92" i="2"/>
  <c r="F92" i="2"/>
  <c r="C93" i="2"/>
  <c r="F93" i="2"/>
  <c r="C94" i="2"/>
  <c r="F94" i="2"/>
  <c r="C95" i="2"/>
  <c r="F95" i="2"/>
  <c r="C96" i="2"/>
  <c r="F96" i="2"/>
  <c r="C97" i="2"/>
  <c r="F97" i="2"/>
  <c r="C98" i="2"/>
  <c r="F98" i="2"/>
  <c r="C99" i="2"/>
  <c r="F99" i="2"/>
  <c r="C100" i="2"/>
  <c r="F100" i="2"/>
  <c r="C101" i="2"/>
  <c r="F101" i="2"/>
  <c r="C102" i="2"/>
  <c r="F102" i="2"/>
  <c r="C103" i="2"/>
  <c r="F103" i="2"/>
  <c r="C104" i="2"/>
  <c r="F104" i="2"/>
  <c r="C105" i="2"/>
  <c r="F105" i="2"/>
  <c r="C106" i="2"/>
  <c r="F106" i="2"/>
  <c r="C107" i="2"/>
  <c r="F107" i="2"/>
  <c r="C108" i="2"/>
  <c r="F108" i="2"/>
  <c r="C109" i="2"/>
  <c r="F109" i="2"/>
  <c r="C110" i="2"/>
  <c r="F110" i="2"/>
  <c r="C111" i="2"/>
  <c r="F111" i="2"/>
  <c r="C112" i="2"/>
  <c r="F112" i="2"/>
  <c r="C113" i="2"/>
  <c r="F113" i="2"/>
  <c r="C114" i="2"/>
  <c r="F114" i="2"/>
  <c r="C115" i="2"/>
  <c r="F115" i="2"/>
  <c r="C116" i="2"/>
  <c r="F116" i="2"/>
  <c r="C117" i="2"/>
  <c r="F117" i="2"/>
  <c r="C118" i="2"/>
  <c r="F118" i="2"/>
  <c r="C119" i="2"/>
  <c r="F119" i="2"/>
  <c r="C120" i="2"/>
  <c r="F120" i="2"/>
  <c r="C121" i="2"/>
  <c r="F121" i="2"/>
  <c r="C122" i="2"/>
  <c r="F122" i="2"/>
  <c r="C123" i="2"/>
  <c r="F123" i="2"/>
  <c r="C124" i="2"/>
  <c r="F124" i="2"/>
  <c r="C125" i="2"/>
  <c r="F125" i="2"/>
  <c r="C126" i="2"/>
  <c r="F126" i="2"/>
  <c r="C127" i="2"/>
  <c r="F127" i="2"/>
  <c r="C128" i="2"/>
  <c r="F128" i="2"/>
  <c r="C129" i="2"/>
  <c r="F129" i="2"/>
  <c r="C130" i="2"/>
  <c r="F130" i="2"/>
  <c r="C131" i="2"/>
  <c r="F131" i="2"/>
  <c r="C132" i="2"/>
  <c r="F132" i="2"/>
  <c r="C133" i="2"/>
  <c r="F133" i="2"/>
  <c r="C134" i="2"/>
  <c r="F134" i="2"/>
  <c r="C135" i="2"/>
  <c r="F135" i="2"/>
  <c r="C136" i="2"/>
  <c r="F136" i="2"/>
  <c r="C137" i="2"/>
  <c r="F137" i="2"/>
  <c r="C138" i="2"/>
  <c r="F138" i="2"/>
  <c r="C139" i="2"/>
  <c r="F139" i="2"/>
  <c r="C140" i="2"/>
  <c r="F140" i="2"/>
  <c r="C141" i="2"/>
  <c r="F141" i="2"/>
  <c r="C142" i="2"/>
  <c r="F142" i="2"/>
  <c r="C143" i="2"/>
  <c r="F143" i="2"/>
  <c r="C144" i="2"/>
  <c r="F144" i="2"/>
  <c r="C145" i="2"/>
  <c r="F145" i="2"/>
  <c r="C146" i="2"/>
  <c r="F146" i="2"/>
  <c r="C147" i="2"/>
  <c r="F147" i="2"/>
  <c r="C148" i="2"/>
  <c r="F148" i="2"/>
  <c r="C149" i="2"/>
  <c r="F149" i="2"/>
  <c r="C150" i="2"/>
  <c r="F150" i="2"/>
  <c r="C151" i="2"/>
  <c r="F151" i="2"/>
  <c r="C152" i="2"/>
  <c r="F152" i="2"/>
  <c r="C153" i="2"/>
  <c r="F153" i="2"/>
  <c r="C154" i="2"/>
  <c r="F154" i="2"/>
  <c r="C155" i="2"/>
  <c r="F155" i="2"/>
  <c r="C156" i="2"/>
  <c r="F156" i="2"/>
  <c r="C157" i="2"/>
  <c r="F157" i="2"/>
  <c r="C158" i="2"/>
  <c r="F158" i="2"/>
  <c r="C159" i="2"/>
  <c r="F159" i="2"/>
  <c r="C160" i="2"/>
  <c r="F160" i="2"/>
  <c r="C161" i="2"/>
  <c r="F161" i="2"/>
  <c r="C162" i="2"/>
  <c r="F162" i="2"/>
  <c r="C163" i="2"/>
  <c r="F163" i="2"/>
  <c r="C164" i="2"/>
  <c r="F164" i="2"/>
  <c r="C165" i="2"/>
  <c r="F165" i="2"/>
  <c r="C166" i="2"/>
  <c r="F166" i="2"/>
  <c r="C167" i="2"/>
  <c r="F167" i="2"/>
  <c r="C168" i="2"/>
  <c r="F168" i="2"/>
  <c r="C169" i="2"/>
  <c r="F169" i="2"/>
  <c r="C170" i="2"/>
  <c r="F170" i="2"/>
  <c r="C171" i="2"/>
  <c r="F171" i="2"/>
  <c r="C172" i="2"/>
  <c r="F172" i="2"/>
  <c r="C173" i="2"/>
  <c r="F173" i="2"/>
  <c r="C174" i="2"/>
  <c r="F174" i="2"/>
  <c r="C175" i="2"/>
  <c r="F175" i="2"/>
  <c r="C176" i="2"/>
  <c r="F176" i="2"/>
  <c r="C177" i="2"/>
  <c r="F177" i="2"/>
  <c r="C178" i="2"/>
  <c r="F178" i="2"/>
  <c r="C179" i="2"/>
  <c r="F179" i="2"/>
  <c r="C180" i="2"/>
  <c r="F180" i="2"/>
  <c r="C181" i="2"/>
  <c r="F181" i="2"/>
  <c r="C182" i="2"/>
  <c r="F182" i="2"/>
  <c r="C183" i="2"/>
  <c r="F183" i="2"/>
  <c r="C184" i="2"/>
  <c r="F184" i="2"/>
  <c r="C185" i="2"/>
  <c r="F185" i="2"/>
  <c r="C186" i="2"/>
  <c r="F186" i="2"/>
  <c r="C187" i="2"/>
  <c r="F187" i="2"/>
  <c r="C188" i="2"/>
  <c r="F188" i="2"/>
  <c r="C189" i="2"/>
  <c r="F189" i="2"/>
  <c r="C190" i="2"/>
  <c r="F190" i="2"/>
  <c r="C191" i="2"/>
  <c r="F191" i="2"/>
  <c r="C192" i="2"/>
  <c r="F192" i="2"/>
  <c r="C193" i="2"/>
  <c r="F193" i="2"/>
  <c r="C194" i="2"/>
  <c r="F194" i="2"/>
  <c r="C195" i="2"/>
  <c r="F195" i="2"/>
  <c r="C196" i="2"/>
  <c r="F196" i="2"/>
  <c r="C197" i="2"/>
  <c r="F197" i="2"/>
  <c r="C198" i="2"/>
  <c r="F198" i="2"/>
  <c r="C199" i="2"/>
  <c r="F199" i="2"/>
  <c r="C200" i="2"/>
  <c r="F200" i="2"/>
  <c r="C201" i="2"/>
  <c r="F201" i="2"/>
  <c r="C202" i="2"/>
  <c r="F202" i="2"/>
  <c r="C203" i="2"/>
  <c r="F203" i="2"/>
  <c r="C204" i="2"/>
  <c r="F204" i="2"/>
  <c r="C205" i="2"/>
  <c r="F205" i="2"/>
  <c r="C206" i="2"/>
  <c r="F206" i="2"/>
  <c r="C207" i="2"/>
  <c r="F207" i="2"/>
  <c r="C208" i="2"/>
  <c r="F208" i="2"/>
  <c r="C209" i="2"/>
  <c r="F209" i="2"/>
  <c r="C210" i="2"/>
  <c r="F210" i="2"/>
  <c r="C211" i="2"/>
  <c r="F211" i="2"/>
  <c r="C212" i="2"/>
  <c r="F212" i="2"/>
  <c r="C213" i="2"/>
  <c r="F213" i="2"/>
  <c r="C214" i="2"/>
  <c r="F214" i="2"/>
  <c r="C215" i="2"/>
  <c r="F215" i="2"/>
  <c r="C216" i="2"/>
  <c r="F216" i="2"/>
  <c r="C217" i="2"/>
  <c r="F217" i="2"/>
  <c r="C218" i="2"/>
  <c r="F218" i="2"/>
  <c r="C219" i="2"/>
  <c r="F219" i="2"/>
  <c r="C220" i="2"/>
  <c r="F220" i="2"/>
  <c r="C221" i="2"/>
  <c r="F221" i="2"/>
  <c r="C222" i="2"/>
  <c r="F222" i="2"/>
  <c r="C223" i="2"/>
  <c r="F223" i="2"/>
  <c r="C224" i="2"/>
  <c r="F224" i="2"/>
  <c r="C225" i="2"/>
  <c r="F225" i="2"/>
  <c r="C226" i="2"/>
  <c r="F226" i="2"/>
  <c r="C227" i="2"/>
  <c r="F227" i="2"/>
  <c r="C228" i="2"/>
  <c r="F228" i="2"/>
  <c r="C229" i="2"/>
  <c r="F229" i="2"/>
  <c r="C230" i="2"/>
  <c r="F230" i="2"/>
  <c r="C231" i="2"/>
  <c r="F231" i="2"/>
  <c r="C232" i="2"/>
  <c r="F232" i="2"/>
  <c r="C233" i="2"/>
  <c r="F233" i="2"/>
  <c r="C234" i="2"/>
  <c r="F234" i="2"/>
  <c r="C235" i="2"/>
  <c r="F235" i="2"/>
  <c r="C236" i="2"/>
  <c r="F236" i="2"/>
  <c r="C237" i="2"/>
  <c r="F237" i="2"/>
  <c r="C238" i="2"/>
  <c r="F238" i="2"/>
  <c r="C239" i="2"/>
  <c r="F239" i="2"/>
  <c r="C240" i="2"/>
  <c r="F240" i="2"/>
  <c r="C241" i="2"/>
  <c r="F241" i="2"/>
  <c r="C242" i="2"/>
  <c r="F242" i="2"/>
  <c r="C243" i="2"/>
  <c r="F243" i="2"/>
  <c r="C244" i="2"/>
  <c r="F244" i="2"/>
  <c r="C245" i="2"/>
  <c r="F245" i="2"/>
  <c r="C246" i="2"/>
  <c r="F246" i="2"/>
  <c r="C247" i="2"/>
  <c r="F247" i="2"/>
  <c r="C248" i="2"/>
  <c r="F248" i="2"/>
  <c r="C249" i="2"/>
  <c r="F249" i="2"/>
  <c r="C250" i="2"/>
  <c r="F250" i="2"/>
  <c r="C251" i="2"/>
  <c r="F251" i="2"/>
  <c r="C252" i="2"/>
  <c r="F252" i="2"/>
  <c r="C253" i="2"/>
  <c r="F253" i="2"/>
  <c r="C254" i="2"/>
  <c r="F254" i="2"/>
  <c r="C255" i="2"/>
  <c r="F255" i="2"/>
  <c r="C256" i="2"/>
  <c r="F256" i="2"/>
  <c r="C257" i="2"/>
  <c r="F257" i="2"/>
  <c r="C258" i="2"/>
  <c r="F258" i="2"/>
  <c r="C259" i="2"/>
  <c r="F259" i="2"/>
  <c r="C260" i="2"/>
  <c r="F260" i="2"/>
  <c r="C261" i="2"/>
  <c r="F261" i="2"/>
  <c r="C262" i="2"/>
  <c r="F262" i="2"/>
  <c r="C263" i="2"/>
  <c r="F263" i="2"/>
  <c r="C264" i="2"/>
  <c r="F264" i="2"/>
  <c r="C265" i="2"/>
  <c r="F265" i="2"/>
  <c r="C266" i="2"/>
  <c r="F266" i="2"/>
  <c r="C267" i="2"/>
  <c r="F267" i="2"/>
  <c r="C268" i="2"/>
  <c r="F268" i="2"/>
  <c r="C269" i="2"/>
  <c r="F269" i="2"/>
  <c r="C270" i="2"/>
  <c r="F270" i="2"/>
  <c r="C271" i="2"/>
  <c r="F271" i="2"/>
  <c r="C272" i="2"/>
  <c r="F272" i="2"/>
  <c r="C273" i="2"/>
  <c r="F273" i="2"/>
  <c r="C274" i="2"/>
  <c r="F274" i="2"/>
  <c r="C275" i="2"/>
  <c r="F275" i="2"/>
  <c r="C276" i="2"/>
  <c r="F276" i="2"/>
  <c r="C277" i="2"/>
  <c r="F277" i="2"/>
  <c r="C278" i="2"/>
  <c r="F278" i="2"/>
  <c r="C279" i="2"/>
  <c r="F279" i="2"/>
  <c r="C280" i="2"/>
  <c r="F280" i="2"/>
  <c r="C281" i="2"/>
  <c r="F281" i="2"/>
  <c r="C282" i="2"/>
  <c r="F282" i="2"/>
  <c r="C283" i="2"/>
  <c r="F283" i="2"/>
  <c r="C284" i="2"/>
  <c r="F284" i="2"/>
  <c r="C285" i="2"/>
  <c r="F285" i="2"/>
  <c r="C286" i="2"/>
  <c r="F286" i="2"/>
  <c r="C287" i="2"/>
  <c r="F287" i="2"/>
  <c r="C288" i="2"/>
  <c r="F288" i="2"/>
  <c r="C289" i="2"/>
  <c r="F289" i="2"/>
  <c r="C290" i="2"/>
  <c r="F290" i="2"/>
  <c r="C291" i="2"/>
  <c r="F291" i="2"/>
  <c r="C292" i="2"/>
  <c r="F292" i="2"/>
  <c r="C293" i="2"/>
  <c r="F293" i="2"/>
  <c r="C294" i="2"/>
  <c r="F294" i="2"/>
  <c r="C295" i="2"/>
  <c r="F295" i="2"/>
  <c r="C296" i="2"/>
  <c r="F296" i="2"/>
  <c r="C297" i="2"/>
  <c r="F297" i="2"/>
  <c r="C298" i="2"/>
  <c r="F298" i="2"/>
  <c r="C299" i="2"/>
  <c r="F299" i="2"/>
  <c r="C300" i="2"/>
  <c r="F300" i="2"/>
  <c r="C301" i="2"/>
  <c r="F301" i="2"/>
  <c r="C302" i="2"/>
  <c r="F302" i="2"/>
  <c r="C303" i="2"/>
  <c r="F303" i="2"/>
  <c r="C304" i="2"/>
  <c r="F304" i="2"/>
  <c r="C305" i="2"/>
  <c r="F305" i="2"/>
  <c r="C306" i="2"/>
  <c r="F306" i="2"/>
  <c r="C307" i="2"/>
  <c r="F307" i="2"/>
  <c r="C308" i="2"/>
  <c r="F308" i="2"/>
  <c r="C309" i="2"/>
  <c r="F309" i="2"/>
  <c r="C310" i="2"/>
  <c r="F310" i="2"/>
  <c r="C311" i="2"/>
  <c r="F311" i="2"/>
  <c r="C312" i="2"/>
  <c r="F312" i="2"/>
  <c r="C313" i="2"/>
  <c r="F313" i="2"/>
  <c r="C314" i="2"/>
  <c r="F314" i="2"/>
  <c r="C315" i="2"/>
  <c r="F315" i="2"/>
  <c r="C316" i="2"/>
  <c r="F316" i="2"/>
  <c r="C317" i="2"/>
  <c r="F317" i="2"/>
  <c r="C318" i="2"/>
  <c r="F318" i="2"/>
  <c r="C319" i="2"/>
  <c r="F319" i="2"/>
  <c r="C320" i="2"/>
  <c r="F320" i="2"/>
  <c r="C321" i="2"/>
  <c r="F321" i="2"/>
  <c r="C322" i="2"/>
  <c r="F322" i="2"/>
  <c r="C323" i="2"/>
  <c r="F323" i="2"/>
  <c r="C324" i="2"/>
  <c r="F324" i="2"/>
  <c r="C325" i="2"/>
  <c r="F325" i="2"/>
  <c r="C326" i="2"/>
  <c r="F326" i="2"/>
  <c r="C327" i="2"/>
  <c r="F327" i="2"/>
  <c r="C328" i="2"/>
  <c r="F328" i="2"/>
  <c r="C329" i="2"/>
  <c r="F329" i="2"/>
  <c r="C330" i="2"/>
  <c r="F330" i="2"/>
  <c r="C331" i="2"/>
  <c r="F331" i="2"/>
  <c r="C332" i="2"/>
  <c r="F332" i="2"/>
  <c r="C333" i="2"/>
  <c r="F333" i="2"/>
  <c r="C334" i="2"/>
  <c r="F334" i="2"/>
  <c r="C335" i="2"/>
  <c r="F335" i="2"/>
  <c r="C336" i="2"/>
  <c r="F336" i="2"/>
  <c r="C337" i="2"/>
  <c r="F337" i="2"/>
  <c r="C338" i="2"/>
  <c r="F338" i="2"/>
  <c r="C339" i="2"/>
  <c r="F339" i="2"/>
  <c r="C340" i="2"/>
  <c r="F340" i="2"/>
  <c r="C341" i="2"/>
  <c r="F341" i="2"/>
  <c r="C342" i="2"/>
  <c r="F342" i="2"/>
  <c r="C343" i="2"/>
  <c r="F343" i="2"/>
  <c r="C344" i="2"/>
  <c r="F344" i="2"/>
  <c r="C345" i="2"/>
  <c r="F345" i="2"/>
  <c r="C346" i="2"/>
  <c r="F346" i="2"/>
  <c r="C347" i="2"/>
  <c r="F347" i="2"/>
  <c r="C348" i="2"/>
  <c r="F348" i="2"/>
  <c r="C349" i="2"/>
  <c r="F349" i="2"/>
  <c r="C350" i="2"/>
  <c r="F350" i="2"/>
  <c r="C351" i="2"/>
  <c r="F351" i="2"/>
  <c r="C352" i="2"/>
  <c r="F352" i="2"/>
  <c r="C353" i="2"/>
  <c r="F353" i="2"/>
  <c r="C354" i="2"/>
  <c r="F354" i="2"/>
  <c r="C355" i="2"/>
  <c r="F355" i="2"/>
  <c r="C356" i="2"/>
  <c r="F356" i="2"/>
  <c r="C357" i="2"/>
  <c r="F357" i="2"/>
  <c r="C358" i="2"/>
  <c r="F358" i="2"/>
  <c r="C359" i="2"/>
  <c r="F359" i="2"/>
  <c r="C360" i="2"/>
  <c r="F360" i="2"/>
  <c r="C361" i="2"/>
  <c r="F361" i="2"/>
  <c r="C362" i="2"/>
  <c r="F362" i="2"/>
  <c r="C363" i="2"/>
  <c r="F363" i="2"/>
  <c r="C364" i="2"/>
  <c r="F364" i="2"/>
  <c r="C365" i="2"/>
  <c r="F365" i="2"/>
  <c r="C366" i="2"/>
  <c r="F366" i="2"/>
  <c r="C367" i="2"/>
  <c r="F367" i="2"/>
  <c r="C368" i="2"/>
  <c r="F368" i="2"/>
  <c r="C369" i="2"/>
  <c r="F369" i="2"/>
  <c r="C370" i="2"/>
  <c r="F370" i="2"/>
  <c r="C371" i="2"/>
  <c r="F371" i="2"/>
  <c r="C372" i="2"/>
  <c r="F372" i="2"/>
  <c r="C373" i="2"/>
  <c r="F373" i="2"/>
  <c r="C374" i="2"/>
  <c r="F374" i="2"/>
  <c r="C375" i="2"/>
  <c r="F375" i="2"/>
  <c r="C376" i="2"/>
  <c r="F376" i="2"/>
  <c r="C377" i="2"/>
  <c r="F377" i="2"/>
  <c r="C378" i="2"/>
  <c r="F378" i="2"/>
  <c r="C379" i="2"/>
  <c r="F379" i="2"/>
  <c r="C380" i="2"/>
  <c r="F380" i="2"/>
  <c r="C381" i="2"/>
  <c r="F381" i="2"/>
  <c r="C382" i="2"/>
  <c r="F382" i="2"/>
  <c r="C383" i="2"/>
  <c r="F383" i="2"/>
  <c r="C384" i="2"/>
  <c r="F384" i="2"/>
  <c r="C385" i="2"/>
  <c r="F385" i="2"/>
  <c r="C386" i="2"/>
  <c r="F386" i="2"/>
  <c r="C387" i="2"/>
  <c r="F387" i="2"/>
  <c r="C388" i="2"/>
  <c r="F388" i="2"/>
  <c r="C389" i="2"/>
  <c r="F389" i="2"/>
  <c r="C390" i="2"/>
  <c r="F390" i="2"/>
  <c r="C391" i="2"/>
  <c r="F391" i="2"/>
  <c r="C392" i="2"/>
  <c r="F392" i="2"/>
  <c r="C393" i="2"/>
  <c r="F393" i="2"/>
  <c r="C394" i="2"/>
  <c r="F394" i="2"/>
  <c r="C395" i="2"/>
  <c r="F395" i="2"/>
  <c r="C396" i="2"/>
  <c r="F396" i="2"/>
  <c r="C397" i="2"/>
  <c r="F397" i="2"/>
  <c r="C398" i="2"/>
  <c r="F398" i="2"/>
  <c r="C399" i="2"/>
  <c r="F399" i="2"/>
  <c r="C400" i="2"/>
  <c r="F400" i="2"/>
  <c r="C401" i="2"/>
  <c r="F401" i="2"/>
  <c r="C402" i="2"/>
  <c r="F402" i="2"/>
  <c r="C403" i="2"/>
  <c r="F403" i="2"/>
  <c r="C404" i="2"/>
  <c r="F404" i="2"/>
  <c r="C405" i="2"/>
  <c r="F405" i="2"/>
  <c r="C406" i="2"/>
  <c r="F406" i="2"/>
  <c r="C407" i="2"/>
  <c r="F407" i="2"/>
  <c r="C408" i="2"/>
  <c r="F408" i="2"/>
  <c r="C409" i="2"/>
  <c r="F409" i="2"/>
  <c r="C410" i="2"/>
  <c r="F410" i="2"/>
  <c r="C411" i="2"/>
  <c r="F411" i="2"/>
  <c r="C412" i="2"/>
  <c r="F412" i="2"/>
  <c r="C413" i="2"/>
  <c r="F413" i="2"/>
  <c r="C414" i="2"/>
  <c r="F414" i="2"/>
  <c r="C415" i="2"/>
  <c r="F415" i="2"/>
  <c r="C416" i="2"/>
  <c r="F416" i="2"/>
  <c r="C417" i="2"/>
  <c r="F417" i="2"/>
  <c r="C418" i="2"/>
  <c r="F418" i="2"/>
  <c r="C419" i="2"/>
  <c r="F419" i="2"/>
  <c r="C420" i="2"/>
  <c r="F420" i="2"/>
  <c r="C421" i="2"/>
  <c r="F421" i="2"/>
  <c r="C422" i="2"/>
  <c r="F422" i="2"/>
  <c r="C423" i="2"/>
  <c r="F423" i="2"/>
  <c r="C424" i="2"/>
  <c r="F424" i="2"/>
  <c r="C425" i="2"/>
  <c r="F425" i="2"/>
  <c r="C426" i="2"/>
  <c r="F426" i="2"/>
  <c r="C427" i="2"/>
  <c r="F427" i="2"/>
  <c r="C428" i="2"/>
  <c r="F428" i="2"/>
  <c r="C429" i="2"/>
  <c r="F429" i="2"/>
  <c r="C430" i="2"/>
  <c r="F430" i="2"/>
  <c r="C431" i="2"/>
  <c r="F431" i="2"/>
  <c r="C432" i="2"/>
  <c r="F432" i="2"/>
  <c r="C433" i="2"/>
  <c r="F433" i="2"/>
  <c r="C434" i="2"/>
  <c r="F434" i="2"/>
  <c r="C435" i="2"/>
  <c r="F435" i="2"/>
  <c r="C436" i="2"/>
  <c r="F436" i="2"/>
  <c r="C437" i="2"/>
  <c r="F437" i="2"/>
  <c r="C438" i="2"/>
  <c r="F438" i="2"/>
  <c r="C439" i="2"/>
  <c r="F439" i="2"/>
  <c r="C440" i="2"/>
  <c r="F440" i="2"/>
  <c r="C441" i="2"/>
  <c r="F441" i="2"/>
  <c r="C442" i="2"/>
  <c r="F442" i="2"/>
  <c r="C443" i="2"/>
  <c r="F443" i="2"/>
  <c r="C444" i="2"/>
  <c r="F444" i="2"/>
  <c r="C445" i="2"/>
  <c r="F445" i="2"/>
  <c r="C446" i="2"/>
  <c r="F446" i="2"/>
  <c r="C447" i="2"/>
  <c r="F447" i="2"/>
  <c r="C448" i="2"/>
  <c r="F448" i="2"/>
  <c r="C449" i="2"/>
  <c r="F449" i="2"/>
  <c r="C450" i="2"/>
  <c r="F450" i="2"/>
  <c r="C451" i="2"/>
  <c r="F451" i="2"/>
  <c r="C452" i="2"/>
  <c r="F452" i="2"/>
  <c r="C453" i="2"/>
  <c r="F453" i="2"/>
  <c r="C454" i="2"/>
  <c r="F454" i="2"/>
  <c r="C455" i="2"/>
  <c r="F455" i="2"/>
  <c r="C456" i="2"/>
  <c r="F456" i="2"/>
  <c r="C457" i="2"/>
  <c r="F457" i="2"/>
  <c r="C458" i="2"/>
  <c r="F458" i="2"/>
  <c r="C459" i="2"/>
  <c r="F459" i="2"/>
  <c r="C460" i="2"/>
  <c r="F460" i="2"/>
  <c r="C461" i="2"/>
  <c r="F461" i="2"/>
  <c r="C462" i="2"/>
  <c r="F462" i="2"/>
  <c r="C463" i="2"/>
  <c r="F463" i="2"/>
  <c r="C464" i="2"/>
  <c r="F464" i="2"/>
  <c r="C465" i="2"/>
  <c r="F465" i="2"/>
  <c r="C466" i="2"/>
  <c r="F466" i="2"/>
  <c r="C467" i="2"/>
  <c r="F467" i="2"/>
  <c r="C468" i="2"/>
  <c r="F468" i="2"/>
  <c r="C469" i="2"/>
  <c r="F469" i="2"/>
  <c r="C470" i="2"/>
  <c r="F470" i="2"/>
  <c r="C471" i="2"/>
  <c r="F471" i="2"/>
  <c r="C472" i="2"/>
  <c r="F472" i="2"/>
  <c r="C473" i="2"/>
  <c r="F473" i="2"/>
  <c r="C474" i="2"/>
  <c r="F474" i="2"/>
  <c r="C475" i="2"/>
  <c r="F475" i="2"/>
  <c r="C476" i="2"/>
  <c r="F476" i="2"/>
  <c r="C477" i="2"/>
  <c r="F477" i="2"/>
  <c r="C478" i="2"/>
  <c r="F478" i="2"/>
  <c r="C479" i="2"/>
  <c r="F479" i="2"/>
  <c r="C480" i="2"/>
  <c r="F480" i="2"/>
  <c r="C481" i="2"/>
  <c r="F481" i="2"/>
  <c r="C482" i="2"/>
  <c r="F482" i="2"/>
  <c r="C483" i="2"/>
  <c r="F483" i="2"/>
  <c r="C484" i="2"/>
  <c r="F484" i="2"/>
  <c r="C485" i="2"/>
  <c r="F485" i="2"/>
  <c r="C486" i="2"/>
  <c r="F486" i="2"/>
  <c r="C487" i="2"/>
  <c r="F487" i="2"/>
  <c r="C488" i="2"/>
  <c r="F488" i="2"/>
  <c r="C489" i="2"/>
  <c r="F489" i="2"/>
  <c r="C490" i="2"/>
  <c r="F490" i="2"/>
  <c r="C491" i="2"/>
  <c r="F491" i="2"/>
  <c r="C492" i="2"/>
  <c r="F492" i="2"/>
  <c r="C493" i="2"/>
  <c r="F493" i="2"/>
  <c r="C494" i="2"/>
  <c r="F494" i="2"/>
  <c r="C495" i="2"/>
  <c r="F495" i="2"/>
  <c r="C496" i="2"/>
  <c r="F496" i="2"/>
  <c r="C497" i="2"/>
  <c r="F497" i="2"/>
  <c r="C498" i="2"/>
  <c r="F498" i="2"/>
  <c r="C499" i="2"/>
  <c r="F499" i="2"/>
  <c r="C500" i="2"/>
  <c r="F500" i="2"/>
  <c r="C501" i="2"/>
  <c r="F501" i="2"/>
  <c r="C502" i="2"/>
  <c r="F502" i="2"/>
  <c r="C503" i="2"/>
  <c r="F503" i="2"/>
  <c r="C504" i="2"/>
  <c r="F504" i="2"/>
  <c r="C505" i="2"/>
  <c r="F505" i="2"/>
  <c r="C506" i="2"/>
  <c r="F506" i="2"/>
  <c r="C507" i="2"/>
  <c r="F507" i="2"/>
  <c r="C508" i="2"/>
  <c r="F508" i="2"/>
  <c r="C509" i="2"/>
  <c r="F509" i="2"/>
  <c r="C510" i="2"/>
  <c r="F510" i="2"/>
  <c r="C511" i="2"/>
  <c r="F511" i="2"/>
  <c r="C512" i="2"/>
  <c r="F512" i="2"/>
  <c r="C513" i="2"/>
  <c r="F513" i="2"/>
  <c r="C514" i="2"/>
  <c r="F514" i="2"/>
  <c r="C515" i="2"/>
  <c r="F515" i="2"/>
  <c r="C516" i="2"/>
  <c r="F516" i="2"/>
  <c r="C517" i="2"/>
  <c r="F517" i="2"/>
  <c r="C518" i="2"/>
  <c r="F518" i="2"/>
  <c r="C519" i="2"/>
  <c r="F519" i="2"/>
  <c r="C520" i="2"/>
  <c r="F520" i="2"/>
  <c r="C521" i="2"/>
  <c r="F521" i="2"/>
  <c r="C522" i="2"/>
  <c r="F522" i="2"/>
  <c r="C523" i="2"/>
  <c r="F523" i="2"/>
  <c r="C524" i="2"/>
  <c r="F524" i="2"/>
  <c r="C525" i="2"/>
  <c r="F525" i="2"/>
  <c r="C526" i="2"/>
  <c r="F526" i="2"/>
  <c r="C527" i="2"/>
  <c r="F527" i="2"/>
  <c r="C528" i="2"/>
  <c r="F528" i="2"/>
  <c r="C529" i="2"/>
  <c r="F529" i="2"/>
  <c r="C530" i="2"/>
  <c r="F530" i="2"/>
  <c r="C531" i="2"/>
  <c r="F531" i="2"/>
  <c r="C532" i="2"/>
  <c r="F532" i="2"/>
  <c r="C533" i="2"/>
  <c r="F533" i="2"/>
  <c r="C534" i="2"/>
  <c r="F534" i="2"/>
  <c r="C535" i="2"/>
  <c r="F535" i="2"/>
  <c r="C536" i="2"/>
  <c r="F536" i="2"/>
  <c r="C537" i="2"/>
  <c r="F537" i="2"/>
  <c r="C538" i="2"/>
  <c r="F538" i="2"/>
  <c r="C539" i="2"/>
  <c r="F539" i="2"/>
  <c r="C540" i="2"/>
  <c r="F540" i="2"/>
  <c r="C541" i="2"/>
  <c r="F541" i="2"/>
  <c r="C542" i="2"/>
  <c r="F542" i="2"/>
  <c r="C543" i="2"/>
  <c r="F543" i="2"/>
  <c r="C544" i="2"/>
  <c r="F544" i="2"/>
  <c r="C545" i="2"/>
  <c r="F545" i="2"/>
  <c r="C546" i="2"/>
  <c r="F546" i="2"/>
  <c r="C547" i="2"/>
  <c r="F547" i="2"/>
  <c r="C548" i="2"/>
  <c r="F548" i="2"/>
  <c r="C549" i="2"/>
  <c r="F549" i="2"/>
  <c r="C550" i="2"/>
  <c r="F550" i="2"/>
  <c r="C551" i="2"/>
  <c r="F551" i="2"/>
  <c r="C552" i="2"/>
  <c r="F552" i="2"/>
  <c r="C553" i="2"/>
  <c r="F553" i="2"/>
  <c r="C554" i="2"/>
  <c r="F554" i="2"/>
  <c r="C555" i="2"/>
  <c r="F555" i="2"/>
  <c r="C556" i="2"/>
  <c r="F556" i="2"/>
  <c r="C557" i="2"/>
  <c r="F557" i="2"/>
  <c r="C558" i="2"/>
  <c r="F558" i="2"/>
  <c r="C559" i="2"/>
  <c r="F559" i="2"/>
  <c r="C560" i="2"/>
  <c r="F560" i="2"/>
  <c r="C561" i="2"/>
  <c r="F561" i="2"/>
  <c r="C562" i="2"/>
  <c r="F562" i="2"/>
  <c r="C563" i="2"/>
  <c r="F563" i="2"/>
  <c r="C564" i="2"/>
  <c r="F564" i="2"/>
  <c r="C565" i="2"/>
  <c r="F565" i="2"/>
  <c r="C566" i="2"/>
  <c r="F566" i="2"/>
  <c r="C567" i="2"/>
  <c r="F567" i="2"/>
  <c r="C568" i="2"/>
  <c r="F568" i="2"/>
  <c r="C569" i="2"/>
  <c r="F569" i="2"/>
  <c r="C570" i="2"/>
  <c r="F570" i="2"/>
  <c r="C571" i="2"/>
  <c r="F571" i="2"/>
  <c r="C572" i="2"/>
  <c r="F572" i="2"/>
  <c r="C573" i="2"/>
  <c r="F573" i="2"/>
  <c r="C574" i="2"/>
  <c r="F574" i="2"/>
  <c r="C575" i="2"/>
  <c r="F575" i="2"/>
  <c r="C576" i="2"/>
  <c r="F576" i="2"/>
  <c r="C577" i="2"/>
  <c r="F577" i="2"/>
  <c r="C578" i="2"/>
  <c r="F578" i="2"/>
  <c r="C579" i="2"/>
  <c r="F579" i="2"/>
  <c r="C580" i="2"/>
  <c r="F580" i="2"/>
  <c r="C581" i="2"/>
  <c r="F581" i="2"/>
  <c r="C582" i="2"/>
  <c r="F582" i="2"/>
  <c r="C583" i="2"/>
  <c r="F583" i="2"/>
  <c r="C584" i="2"/>
  <c r="F584" i="2"/>
  <c r="C585" i="2"/>
  <c r="F585" i="2"/>
  <c r="C586" i="2"/>
  <c r="F586" i="2"/>
  <c r="C587" i="2"/>
  <c r="F587" i="2"/>
  <c r="C588" i="2"/>
  <c r="F588" i="2"/>
  <c r="C589" i="2"/>
  <c r="F589" i="2"/>
  <c r="C590" i="2"/>
  <c r="F590" i="2"/>
  <c r="C591" i="2"/>
  <c r="F591" i="2"/>
  <c r="C592" i="2"/>
  <c r="F592" i="2"/>
  <c r="C593" i="2"/>
  <c r="F593" i="2"/>
  <c r="C594" i="2"/>
  <c r="F594" i="2"/>
  <c r="C595" i="2"/>
  <c r="F595" i="2"/>
  <c r="C596" i="2"/>
  <c r="F596" i="2"/>
  <c r="C597" i="2"/>
  <c r="F597" i="2"/>
  <c r="C598" i="2"/>
  <c r="F598" i="2"/>
  <c r="C599" i="2"/>
  <c r="F599" i="2"/>
  <c r="C600" i="2"/>
  <c r="F600" i="2"/>
  <c r="C601" i="2"/>
  <c r="F601" i="2"/>
  <c r="C602" i="2"/>
  <c r="F602" i="2"/>
  <c r="C603" i="2"/>
  <c r="F603" i="2"/>
  <c r="C604" i="2"/>
  <c r="F604" i="2"/>
  <c r="C605" i="2"/>
  <c r="F605" i="2"/>
  <c r="C606" i="2"/>
  <c r="F606" i="2"/>
  <c r="C607" i="2"/>
  <c r="F607" i="2"/>
  <c r="C608" i="2"/>
  <c r="F608" i="2"/>
  <c r="C609" i="2"/>
  <c r="F609" i="2"/>
  <c r="C610" i="2"/>
  <c r="F610" i="2"/>
  <c r="C611" i="2"/>
  <c r="F611" i="2"/>
  <c r="C612" i="2"/>
  <c r="F612" i="2"/>
  <c r="C613" i="2"/>
  <c r="F613" i="2"/>
  <c r="C614" i="2"/>
  <c r="F614" i="2"/>
  <c r="C615" i="2"/>
  <c r="F615" i="2"/>
  <c r="C616" i="2"/>
  <c r="F616" i="2"/>
  <c r="C617" i="2"/>
  <c r="F617" i="2"/>
  <c r="C618" i="2"/>
  <c r="F618" i="2"/>
  <c r="C619" i="2"/>
  <c r="F619" i="2"/>
  <c r="C620" i="2"/>
  <c r="F620" i="2"/>
  <c r="C621" i="2"/>
  <c r="F621" i="2"/>
  <c r="C622" i="2"/>
  <c r="F622" i="2"/>
  <c r="C623" i="2"/>
  <c r="F623" i="2"/>
  <c r="C624" i="2"/>
  <c r="F624" i="2"/>
  <c r="C625" i="2"/>
  <c r="F625" i="2"/>
  <c r="C626" i="2"/>
  <c r="F626" i="2"/>
  <c r="C627" i="2"/>
  <c r="F627" i="2"/>
  <c r="C628" i="2"/>
  <c r="F628" i="2"/>
  <c r="C629" i="2"/>
  <c r="F629" i="2"/>
  <c r="C630" i="2"/>
  <c r="F630" i="2"/>
  <c r="C631" i="2"/>
  <c r="F631" i="2"/>
  <c r="C632" i="2"/>
  <c r="F632" i="2"/>
  <c r="C633" i="2"/>
  <c r="F633" i="2"/>
  <c r="C634" i="2"/>
  <c r="F634" i="2"/>
  <c r="C635" i="2"/>
  <c r="F635" i="2"/>
  <c r="C636" i="2"/>
  <c r="F636" i="2"/>
  <c r="C637" i="2"/>
  <c r="F637" i="2"/>
  <c r="C638" i="2"/>
  <c r="F638" i="2"/>
  <c r="C639" i="2"/>
  <c r="F639" i="2"/>
  <c r="C640" i="2"/>
  <c r="F640" i="2"/>
  <c r="C641" i="2"/>
  <c r="F641" i="2"/>
  <c r="C642" i="2"/>
  <c r="F642" i="2"/>
  <c r="C643" i="2"/>
  <c r="F643" i="2"/>
  <c r="C644" i="2"/>
  <c r="F644" i="2"/>
  <c r="C645" i="2"/>
  <c r="F645" i="2"/>
  <c r="C646" i="2"/>
  <c r="F646" i="2"/>
  <c r="C647" i="2"/>
  <c r="F647" i="2"/>
  <c r="C648" i="2"/>
  <c r="F648" i="2"/>
  <c r="C649" i="2"/>
  <c r="F649" i="2"/>
  <c r="C650" i="2"/>
  <c r="F650" i="2"/>
  <c r="C651" i="2"/>
  <c r="F651" i="2"/>
  <c r="C652" i="2"/>
  <c r="F652" i="2"/>
  <c r="C653" i="2"/>
  <c r="F653" i="2"/>
  <c r="C654" i="2"/>
  <c r="F654" i="2"/>
  <c r="C655" i="2"/>
  <c r="F655" i="2"/>
  <c r="C656" i="2"/>
  <c r="F656" i="2"/>
  <c r="C657" i="2"/>
  <c r="F657" i="2"/>
  <c r="C658" i="2"/>
  <c r="F658" i="2"/>
  <c r="C659" i="2"/>
  <c r="F659" i="2"/>
  <c r="C660" i="2"/>
  <c r="F660" i="2"/>
  <c r="C661" i="2"/>
  <c r="F661" i="2"/>
  <c r="C662" i="2"/>
  <c r="F662" i="2"/>
  <c r="C663" i="2"/>
  <c r="F663" i="2"/>
  <c r="C664" i="2"/>
  <c r="F664" i="2"/>
  <c r="C665" i="2"/>
  <c r="F665" i="2"/>
  <c r="C666" i="2"/>
  <c r="F666" i="2"/>
  <c r="C667" i="2"/>
  <c r="F667" i="2"/>
  <c r="C668" i="2"/>
  <c r="F668" i="2"/>
  <c r="C669" i="2"/>
  <c r="F669" i="2"/>
  <c r="C670" i="2"/>
  <c r="F670" i="2"/>
  <c r="C671" i="2"/>
  <c r="F671" i="2"/>
  <c r="C672" i="2"/>
  <c r="F672" i="2"/>
  <c r="C673" i="2"/>
  <c r="F673" i="2"/>
  <c r="C674" i="2"/>
  <c r="F674" i="2"/>
  <c r="C675" i="2"/>
  <c r="F675" i="2"/>
  <c r="C676" i="2"/>
  <c r="F676" i="2"/>
  <c r="C677" i="2"/>
  <c r="F677" i="2"/>
  <c r="C678" i="2"/>
  <c r="F678" i="2"/>
  <c r="C679" i="2"/>
  <c r="F679" i="2"/>
  <c r="C680" i="2"/>
  <c r="F680" i="2"/>
  <c r="C681" i="2"/>
  <c r="F681" i="2"/>
  <c r="C682" i="2"/>
  <c r="F682" i="2"/>
  <c r="C683" i="2"/>
  <c r="F683" i="2"/>
  <c r="C684" i="2"/>
  <c r="F684" i="2"/>
  <c r="C685" i="2"/>
  <c r="F685" i="2"/>
  <c r="C686" i="2"/>
  <c r="F686" i="2"/>
  <c r="C687" i="2"/>
  <c r="F687" i="2"/>
  <c r="C688" i="2"/>
  <c r="F688" i="2"/>
  <c r="C689" i="2"/>
  <c r="F689" i="2"/>
  <c r="C690" i="2"/>
  <c r="F690" i="2"/>
  <c r="C691" i="2"/>
  <c r="F691" i="2"/>
  <c r="C692" i="2"/>
  <c r="F692" i="2"/>
  <c r="C693" i="2"/>
  <c r="F693" i="2"/>
  <c r="C694" i="2"/>
  <c r="F694" i="2"/>
  <c r="C695" i="2"/>
  <c r="F695" i="2"/>
  <c r="C696" i="2"/>
  <c r="F696" i="2"/>
  <c r="C697" i="2"/>
  <c r="F697" i="2"/>
  <c r="C698" i="2"/>
  <c r="F698" i="2"/>
  <c r="C699" i="2"/>
  <c r="F699" i="2"/>
  <c r="C700" i="2"/>
  <c r="F700" i="2"/>
  <c r="C701" i="2"/>
  <c r="F701" i="2"/>
  <c r="C702" i="2"/>
  <c r="F702" i="2"/>
  <c r="C703" i="2"/>
  <c r="F703" i="2"/>
  <c r="C704" i="2"/>
  <c r="F704" i="2"/>
  <c r="C705" i="2"/>
  <c r="F705" i="2"/>
  <c r="C706" i="2"/>
  <c r="F706" i="2"/>
  <c r="C707" i="2"/>
  <c r="F707" i="2"/>
  <c r="C708" i="2"/>
  <c r="F708" i="2"/>
  <c r="C709" i="2"/>
  <c r="F709" i="2"/>
  <c r="C710" i="2"/>
  <c r="F710" i="2"/>
  <c r="C711" i="2"/>
  <c r="F711" i="2"/>
  <c r="C712" i="2"/>
  <c r="F712" i="2"/>
  <c r="C713" i="2"/>
  <c r="F713" i="2"/>
  <c r="C714" i="2"/>
  <c r="F714" i="2"/>
  <c r="C715" i="2"/>
  <c r="F715" i="2"/>
  <c r="C716" i="2"/>
  <c r="F716" i="2"/>
  <c r="C717" i="2"/>
  <c r="F717" i="2"/>
  <c r="C718" i="2"/>
  <c r="F718" i="2"/>
  <c r="C719" i="2"/>
  <c r="F719" i="2"/>
  <c r="C720" i="2"/>
  <c r="F720" i="2"/>
  <c r="C721" i="2"/>
  <c r="F721" i="2"/>
  <c r="C722" i="2"/>
  <c r="F722" i="2"/>
  <c r="C723" i="2"/>
  <c r="F723" i="2"/>
  <c r="C724" i="2"/>
  <c r="F724" i="2"/>
  <c r="C725" i="2"/>
  <c r="F725" i="2"/>
  <c r="C726" i="2"/>
  <c r="F726" i="2"/>
  <c r="C727" i="2"/>
  <c r="F727" i="2"/>
  <c r="C728" i="2"/>
  <c r="F728" i="2"/>
  <c r="C729" i="2"/>
  <c r="F729" i="2"/>
  <c r="C730" i="2"/>
  <c r="F730" i="2"/>
  <c r="C731" i="2"/>
  <c r="F731" i="2"/>
  <c r="C732" i="2"/>
  <c r="F732" i="2"/>
  <c r="C733" i="2"/>
  <c r="F733" i="2"/>
  <c r="C734" i="2"/>
  <c r="F734" i="2"/>
  <c r="C735" i="2"/>
  <c r="F735" i="2"/>
  <c r="C736" i="2"/>
  <c r="F736" i="2"/>
  <c r="C737" i="2"/>
  <c r="F737" i="2"/>
  <c r="C738" i="2"/>
  <c r="F738" i="2"/>
  <c r="C739" i="2"/>
  <c r="F739" i="2"/>
  <c r="C740" i="2"/>
  <c r="F740" i="2"/>
  <c r="C741" i="2"/>
  <c r="F741" i="2"/>
  <c r="C742" i="2"/>
  <c r="F742" i="2"/>
  <c r="C743" i="2"/>
  <c r="F743" i="2"/>
  <c r="C744" i="2"/>
  <c r="F744" i="2"/>
  <c r="C745" i="2"/>
  <c r="F745" i="2"/>
  <c r="C746" i="2"/>
  <c r="F746" i="2"/>
  <c r="C747" i="2"/>
  <c r="F747" i="2"/>
  <c r="C748" i="2"/>
  <c r="F748" i="2"/>
  <c r="C749" i="2"/>
  <c r="F749" i="2"/>
  <c r="C750" i="2"/>
  <c r="F750" i="2"/>
  <c r="C751" i="2"/>
  <c r="F751" i="2"/>
  <c r="C752" i="2"/>
  <c r="F752" i="2"/>
  <c r="C753" i="2"/>
  <c r="F753" i="2"/>
  <c r="C754" i="2"/>
  <c r="F754" i="2"/>
  <c r="C755" i="2"/>
  <c r="F755" i="2"/>
  <c r="C756" i="2"/>
  <c r="F756" i="2"/>
  <c r="C757" i="2"/>
  <c r="F757" i="2"/>
  <c r="C758" i="2"/>
  <c r="F758" i="2"/>
  <c r="C759" i="2"/>
  <c r="F759" i="2"/>
  <c r="C760" i="2"/>
  <c r="F760" i="2"/>
  <c r="C761" i="2"/>
  <c r="F761" i="2"/>
  <c r="C762" i="2"/>
  <c r="F762" i="2"/>
  <c r="C763" i="2"/>
  <c r="F763" i="2"/>
  <c r="C764" i="2"/>
  <c r="F764" i="2"/>
  <c r="C765" i="2"/>
  <c r="F765" i="2"/>
  <c r="C766" i="2"/>
  <c r="F766" i="2"/>
  <c r="C767" i="2"/>
  <c r="F767" i="2"/>
  <c r="C768" i="2"/>
  <c r="F768" i="2"/>
  <c r="C769" i="2"/>
  <c r="F769" i="2"/>
  <c r="C770" i="2"/>
  <c r="F770" i="2"/>
  <c r="C771" i="2"/>
  <c r="F771" i="2"/>
  <c r="C772" i="2"/>
  <c r="F772" i="2"/>
  <c r="C773" i="2"/>
  <c r="F773" i="2"/>
  <c r="C774" i="2"/>
  <c r="F774" i="2"/>
  <c r="C775" i="2"/>
  <c r="F775" i="2"/>
  <c r="C776" i="2"/>
  <c r="F776" i="2"/>
  <c r="C777" i="2"/>
  <c r="F777" i="2"/>
  <c r="C778" i="2"/>
  <c r="F778" i="2"/>
  <c r="C779" i="2"/>
  <c r="F779" i="2"/>
  <c r="C780" i="2"/>
  <c r="F780" i="2"/>
  <c r="C781" i="2"/>
  <c r="F781" i="2"/>
  <c r="C782" i="2"/>
  <c r="F782" i="2"/>
  <c r="C783" i="2"/>
  <c r="F783" i="2"/>
  <c r="C784" i="2"/>
  <c r="F784" i="2"/>
  <c r="C785" i="2"/>
  <c r="F785" i="2"/>
  <c r="C786" i="2"/>
  <c r="F786" i="2"/>
  <c r="C787" i="2"/>
  <c r="F787" i="2"/>
  <c r="C788" i="2"/>
  <c r="F788" i="2"/>
  <c r="C789" i="2"/>
  <c r="F789" i="2"/>
  <c r="C790" i="2"/>
  <c r="F790" i="2"/>
  <c r="C791" i="2"/>
  <c r="F791" i="2"/>
  <c r="C792" i="2"/>
  <c r="F792" i="2"/>
  <c r="C793" i="2"/>
  <c r="F793" i="2"/>
  <c r="C794" i="2"/>
  <c r="F794" i="2"/>
  <c r="C795" i="2"/>
  <c r="F795" i="2"/>
  <c r="C796" i="2"/>
  <c r="F796" i="2"/>
  <c r="C797" i="2"/>
  <c r="F797" i="2"/>
  <c r="C798" i="2"/>
  <c r="F798" i="2"/>
  <c r="C799" i="2"/>
  <c r="F799" i="2"/>
  <c r="C800" i="2"/>
  <c r="F800" i="2"/>
  <c r="C801" i="2"/>
  <c r="F801" i="2"/>
  <c r="C802" i="2"/>
  <c r="F802" i="2"/>
  <c r="C803" i="2"/>
  <c r="F803" i="2"/>
  <c r="C804" i="2"/>
  <c r="F804" i="2"/>
  <c r="C805" i="2"/>
  <c r="F805" i="2"/>
  <c r="C806" i="2"/>
  <c r="F806" i="2"/>
  <c r="C807" i="2"/>
  <c r="F807" i="2"/>
  <c r="C808" i="2"/>
  <c r="F808" i="2"/>
  <c r="C809" i="2"/>
  <c r="F809" i="2"/>
  <c r="C810" i="2"/>
  <c r="F810" i="2"/>
  <c r="C811" i="2"/>
  <c r="F811" i="2"/>
  <c r="C812" i="2"/>
  <c r="F812" i="2"/>
  <c r="C813" i="2"/>
  <c r="F813" i="2"/>
  <c r="C814" i="2"/>
  <c r="F814" i="2"/>
  <c r="C815" i="2"/>
  <c r="F815" i="2"/>
  <c r="C816" i="2"/>
  <c r="F816" i="2"/>
  <c r="C817" i="2"/>
  <c r="F817" i="2"/>
  <c r="C818" i="2"/>
  <c r="F818" i="2"/>
  <c r="C819" i="2"/>
  <c r="F819" i="2"/>
  <c r="C820" i="2"/>
  <c r="F820" i="2"/>
  <c r="C821" i="2"/>
  <c r="F821" i="2"/>
  <c r="C822" i="2"/>
  <c r="F822" i="2"/>
  <c r="C823" i="2"/>
  <c r="F823" i="2"/>
  <c r="C824" i="2"/>
  <c r="F824" i="2"/>
  <c r="C825" i="2"/>
  <c r="F825" i="2"/>
  <c r="C826" i="2"/>
  <c r="F826" i="2"/>
  <c r="C827" i="2"/>
  <c r="F827" i="2"/>
  <c r="C828" i="2"/>
  <c r="F828" i="2"/>
  <c r="C829" i="2"/>
  <c r="F829" i="2"/>
  <c r="C830" i="2"/>
  <c r="F830" i="2"/>
  <c r="C831" i="2"/>
  <c r="F831" i="2"/>
  <c r="C832" i="2"/>
  <c r="F832" i="2"/>
  <c r="C833" i="2"/>
  <c r="F833" i="2"/>
  <c r="C834" i="2"/>
  <c r="F834" i="2"/>
  <c r="C835" i="2"/>
  <c r="F835" i="2"/>
  <c r="C836" i="2"/>
  <c r="F836" i="2"/>
  <c r="C837" i="2"/>
  <c r="F837" i="2"/>
  <c r="C838" i="2"/>
  <c r="F838" i="2"/>
  <c r="C839" i="2"/>
  <c r="F839" i="2"/>
  <c r="C840" i="2"/>
  <c r="F840" i="2"/>
  <c r="C841" i="2"/>
  <c r="F841" i="2"/>
  <c r="C842" i="2"/>
  <c r="F842" i="2"/>
  <c r="C843" i="2"/>
  <c r="F843" i="2"/>
  <c r="C844" i="2"/>
  <c r="F844" i="2"/>
  <c r="C845" i="2"/>
  <c r="F845" i="2"/>
  <c r="C846" i="2"/>
  <c r="F846" i="2"/>
  <c r="C847" i="2"/>
  <c r="F847" i="2"/>
  <c r="C848" i="2"/>
  <c r="F848" i="2"/>
  <c r="C849" i="2"/>
  <c r="F849" i="2"/>
  <c r="C850" i="2"/>
  <c r="F850" i="2"/>
  <c r="C851" i="2"/>
  <c r="F851" i="2"/>
  <c r="C852" i="2"/>
  <c r="F852" i="2"/>
  <c r="C853" i="2"/>
  <c r="F853" i="2"/>
  <c r="C854" i="2"/>
  <c r="F854" i="2"/>
  <c r="C855" i="2"/>
  <c r="F855" i="2"/>
  <c r="C856" i="2"/>
  <c r="F856" i="2"/>
  <c r="C857" i="2"/>
  <c r="F857" i="2"/>
  <c r="C858" i="2"/>
  <c r="F858" i="2"/>
  <c r="C859" i="2"/>
  <c r="F859" i="2"/>
  <c r="C860" i="2"/>
  <c r="F860" i="2"/>
  <c r="C861" i="2"/>
  <c r="F861" i="2"/>
  <c r="C862" i="2"/>
  <c r="F862" i="2"/>
  <c r="C863" i="2"/>
  <c r="F863" i="2"/>
  <c r="C864" i="2"/>
  <c r="F864" i="2"/>
  <c r="C865" i="2"/>
  <c r="F865" i="2"/>
  <c r="C866" i="2"/>
  <c r="F866" i="2"/>
  <c r="C867" i="2"/>
  <c r="F867" i="2"/>
  <c r="C868" i="2"/>
  <c r="F868" i="2"/>
  <c r="C869" i="2"/>
  <c r="F869" i="2"/>
  <c r="C870" i="2"/>
  <c r="F870" i="2"/>
  <c r="C871" i="2"/>
  <c r="F871" i="2"/>
  <c r="C872" i="2"/>
  <c r="F872" i="2"/>
  <c r="C873" i="2"/>
  <c r="F873" i="2"/>
  <c r="C874" i="2"/>
  <c r="F874" i="2"/>
  <c r="C875" i="2"/>
  <c r="F875" i="2"/>
  <c r="C876" i="2"/>
  <c r="F876" i="2"/>
  <c r="C877" i="2"/>
  <c r="F877" i="2"/>
  <c r="C878" i="2"/>
  <c r="F878" i="2"/>
  <c r="C879" i="2"/>
  <c r="F879" i="2"/>
  <c r="C880" i="2"/>
  <c r="F880" i="2"/>
  <c r="C881" i="2"/>
  <c r="F881" i="2"/>
  <c r="C882" i="2"/>
  <c r="F882" i="2"/>
  <c r="C883" i="2"/>
  <c r="F883" i="2"/>
  <c r="C884" i="2"/>
  <c r="F884" i="2"/>
  <c r="C885" i="2"/>
  <c r="F885" i="2"/>
  <c r="C886" i="2"/>
  <c r="F886" i="2"/>
  <c r="C887" i="2"/>
  <c r="F887" i="2"/>
  <c r="C888" i="2"/>
  <c r="F888" i="2"/>
  <c r="C889" i="2"/>
  <c r="F889" i="2"/>
  <c r="C890" i="2"/>
  <c r="F890" i="2"/>
  <c r="C891" i="2"/>
  <c r="F891" i="2"/>
  <c r="C892" i="2"/>
  <c r="F892" i="2"/>
  <c r="C893" i="2"/>
  <c r="F893" i="2"/>
  <c r="C894" i="2"/>
  <c r="F894" i="2"/>
  <c r="C895" i="2"/>
  <c r="F895" i="2"/>
  <c r="C896" i="2"/>
  <c r="F896" i="2"/>
  <c r="C897" i="2"/>
  <c r="F897" i="2"/>
  <c r="C898" i="2"/>
  <c r="F898" i="2"/>
  <c r="C899" i="2"/>
  <c r="F899" i="2"/>
  <c r="C900" i="2"/>
  <c r="F900" i="2"/>
  <c r="C901" i="2"/>
  <c r="F901" i="2"/>
  <c r="C902" i="2"/>
  <c r="F902" i="2"/>
  <c r="C903" i="2"/>
  <c r="F903" i="2"/>
  <c r="C904" i="2"/>
  <c r="F904" i="2"/>
  <c r="C905" i="2"/>
  <c r="F905" i="2"/>
  <c r="C906" i="2"/>
  <c r="F906" i="2"/>
  <c r="C907" i="2"/>
  <c r="F907" i="2"/>
  <c r="C908" i="2"/>
  <c r="F908" i="2"/>
  <c r="C909" i="2"/>
  <c r="F909" i="2"/>
  <c r="C910" i="2"/>
  <c r="F910" i="2"/>
  <c r="C911" i="2"/>
  <c r="F911" i="2"/>
  <c r="C912" i="2"/>
  <c r="F912" i="2"/>
  <c r="C913" i="2"/>
  <c r="F913" i="2"/>
  <c r="C914" i="2"/>
  <c r="F914" i="2"/>
  <c r="C915" i="2"/>
  <c r="F915" i="2"/>
  <c r="C916" i="2"/>
  <c r="F916" i="2"/>
  <c r="C917" i="2"/>
  <c r="F917" i="2"/>
  <c r="C918" i="2"/>
  <c r="F918" i="2"/>
  <c r="C919" i="2"/>
  <c r="F919" i="2"/>
  <c r="C920" i="2"/>
  <c r="F920" i="2"/>
  <c r="C921" i="2"/>
  <c r="F921" i="2"/>
  <c r="C922" i="2"/>
  <c r="F922" i="2"/>
  <c r="C923" i="2"/>
  <c r="F923" i="2"/>
  <c r="C924" i="2"/>
  <c r="F924" i="2"/>
  <c r="C925" i="2"/>
  <c r="F925" i="2"/>
  <c r="C926" i="2"/>
  <c r="F926" i="2"/>
  <c r="C927" i="2"/>
  <c r="F927" i="2"/>
  <c r="C928" i="2"/>
  <c r="F928" i="2"/>
  <c r="C929" i="2"/>
  <c r="F929" i="2"/>
  <c r="C930" i="2"/>
  <c r="F930" i="2"/>
  <c r="C931" i="2"/>
  <c r="F931" i="2"/>
  <c r="C932" i="2"/>
  <c r="F932" i="2"/>
  <c r="C933" i="2"/>
  <c r="F933" i="2"/>
  <c r="C934" i="2"/>
  <c r="F934" i="2"/>
  <c r="C935" i="2"/>
  <c r="F935" i="2"/>
  <c r="C936" i="2"/>
  <c r="F936" i="2"/>
  <c r="C937" i="2"/>
  <c r="F937" i="2"/>
  <c r="C938" i="2"/>
  <c r="F938" i="2"/>
  <c r="C939" i="2"/>
  <c r="F939" i="2"/>
  <c r="C940" i="2"/>
  <c r="F940" i="2"/>
  <c r="C941" i="2"/>
  <c r="F941" i="2"/>
  <c r="C942" i="2"/>
  <c r="F942" i="2"/>
  <c r="C943" i="2"/>
  <c r="F943" i="2"/>
  <c r="C944" i="2"/>
  <c r="F944" i="2"/>
  <c r="C945" i="2"/>
  <c r="F945" i="2"/>
  <c r="C946" i="2"/>
  <c r="F946" i="2"/>
  <c r="C947" i="2"/>
  <c r="F947" i="2"/>
  <c r="C948" i="2"/>
  <c r="F948" i="2"/>
  <c r="C949" i="2"/>
  <c r="F949" i="2"/>
  <c r="C950" i="2"/>
  <c r="F950" i="2"/>
  <c r="C951" i="2"/>
  <c r="F951" i="2"/>
  <c r="C952" i="2"/>
  <c r="F952" i="2"/>
  <c r="C953" i="2"/>
  <c r="F953" i="2"/>
  <c r="C954" i="2"/>
  <c r="F954" i="2"/>
  <c r="C955" i="2"/>
  <c r="F955" i="2"/>
  <c r="C956" i="2"/>
  <c r="F956" i="2"/>
  <c r="C957" i="2"/>
  <c r="F957" i="2"/>
  <c r="C958" i="2"/>
  <c r="F958" i="2"/>
  <c r="C959" i="2"/>
  <c r="F959" i="2"/>
  <c r="C960" i="2"/>
  <c r="F960" i="2"/>
  <c r="C961" i="2"/>
  <c r="F961" i="2"/>
  <c r="C962" i="2"/>
  <c r="F962" i="2"/>
  <c r="C963" i="2"/>
  <c r="F963" i="2"/>
  <c r="C964" i="2"/>
  <c r="F964" i="2"/>
  <c r="C965" i="2"/>
  <c r="F965" i="2"/>
  <c r="C966" i="2"/>
  <c r="F966" i="2"/>
  <c r="C967" i="2"/>
  <c r="F967" i="2"/>
  <c r="C968" i="2"/>
  <c r="F968" i="2"/>
  <c r="C969" i="2"/>
  <c r="F969" i="2"/>
  <c r="C970" i="2"/>
  <c r="F970" i="2"/>
  <c r="C971" i="2"/>
  <c r="F971" i="2"/>
  <c r="C972" i="2"/>
  <c r="F972" i="2"/>
  <c r="C973" i="2"/>
  <c r="F973" i="2"/>
  <c r="C974" i="2"/>
  <c r="F974" i="2"/>
  <c r="C975" i="2"/>
  <c r="F975" i="2"/>
  <c r="C976" i="2"/>
  <c r="F976" i="2"/>
  <c r="C977" i="2"/>
  <c r="F977" i="2"/>
  <c r="C978" i="2"/>
  <c r="F978" i="2"/>
  <c r="C979" i="2"/>
  <c r="F979" i="2"/>
  <c r="C980" i="2"/>
  <c r="F980" i="2"/>
  <c r="C981" i="2"/>
  <c r="F981" i="2"/>
  <c r="C982" i="2"/>
  <c r="F982" i="2"/>
  <c r="C983" i="2"/>
  <c r="F983" i="2"/>
  <c r="C984" i="2"/>
  <c r="F984" i="2"/>
  <c r="C985" i="2"/>
  <c r="F985" i="2"/>
  <c r="C986" i="2"/>
  <c r="F986" i="2"/>
  <c r="C987" i="2"/>
  <c r="F987" i="2"/>
  <c r="C988" i="2"/>
  <c r="F988" i="2"/>
  <c r="C989" i="2"/>
  <c r="F989" i="2"/>
  <c r="C990" i="2"/>
  <c r="F990" i="2"/>
  <c r="C991" i="2"/>
  <c r="F991" i="2"/>
  <c r="C992" i="2"/>
  <c r="F992" i="2"/>
  <c r="C993" i="2"/>
  <c r="F993" i="2"/>
  <c r="C994" i="2"/>
  <c r="F994" i="2"/>
  <c r="C995" i="2"/>
  <c r="F995" i="2"/>
  <c r="C996" i="2"/>
  <c r="F996" i="2"/>
  <c r="C997" i="2"/>
  <c r="F997" i="2"/>
  <c r="C998" i="2"/>
  <c r="F998" i="2"/>
  <c r="C999" i="2"/>
  <c r="F999" i="2"/>
  <c r="C1000" i="2"/>
  <c r="F1000" i="2"/>
  <c r="C1001" i="2"/>
  <c r="F1001" i="2"/>
  <c r="C1002" i="2"/>
  <c r="F1002" i="2"/>
  <c r="C1003" i="2"/>
  <c r="F1003" i="2"/>
  <c r="C1004" i="2"/>
  <c r="F1004" i="2"/>
  <c r="C1005" i="2"/>
  <c r="F1005" i="2"/>
  <c r="C1006" i="2"/>
  <c r="F1006" i="2"/>
  <c r="C1007" i="2"/>
  <c r="F1007" i="2"/>
  <c r="C1008" i="2"/>
  <c r="F1008" i="2"/>
  <c r="C1009" i="2"/>
  <c r="F1009" i="2"/>
  <c r="C1010" i="2"/>
  <c r="F1010" i="2"/>
  <c r="C1011" i="2"/>
  <c r="F1011" i="2"/>
  <c r="C1012" i="2"/>
  <c r="F1012" i="2"/>
  <c r="C1013" i="2"/>
  <c r="F1013" i="2"/>
  <c r="C1014" i="2"/>
  <c r="F1014" i="2"/>
  <c r="C1015" i="2"/>
  <c r="F1015" i="2"/>
  <c r="C1016" i="2"/>
  <c r="F1016" i="2"/>
  <c r="C1017" i="2"/>
  <c r="F1017" i="2"/>
  <c r="C1018" i="2"/>
  <c r="F1018" i="2"/>
  <c r="C1019" i="2"/>
  <c r="F1019" i="2"/>
  <c r="C1020" i="2"/>
  <c r="F1020" i="2"/>
  <c r="C1021" i="2"/>
  <c r="F1021" i="2"/>
  <c r="C1022" i="2"/>
  <c r="F1022" i="2"/>
  <c r="C1023" i="2"/>
  <c r="F1023" i="2"/>
  <c r="C1024" i="2"/>
  <c r="F1024" i="2"/>
  <c r="C1025" i="2"/>
  <c r="F1025" i="2"/>
  <c r="C1026" i="2"/>
  <c r="F1026" i="2"/>
  <c r="C1027" i="2"/>
  <c r="F1027" i="2"/>
  <c r="C1028" i="2"/>
  <c r="F1028" i="2"/>
  <c r="C1029" i="2"/>
  <c r="F1029" i="2"/>
  <c r="C1030" i="2"/>
  <c r="F1030" i="2"/>
  <c r="C1031" i="2"/>
  <c r="F1031" i="2"/>
  <c r="C1032" i="2"/>
  <c r="F1032" i="2"/>
  <c r="C1033" i="2"/>
  <c r="F1033" i="2"/>
  <c r="C1034" i="2"/>
  <c r="F1034" i="2"/>
  <c r="C1035" i="2"/>
  <c r="F1035" i="2"/>
  <c r="C1036" i="2"/>
  <c r="F1036" i="2"/>
  <c r="C1037" i="2"/>
  <c r="F1037" i="2"/>
  <c r="C1038" i="2"/>
  <c r="F1038" i="2"/>
  <c r="C1039" i="2"/>
  <c r="F1039" i="2"/>
  <c r="C1040" i="2"/>
  <c r="F1040" i="2"/>
  <c r="C1041" i="2"/>
  <c r="F1041" i="2"/>
  <c r="C1042" i="2"/>
  <c r="F1042" i="2"/>
  <c r="C1043" i="2"/>
  <c r="F1043" i="2"/>
  <c r="C1044" i="2"/>
  <c r="F1044" i="2"/>
  <c r="C1045" i="2"/>
  <c r="F1045" i="2"/>
  <c r="C1046" i="2"/>
  <c r="F1046" i="2"/>
  <c r="C1047" i="2"/>
  <c r="F1047" i="2"/>
  <c r="C1048" i="2"/>
  <c r="F1048" i="2"/>
  <c r="C1049" i="2"/>
  <c r="F1049" i="2"/>
  <c r="C1050" i="2"/>
  <c r="F1050" i="2"/>
  <c r="C1051" i="2"/>
  <c r="F1051" i="2"/>
  <c r="C1052" i="2"/>
  <c r="F1052" i="2"/>
  <c r="C1053" i="2"/>
  <c r="F1053" i="2"/>
  <c r="C1054" i="2"/>
  <c r="F1054" i="2"/>
  <c r="C1055" i="2"/>
  <c r="F1055" i="2"/>
  <c r="C1056" i="2"/>
  <c r="F1056" i="2"/>
  <c r="C1057" i="2"/>
  <c r="F1057" i="2"/>
  <c r="C1058" i="2"/>
  <c r="F1058" i="2"/>
  <c r="C1059" i="2"/>
  <c r="F1059" i="2"/>
  <c r="C1060" i="2"/>
  <c r="F1060" i="2"/>
  <c r="C1061" i="2"/>
  <c r="F1061" i="2"/>
  <c r="C1062" i="2"/>
  <c r="F1062" i="2"/>
  <c r="C1063" i="2"/>
  <c r="F1063" i="2"/>
  <c r="C1064" i="2"/>
  <c r="F1064" i="2"/>
  <c r="C1065" i="2"/>
  <c r="F1065" i="2"/>
  <c r="C1066" i="2"/>
  <c r="F1066" i="2"/>
  <c r="C1067" i="2"/>
  <c r="F1067" i="2"/>
  <c r="C1068" i="2"/>
  <c r="F1068" i="2"/>
  <c r="C1069" i="2"/>
  <c r="F1069" i="2"/>
  <c r="C1070" i="2"/>
  <c r="F1070" i="2"/>
  <c r="C1071" i="2"/>
  <c r="F1071" i="2"/>
  <c r="C1072" i="2"/>
  <c r="F1072" i="2"/>
  <c r="C1073" i="2"/>
  <c r="F1073" i="2"/>
  <c r="C1074" i="2"/>
  <c r="F1074" i="2"/>
  <c r="C1075" i="2"/>
  <c r="F1075" i="2"/>
  <c r="C1076" i="2"/>
  <c r="F1076" i="2"/>
  <c r="C1077" i="2"/>
  <c r="F1077" i="2"/>
  <c r="C1078" i="2"/>
  <c r="F1078" i="2"/>
  <c r="C1079" i="2"/>
  <c r="F1079" i="2"/>
  <c r="C1080" i="2"/>
  <c r="F1080" i="2"/>
  <c r="C1081" i="2"/>
  <c r="F1081" i="2"/>
  <c r="C1082" i="2"/>
  <c r="F1082" i="2"/>
  <c r="C1083" i="2"/>
  <c r="F1083" i="2"/>
  <c r="C1084" i="2"/>
  <c r="F1084" i="2"/>
  <c r="C1085" i="2"/>
  <c r="F1085" i="2"/>
  <c r="C1086" i="2"/>
  <c r="F1086" i="2"/>
  <c r="C1087" i="2"/>
  <c r="F1087" i="2"/>
  <c r="C1088" i="2"/>
  <c r="F1088" i="2"/>
  <c r="C1089" i="2"/>
  <c r="F1089" i="2"/>
  <c r="C1090" i="2"/>
  <c r="F1090" i="2"/>
  <c r="C1091" i="2"/>
  <c r="F1091" i="2"/>
  <c r="C1092" i="2"/>
  <c r="F1092" i="2"/>
  <c r="C1093" i="2"/>
  <c r="F1093" i="2"/>
  <c r="C1094" i="2"/>
  <c r="F1094" i="2"/>
  <c r="C1095" i="2"/>
  <c r="F1095" i="2"/>
  <c r="C1096" i="2"/>
  <c r="F1096" i="2"/>
  <c r="C1097" i="2"/>
  <c r="F1097" i="2"/>
  <c r="C1098" i="2"/>
  <c r="F1098" i="2"/>
  <c r="C1099" i="2"/>
  <c r="F1099" i="2"/>
  <c r="C1100" i="2"/>
  <c r="F1100" i="2"/>
  <c r="C1101" i="2"/>
  <c r="F1101" i="2"/>
  <c r="C1102" i="2"/>
  <c r="F1102" i="2"/>
  <c r="C1103" i="2"/>
  <c r="F1103" i="2"/>
  <c r="C1104" i="2"/>
  <c r="F1104" i="2"/>
  <c r="C1105" i="2"/>
  <c r="F1105" i="2"/>
  <c r="C1106" i="2"/>
  <c r="F1106" i="2"/>
  <c r="C1107" i="2"/>
  <c r="F1107" i="2"/>
  <c r="C1108" i="2"/>
  <c r="F1108" i="2"/>
  <c r="C1109" i="2"/>
  <c r="F1109" i="2"/>
  <c r="C1110" i="2"/>
  <c r="F1110" i="2"/>
  <c r="C1111" i="2"/>
  <c r="F1111" i="2"/>
  <c r="C1112" i="2"/>
  <c r="F1112" i="2"/>
  <c r="C1113" i="2"/>
  <c r="F1113" i="2"/>
  <c r="C1114" i="2"/>
  <c r="F1114" i="2"/>
  <c r="C1115" i="2"/>
  <c r="F1115" i="2"/>
  <c r="C1116" i="2"/>
  <c r="F1116" i="2"/>
  <c r="C1117" i="2"/>
  <c r="F1117" i="2"/>
  <c r="C1118" i="2"/>
  <c r="F1118" i="2"/>
  <c r="C1119" i="2"/>
  <c r="F1119" i="2"/>
  <c r="C1120" i="2"/>
  <c r="F1120" i="2"/>
  <c r="C1121" i="2"/>
  <c r="F1121" i="2"/>
  <c r="C1122" i="2"/>
  <c r="F1122" i="2"/>
  <c r="C1123" i="2"/>
  <c r="F1123" i="2"/>
  <c r="C1124" i="2"/>
  <c r="F1124" i="2"/>
  <c r="C1125" i="2"/>
  <c r="F1125" i="2"/>
  <c r="C1126" i="2"/>
  <c r="F1126" i="2"/>
  <c r="C1127" i="2"/>
  <c r="F1127" i="2"/>
  <c r="C1128" i="2"/>
  <c r="F1128" i="2"/>
  <c r="C1129" i="2"/>
  <c r="F1129" i="2"/>
  <c r="C1130" i="2"/>
  <c r="F1130" i="2"/>
  <c r="C1131" i="2"/>
  <c r="F1131" i="2"/>
  <c r="C1132" i="2"/>
  <c r="F1132" i="2"/>
  <c r="C1133" i="2"/>
  <c r="F1133" i="2"/>
  <c r="C1134" i="2"/>
  <c r="F1134" i="2"/>
  <c r="C1135" i="2"/>
  <c r="F1135" i="2"/>
  <c r="C1136" i="2"/>
  <c r="F1136" i="2"/>
  <c r="C1137" i="2"/>
  <c r="F1137" i="2"/>
  <c r="C1138" i="2"/>
  <c r="F1138" i="2"/>
  <c r="C1139" i="2"/>
  <c r="F1139" i="2"/>
  <c r="C1140" i="2"/>
  <c r="F1140" i="2"/>
  <c r="C1141" i="2"/>
  <c r="F1141" i="2"/>
  <c r="C1142" i="2"/>
  <c r="F1142" i="2"/>
  <c r="C1143" i="2"/>
  <c r="F1143" i="2"/>
  <c r="C1144" i="2"/>
  <c r="F1144" i="2"/>
  <c r="C1145" i="2"/>
  <c r="F1145" i="2"/>
  <c r="C1146" i="2"/>
  <c r="F1146" i="2"/>
  <c r="C1147" i="2"/>
  <c r="F1147" i="2"/>
  <c r="C1148" i="2"/>
  <c r="F1148" i="2"/>
  <c r="C1149" i="2"/>
  <c r="F1149" i="2"/>
  <c r="C1150" i="2"/>
  <c r="F1150" i="2"/>
  <c r="C1151" i="2"/>
  <c r="F1151" i="2"/>
  <c r="C1152" i="2"/>
  <c r="F1152" i="2"/>
  <c r="C1153" i="2"/>
  <c r="F1153" i="2"/>
  <c r="C1154" i="2"/>
  <c r="F1154" i="2"/>
  <c r="C1155" i="2"/>
  <c r="F1155" i="2"/>
  <c r="C1156" i="2"/>
  <c r="F1156" i="2"/>
  <c r="C1157" i="2"/>
  <c r="F1157" i="2"/>
  <c r="C1158" i="2"/>
  <c r="F1158" i="2"/>
  <c r="C1159" i="2"/>
  <c r="F1159" i="2"/>
  <c r="C1160" i="2"/>
  <c r="F1160" i="2"/>
  <c r="C1161" i="2"/>
  <c r="F1161" i="2"/>
  <c r="C1162" i="2"/>
  <c r="F1162" i="2"/>
  <c r="C1163" i="2"/>
  <c r="F1163" i="2"/>
  <c r="C1164" i="2"/>
  <c r="F1164" i="2"/>
  <c r="C1165" i="2"/>
  <c r="F1165" i="2"/>
  <c r="C1166" i="2"/>
  <c r="F1166" i="2"/>
  <c r="C1167" i="2"/>
  <c r="F1167" i="2"/>
  <c r="C1168" i="2"/>
  <c r="F1168" i="2"/>
  <c r="C1169" i="2"/>
  <c r="F1169" i="2"/>
  <c r="C1170" i="2"/>
  <c r="F1170" i="2"/>
  <c r="C1171" i="2"/>
  <c r="F1171" i="2"/>
  <c r="C1172" i="2"/>
  <c r="F1172" i="2"/>
  <c r="C1173" i="2"/>
  <c r="F1173" i="2"/>
  <c r="C1174" i="2"/>
  <c r="F1174" i="2"/>
  <c r="C1175" i="2"/>
  <c r="F1175" i="2"/>
  <c r="C1176" i="2"/>
  <c r="F1176" i="2"/>
  <c r="C1177" i="2"/>
  <c r="F1177" i="2"/>
  <c r="C1178" i="2"/>
  <c r="F1178" i="2"/>
  <c r="C1179" i="2"/>
  <c r="F1179" i="2"/>
  <c r="C1180" i="2"/>
  <c r="F1180" i="2"/>
  <c r="C1181" i="2"/>
  <c r="F1181" i="2"/>
  <c r="C1182" i="2"/>
  <c r="F1182" i="2"/>
  <c r="C1183" i="2"/>
  <c r="F1183" i="2"/>
  <c r="C1184" i="2"/>
  <c r="F1184" i="2"/>
  <c r="C1185" i="2"/>
  <c r="F1185" i="2"/>
  <c r="C1186" i="2"/>
  <c r="F1186" i="2"/>
  <c r="C1187" i="2"/>
  <c r="F1187" i="2"/>
  <c r="C1188" i="2"/>
  <c r="F1188" i="2"/>
  <c r="C1189" i="2"/>
  <c r="F1189" i="2"/>
  <c r="C1190" i="2"/>
  <c r="F1190" i="2"/>
  <c r="C1191" i="2"/>
  <c r="F1191" i="2"/>
  <c r="C1192" i="2"/>
  <c r="F1192" i="2"/>
  <c r="C1193" i="2"/>
  <c r="F1193" i="2"/>
  <c r="C1194" i="2"/>
  <c r="F1194" i="2"/>
  <c r="C1195" i="2"/>
  <c r="F1195" i="2"/>
  <c r="C1196" i="2"/>
  <c r="F1196" i="2"/>
  <c r="C1197" i="2"/>
  <c r="F1197" i="2"/>
  <c r="C1198" i="2"/>
  <c r="F1198" i="2"/>
  <c r="C1199" i="2"/>
  <c r="F1199" i="2"/>
  <c r="C1200" i="2"/>
  <c r="F1200" i="2"/>
  <c r="C1201" i="2"/>
  <c r="F1201" i="2"/>
  <c r="C1202" i="2"/>
  <c r="F1202" i="2"/>
  <c r="C1203" i="2"/>
  <c r="F1203" i="2"/>
  <c r="C1204" i="2"/>
  <c r="F1204" i="2"/>
  <c r="C1205" i="2"/>
  <c r="F1205" i="2"/>
  <c r="C1206" i="2"/>
  <c r="F1206" i="2"/>
  <c r="C1207" i="2"/>
  <c r="F1207" i="2"/>
  <c r="C1208" i="2"/>
  <c r="F1208" i="2"/>
  <c r="C1209" i="2"/>
  <c r="F1209" i="2"/>
  <c r="C1210" i="2"/>
  <c r="F1210" i="2"/>
  <c r="C1211" i="2"/>
  <c r="F1211" i="2"/>
  <c r="C1212" i="2"/>
  <c r="F1212" i="2"/>
  <c r="C1213" i="2"/>
  <c r="F1213" i="2"/>
  <c r="C1214" i="2"/>
  <c r="F1214" i="2"/>
  <c r="C1215" i="2"/>
  <c r="F1215" i="2"/>
  <c r="C1216" i="2"/>
  <c r="F1216" i="2"/>
  <c r="C1217" i="2"/>
  <c r="F1217" i="2"/>
  <c r="C1218" i="2"/>
  <c r="F1218" i="2"/>
  <c r="C1219" i="2"/>
  <c r="F1219" i="2"/>
  <c r="C1220" i="2"/>
  <c r="F1220" i="2"/>
  <c r="C1221" i="2"/>
  <c r="F1221" i="2"/>
  <c r="C1222" i="2"/>
  <c r="F1222" i="2"/>
  <c r="C1223" i="2"/>
  <c r="F1223" i="2"/>
  <c r="C1224" i="2"/>
  <c r="F1224" i="2"/>
  <c r="C1225" i="2"/>
  <c r="F1225" i="2"/>
  <c r="C1226" i="2"/>
  <c r="F1226" i="2"/>
  <c r="C1227" i="2"/>
  <c r="F1227" i="2"/>
  <c r="C1228" i="2"/>
  <c r="F1228" i="2"/>
  <c r="C1229" i="2"/>
  <c r="F1229" i="2"/>
  <c r="C1230" i="2"/>
  <c r="F1230" i="2"/>
  <c r="C1231" i="2"/>
  <c r="F1231" i="2"/>
  <c r="C1232" i="2"/>
  <c r="F1232" i="2"/>
  <c r="C1233" i="2"/>
  <c r="F1233" i="2"/>
  <c r="C1234" i="2"/>
  <c r="F1234" i="2"/>
  <c r="C1235" i="2"/>
  <c r="F1235" i="2"/>
  <c r="C1236" i="2"/>
  <c r="F1236" i="2"/>
  <c r="C1237" i="2"/>
  <c r="F1237" i="2"/>
  <c r="C1238" i="2"/>
  <c r="F1238" i="2"/>
  <c r="C1239" i="2"/>
  <c r="F1239" i="2"/>
  <c r="C1240" i="2"/>
  <c r="F1240" i="2"/>
  <c r="C1241" i="2"/>
  <c r="F1241" i="2"/>
  <c r="C1242" i="2"/>
  <c r="F1242" i="2"/>
  <c r="C1243" i="2"/>
  <c r="F1243" i="2"/>
  <c r="C1244" i="2"/>
  <c r="F1244" i="2"/>
  <c r="C1245" i="2"/>
  <c r="F1245" i="2"/>
  <c r="C1246" i="2"/>
  <c r="F1246" i="2"/>
  <c r="C1247" i="2"/>
  <c r="F1247" i="2"/>
  <c r="C1248" i="2"/>
  <c r="F1248" i="2"/>
  <c r="C1249" i="2"/>
  <c r="F1249" i="2"/>
  <c r="C1250" i="2"/>
  <c r="F1250" i="2"/>
  <c r="C1251" i="2"/>
  <c r="F1251" i="2"/>
  <c r="C1252" i="2"/>
  <c r="F1252" i="2"/>
  <c r="C1253" i="2"/>
  <c r="F1253" i="2"/>
  <c r="C1254" i="2"/>
  <c r="F1254" i="2"/>
  <c r="C1255" i="2"/>
  <c r="F1255" i="2"/>
  <c r="C1256" i="2"/>
  <c r="F1256" i="2"/>
  <c r="C1257" i="2"/>
  <c r="F1257" i="2"/>
  <c r="C1258" i="2"/>
  <c r="F1258" i="2"/>
  <c r="C1259" i="2"/>
  <c r="F1259" i="2"/>
  <c r="E5" i="1"/>
  <c r="F5" i="1" s="1"/>
  <c r="G5" i="1" s="1"/>
  <c r="H5" i="1" s="1"/>
  <c r="I5" i="1" s="1"/>
  <c r="J5" i="1" s="1"/>
  <c r="E29" i="1"/>
  <c r="D29" i="1"/>
  <c r="N8" i="1"/>
  <c r="U8" i="1" s="1"/>
  <c r="N7" i="1"/>
  <c r="W7" i="1" s="1"/>
  <c r="E10" i="1"/>
  <c r="E35" i="1" s="1"/>
  <c r="D10" i="1"/>
  <c r="D32" i="1" s="1"/>
  <c r="F7" i="1"/>
  <c r="G7" i="1" s="1"/>
  <c r="H7" i="1" s="1"/>
  <c r="I7" i="1" s="1"/>
  <c r="J7" i="1" s="1"/>
  <c r="J10" i="1" s="1"/>
  <c r="J32" i="1" s="1"/>
  <c r="D16" i="3" l="1"/>
  <c r="C10" i="6"/>
  <c r="D18" i="6"/>
  <c r="D19" i="6" s="1"/>
  <c r="D20" i="6" s="1"/>
  <c r="E18" i="6"/>
  <c r="E19" i="6" s="1"/>
  <c r="E20" i="6" s="1"/>
  <c r="F18" i="6"/>
  <c r="F19" i="6" s="1"/>
  <c r="F20" i="6" s="1"/>
  <c r="G18" i="6"/>
  <c r="G19" i="6" s="1"/>
  <c r="G20" i="6" s="1"/>
  <c r="H18" i="6"/>
  <c r="H19" i="6" s="1"/>
  <c r="H20" i="6" s="1"/>
  <c r="K8" i="2"/>
  <c r="P85" i="1"/>
  <c r="P86" i="1" s="1"/>
  <c r="P87" i="1" s="1"/>
  <c r="P92" i="1" s="1"/>
  <c r="P94" i="1" s="1"/>
  <c r="Q85" i="1"/>
  <c r="Q86" i="1" s="1"/>
  <c r="Q87" i="1" s="1"/>
  <c r="Q92" i="1" s="1"/>
  <c r="Q94" i="1" s="1"/>
  <c r="R85" i="1"/>
  <c r="R86" i="1" s="1"/>
  <c r="R87" i="1" s="1"/>
  <c r="R92" i="1" s="1"/>
  <c r="R94" i="1" s="1"/>
  <c r="S85" i="1"/>
  <c r="S86" i="1" s="1"/>
  <c r="S87" i="1" s="1"/>
  <c r="S92" i="1" s="1"/>
  <c r="S94" i="1" s="1"/>
  <c r="T85" i="1"/>
  <c r="T86" i="1" s="1"/>
  <c r="T87" i="1" s="1"/>
  <c r="T92" i="1" s="1"/>
  <c r="T94" i="1" s="1"/>
  <c r="N85" i="1"/>
  <c r="N86" i="1" s="1"/>
  <c r="N87" i="1" s="1"/>
  <c r="N92" i="1" s="1"/>
  <c r="N94" i="1" s="1"/>
  <c r="O85" i="1"/>
  <c r="O86" i="1" s="1"/>
  <c r="O87" i="1" s="1"/>
  <c r="O92" i="1" s="1"/>
  <c r="O94" i="1" s="1"/>
  <c r="X8" i="1"/>
  <c r="X9" i="1" s="1"/>
  <c r="J25" i="1" s="1"/>
  <c r="J17" i="1" s="1"/>
  <c r="D17" i="1"/>
  <c r="E32" i="1"/>
  <c r="G29" i="1"/>
  <c r="I29" i="1"/>
  <c r="J29" i="1"/>
  <c r="D35" i="1"/>
  <c r="F29" i="1"/>
  <c r="H29" i="1"/>
  <c r="J35" i="1"/>
  <c r="V8" i="1"/>
  <c r="S7" i="1"/>
  <c r="S9" i="1" s="1"/>
  <c r="E25" i="1" s="1"/>
  <c r="E17" i="1" s="1"/>
  <c r="T7" i="1"/>
  <c r="W8" i="1"/>
  <c r="W9" i="1" s="1"/>
  <c r="I25" i="1" s="1"/>
  <c r="U7" i="1"/>
  <c r="U9" i="1" s="1"/>
  <c r="G25" i="1" s="1"/>
  <c r="G17" i="1" s="1"/>
  <c r="V7" i="1"/>
  <c r="T8" i="1"/>
  <c r="H10" i="1"/>
  <c r="G10" i="1"/>
  <c r="F10" i="1"/>
  <c r="I10" i="1"/>
  <c r="C22" i="6" l="1"/>
  <c r="C26" i="6" s="1"/>
  <c r="E15" i="5"/>
  <c r="E17" i="5" s="1"/>
  <c r="I17" i="1"/>
  <c r="D19" i="1"/>
  <c r="D22" i="1" s="1"/>
  <c r="D42" i="1" s="1"/>
  <c r="E38" i="1"/>
  <c r="H32" i="1"/>
  <c r="H35" i="1"/>
  <c r="F32" i="1"/>
  <c r="F35" i="1"/>
  <c r="G35" i="1"/>
  <c r="G32" i="1"/>
  <c r="I32" i="1"/>
  <c r="I35" i="1"/>
  <c r="V9" i="1"/>
  <c r="H25" i="1" s="1"/>
  <c r="H17" i="1" s="1"/>
  <c r="T9" i="1"/>
  <c r="F25" i="1" s="1"/>
  <c r="F17" i="1" s="1"/>
  <c r="E19" i="5" l="1"/>
  <c r="D43" i="1"/>
  <c r="J38" i="1"/>
  <c r="H38" i="1"/>
  <c r="I38" i="1"/>
  <c r="G38" i="1"/>
  <c r="F38" i="1"/>
  <c r="F19" i="1" l="1"/>
  <c r="F22" i="1" s="1"/>
  <c r="F42" i="1" s="1"/>
  <c r="F43" i="1" s="1"/>
  <c r="G19" i="1"/>
  <c r="I19" i="1"/>
  <c r="I22" i="1" s="1"/>
  <c r="I42" i="1" s="1"/>
  <c r="I43" i="1" s="1"/>
  <c r="H19" i="1"/>
  <c r="J19" i="1"/>
  <c r="J22" i="1" s="1"/>
  <c r="J42" i="1" s="1"/>
  <c r="J43" i="1" s="1"/>
  <c r="E19" i="1"/>
  <c r="E22" i="1" l="1"/>
  <c r="H22" i="1"/>
  <c r="H42" i="1" s="1"/>
  <c r="H43" i="1" s="1"/>
  <c r="G22" i="1"/>
  <c r="G42" i="1" s="1"/>
  <c r="G43" i="1" s="1"/>
  <c r="E42" i="1" l="1"/>
  <c r="E43" i="1" s="1"/>
  <c r="D4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<sst xmlns="http://schemas.openxmlformats.org/spreadsheetml/2006/main" count="150" uniqueCount="127">
  <si>
    <t>Date</t>
  </si>
  <si>
    <t>Adj Close** AAPL</t>
  </si>
  <si>
    <t>Return AAPL</t>
  </si>
  <si>
    <t>Adj Close** SPX</t>
  </si>
  <si>
    <t>Return SPX</t>
  </si>
  <si>
    <t>β =</t>
  </si>
  <si>
    <t>COVARIANCE.S(RAAPL,RSPX)/VAR.S(RSPX)</t>
  </si>
  <si>
    <t>Equity</t>
  </si>
  <si>
    <t>= share price * Shares Outstanding</t>
  </si>
  <si>
    <t>as of close 29/09/2023 Yahoo Finance</t>
  </si>
  <si>
    <t>Net Debt</t>
  </si>
  <si>
    <t>= (Term debt short term + Term debt long term) - Cash and cash equivalents</t>
  </si>
  <si>
    <t>Term debt short term</t>
  </si>
  <si>
    <t>Term debt long term</t>
  </si>
  <si>
    <t>Cash and cash equivalents</t>
  </si>
  <si>
    <t>YTM</t>
  </si>
  <si>
    <t>Recovery Rate</t>
  </si>
  <si>
    <t>Expected loss rate</t>
  </si>
  <si>
    <t>Probabilty default AA-rated bonds</t>
  </si>
  <si>
    <t>Cost of debt</t>
  </si>
  <si>
    <t>Pre-Tax WACC</t>
  </si>
  <si>
    <t>After-Tax WACC</t>
  </si>
  <si>
    <t>pre-tax WACC</t>
  </si>
  <si>
    <t>after-tax WACC</t>
  </si>
  <si>
    <t>In millions $</t>
  </si>
  <si>
    <t>Depreciation Schedule</t>
  </si>
  <si>
    <t>Income Statement</t>
  </si>
  <si>
    <t>Asset</t>
  </si>
  <si>
    <t>Price</t>
  </si>
  <si>
    <t>Period</t>
  </si>
  <si>
    <t>Life</t>
  </si>
  <si>
    <t>Salvage</t>
  </si>
  <si>
    <t>t=0</t>
  </si>
  <si>
    <t>t=1</t>
  </si>
  <si>
    <t>t=2</t>
  </si>
  <si>
    <t>t=3</t>
  </si>
  <si>
    <t>t=4</t>
  </si>
  <si>
    <t>t=5</t>
  </si>
  <si>
    <t>t=6</t>
  </si>
  <si>
    <t>Sales</t>
  </si>
  <si>
    <t>Investment 1</t>
  </si>
  <si>
    <t xml:space="preserve">% growth </t>
  </si>
  <si>
    <t>Investment 2</t>
  </si>
  <si>
    <t>Total:</t>
  </si>
  <si>
    <t>COGS</t>
  </si>
  <si>
    <t>% of sales</t>
  </si>
  <si>
    <t>Formulas</t>
  </si>
  <si>
    <t>EBIT =</t>
  </si>
  <si>
    <t xml:space="preserve"> Sales - COGS - R&amp;D - G&amp;A - D&amp;A</t>
  </si>
  <si>
    <t>R&amp;D</t>
  </si>
  <si>
    <t>EBIAT =</t>
  </si>
  <si>
    <t xml:space="preserve"> EBIT - Taxes</t>
  </si>
  <si>
    <t>Change in NWC =</t>
  </si>
  <si>
    <t xml:space="preserve"> Current(CA + Inv - CL) - Previous(CA + Inv -CL)</t>
  </si>
  <si>
    <t>G&amp;A</t>
  </si>
  <si>
    <t>Unlevered FCF =</t>
  </si>
  <si>
    <t xml:space="preserve"> EBIAT + D&amp;A - CapEx - Change in NWC</t>
  </si>
  <si>
    <t>Present Value of FCF =</t>
  </si>
  <si>
    <t>FCF/(1+WACC)^t</t>
  </si>
  <si>
    <t>EBIT</t>
  </si>
  <si>
    <t>NPV =</t>
  </si>
  <si>
    <t>SUM( PV(FCF); t=0 to t=6)</t>
  </si>
  <si>
    <t>Taxes</t>
  </si>
  <si>
    <t>% of EBIT</t>
  </si>
  <si>
    <t>EBIAT</t>
  </si>
  <si>
    <t>Cashflow Items</t>
  </si>
  <si>
    <t>D&amp;A</t>
  </si>
  <si>
    <t>CapEx</t>
  </si>
  <si>
    <t>CA</t>
  </si>
  <si>
    <t>Inventory</t>
  </si>
  <si>
    <t>% of COGS</t>
  </si>
  <si>
    <t>CL</t>
  </si>
  <si>
    <t>Change in NWC</t>
  </si>
  <si>
    <t>Free Cash Flows</t>
  </si>
  <si>
    <t>Unlevered FCF</t>
  </si>
  <si>
    <t>Present Value of FCF</t>
  </si>
  <si>
    <t>NPV</t>
  </si>
  <si>
    <t>Interest Tax Shield Assumptions</t>
  </si>
  <si>
    <t>Constant Debt Level</t>
  </si>
  <si>
    <t>Cost of Debt</t>
  </si>
  <si>
    <t>Tax Rate</t>
  </si>
  <si>
    <t>Interest Exp</t>
  </si>
  <si>
    <t>Interest Tax Shield</t>
  </si>
  <si>
    <t>Interest Expense</t>
  </si>
  <si>
    <t>Tax Shield</t>
  </si>
  <si>
    <t>PV(Tax Shields)</t>
  </si>
  <si>
    <t>PV(Total Tax Shield)</t>
  </si>
  <si>
    <t>NPV of Project Using the APV method</t>
  </si>
  <si>
    <t>PV FCF PretaxWACC</t>
  </si>
  <si>
    <t xml:space="preserve">NPV </t>
  </si>
  <si>
    <t>Calculations Based on Book</t>
  </si>
  <si>
    <t>OpEx</t>
  </si>
  <si>
    <t>Depreciation</t>
  </si>
  <si>
    <t>Income Tax at 15%</t>
  </si>
  <si>
    <t>Unleved NI</t>
  </si>
  <si>
    <t>Free Cash Flow</t>
  </si>
  <si>
    <t>(+) Depr.</t>
  </si>
  <si>
    <t>(-) CapEx</t>
  </si>
  <si>
    <t>(-) Increase in NWC</t>
  </si>
  <si>
    <t>t=</t>
  </si>
  <si>
    <t>Gross Profit</t>
  </si>
  <si>
    <t>Incremental Earnings Forcast ($ million)</t>
  </si>
  <si>
    <t>PV Unlevered FCF</t>
  </si>
  <si>
    <t>Results</t>
  </si>
  <si>
    <t>Beta of Equity</t>
  </si>
  <si>
    <t>Formula(s)</t>
  </si>
  <si>
    <t>Assumptions and 10K Values</t>
  </si>
  <si>
    <t>$/Shr</t>
  </si>
  <si>
    <t>Shares outstanding</t>
  </si>
  <si>
    <t>Market value of equity</t>
  </si>
  <si>
    <t>Beta of Assets</t>
  </si>
  <si>
    <t>Beta of Debt</t>
  </si>
  <si>
    <t>Assumptions, Values &amp; Formulas</t>
  </si>
  <si>
    <t>Assumptions &amp; Values:</t>
  </si>
  <si>
    <t xml:space="preserve">Equity Beta of Apple = </t>
  </si>
  <si>
    <t>Unlevered beta without taxes:</t>
  </si>
  <si>
    <t>Assumptions &amp; Values</t>
  </si>
  <si>
    <t>Formula</t>
  </si>
  <si>
    <t>Result</t>
  </si>
  <si>
    <t>Risk-free rate</t>
  </si>
  <si>
    <t>as of 30/09/2023 - Apple Annual Report</t>
  </si>
  <si>
    <t>Market return</t>
  </si>
  <si>
    <t>Tax-rate</t>
  </si>
  <si>
    <t>as of 12/30/2023 - Apple Annual Report</t>
  </si>
  <si>
    <t>FCF Discounted at Pre-Tax WACC</t>
  </si>
  <si>
    <t>Calculations</t>
  </si>
  <si>
    <t>Cost of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</si>
</sst>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_(&quot;$&quot;* #,##0_);_(&quot;$&quot;* \(#,##0\);_(&quot;$&quot;* &quot;-&quot;??_);_(@_)"/>
    <numFmt numFmtId="166" formatCode="&quot;$&quot;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i/>
      <sz val="10"/>
      <color theme="9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 tint="-0.34998626667073579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3" borderId="0" xfId="0" applyFont="1" applyFill="1"/>
    <xf numFmtId="15" fontId="2" fillId="3" borderId="0" xfId="0" applyNumberFormat="1" applyFont="1" applyFill="1"/>
    <xf numFmtId="0" fontId="4" fillId="0" borderId="0" xfId="0" applyFont="1"/>
    <xf numFmtId="9" fontId="0" fillId="0" borderId="0" xfId="1" applyFont="1"/>
    <xf numFmtId="43" fontId="0" fillId="0" borderId="0" xfId="0" applyNumberFormat="1"/>
    <xf numFmtId="0" fontId="0" fillId="3" borderId="0" xfId="0" applyFill="1"/>
    <xf numFmtId="9" fontId="4" fillId="0" borderId="0" xfId="0" applyNumberFormat="1" applyFont="1"/>
    <xf numFmtId="0" fontId="5" fillId="0" borderId="0" xfId="0" applyFont="1"/>
    <xf numFmtId="9" fontId="5" fillId="0" borderId="0" xfId="0" applyNumberFormat="1" applyFont="1"/>
    <xf numFmtId="9" fontId="5" fillId="0" borderId="0" xfId="1" applyFont="1"/>
    <xf numFmtId="0" fontId="0" fillId="4" borderId="0" xfId="0" applyFill="1"/>
    <xf numFmtId="43" fontId="0" fillId="5" borderId="0" xfId="0" applyNumberFormat="1" applyFill="1"/>
    <xf numFmtId="0" fontId="0" fillId="0" borderId="0" xfId="0" applyAlignment="1">
      <alignment horizontal="right"/>
    </xf>
    <xf numFmtId="0" fontId="3" fillId="0" borderId="1" xfId="0" applyFont="1" applyBorder="1"/>
    <xf numFmtId="43" fontId="3" fillId="0" borderId="2" xfId="0" applyNumberFormat="1" applyFont="1" applyBorder="1" applyAlignment="1">
      <alignment wrapText="1"/>
    </xf>
    <xf numFmtId="43" fontId="3" fillId="0" borderId="2" xfId="0" applyNumberFormat="1" applyFont="1" applyBorder="1"/>
    <xf numFmtId="43" fontId="3" fillId="0" borderId="3" xfId="0" applyNumberFormat="1" applyFont="1" applyBorder="1"/>
    <xf numFmtId="43" fontId="6" fillId="0" borderId="0" xfId="0" applyNumberFormat="1" applyFont="1"/>
    <xf numFmtId="9" fontId="7" fillId="0" borderId="0" xfId="1" applyFont="1"/>
    <xf numFmtId="43" fontId="8" fillId="0" borderId="0" xfId="0" applyNumberFormat="1" applyFont="1"/>
    <xf numFmtId="43" fontId="6" fillId="4" borderId="0" xfId="0" applyNumberFormat="1" applyFont="1" applyFill="1"/>
    <xf numFmtId="0" fontId="6" fillId="4" borderId="0" xfId="0" applyFont="1" applyFill="1"/>
    <xf numFmtId="9" fontId="7" fillId="0" borderId="0" xfId="0" applyNumberFormat="1" applyFont="1"/>
    <xf numFmtId="9" fontId="9" fillId="0" borderId="0" xfId="0" applyNumberFormat="1" applyFont="1"/>
    <xf numFmtId="43" fontId="10" fillId="0" borderId="0" xfId="0" applyNumberFormat="1" applyFont="1"/>
    <xf numFmtId="49" fontId="0" fillId="0" borderId="0" xfId="0" applyNumberFormat="1" applyAlignment="1">
      <alignment horizontal="right"/>
    </xf>
    <xf numFmtId="10" fontId="1" fillId="2" borderId="4" xfId="2" applyNumberFormat="1" applyBorder="1" applyAlignment="1">
      <alignment horizontal="center"/>
    </xf>
    <xf numFmtId="0" fontId="0" fillId="0" borderId="5" xfId="0" applyBorder="1"/>
    <xf numFmtId="43" fontId="0" fillId="0" borderId="5" xfId="0" applyNumberFormat="1" applyBorder="1"/>
    <xf numFmtId="0" fontId="1" fillId="2" borderId="4" xfId="2" applyBorder="1" applyAlignment="1">
      <alignment horizontal="center"/>
    </xf>
    <xf numFmtId="9" fontId="1" fillId="2" borderId="4" xfId="2" applyNumberFormat="1" applyBorder="1" applyAlignment="1">
      <alignment horizontal="center"/>
    </xf>
    <xf numFmtId="43" fontId="1" fillId="5" borderId="4" xfId="2" applyNumberFormat="1" applyFill="1" applyBorder="1" applyAlignment="1">
      <alignment horizontal="center"/>
    </xf>
    <xf numFmtId="10" fontId="0" fillId="0" borderId="0" xfId="1" applyNumberFormat="1" applyFont="1"/>
    <xf numFmtId="4" fontId="0" fillId="0" borderId="0" xfId="0" applyNumberFormat="1"/>
    <xf numFmtId="15" fontId="0" fillId="0" borderId="0" xfId="0" applyNumberFormat="1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1" applyNumberFormat="1" applyFont="1"/>
    <xf numFmtId="165" fontId="0" fillId="0" borderId="0" xfId="3" applyNumberFormat="1" applyFont="1"/>
    <xf numFmtId="0" fontId="0" fillId="0" borderId="0" xfId="0" quotePrefix="1"/>
    <xf numFmtId="10" fontId="0" fillId="0" borderId="0" xfId="0" applyNumberFormat="1"/>
    <xf numFmtId="9" fontId="0" fillId="0" borderId="0" xfId="0" applyNumberFormat="1"/>
    <xf numFmtId="166" fontId="0" fillId="0" borderId="0" xfId="0" applyNumberFormat="1"/>
    <xf numFmtId="0" fontId="0" fillId="0" borderId="6" xfId="0" applyBorder="1"/>
    <xf numFmtId="43" fontId="0" fillId="0" borderId="6" xfId="0" applyNumberFormat="1" applyBorder="1"/>
    <xf numFmtId="10" fontId="0" fillId="0" borderId="0" xfId="0" quotePrefix="1" applyNumberFormat="1"/>
    <xf numFmtId="10" fontId="0" fillId="0" borderId="0" xfId="1" quotePrefix="1" applyNumberFormat="1" applyFont="1"/>
    <xf numFmtId="0" fontId="3" fillId="0" borderId="5" xfId="0" applyFont="1" applyBorder="1"/>
    <xf numFmtId="0" fontId="3" fillId="0" borderId="7" xfId="0" applyFont="1" applyBorder="1"/>
    <xf numFmtId="0" fontId="0" fillId="0" borderId="8" xfId="0" applyBorder="1"/>
    <xf numFmtId="0" fontId="0" fillId="0" borderId="9" xfId="0" applyBorder="1"/>
    <xf numFmtId="0" fontId="12" fillId="0" borderId="10" xfId="0" applyFont="1" applyBorder="1" applyAlignment="1">
      <alignment horizontal="center"/>
    </xf>
    <xf numFmtId="0" fontId="0" fillId="0" borderId="11" xfId="0" applyBorder="1"/>
    <xf numFmtId="0" fontId="3" fillId="0" borderId="0" xfId="0" applyFont="1"/>
    <xf numFmtId="43" fontId="0" fillId="0" borderId="11" xfId="0" applyNumberFormat="1" applyBorder="1"/>
    <xf numFmtId="43" fontId="0" fillId="0" borderId="12" xfId="0" applyNumberFormat="1" applyBorder="1"/>
    <xf numFmtId="0" fontId="3" fillId="0" borderId="10" xfId="0" applyFont="1" applyBorder="1" applyAlignment="1">
      <alignment horizontal="left"/>
    </xf>
    <xf numFmtId="0" fontId="12" fillId="0" borderId="13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1" xfId="0" applyBorder="1"/>
    <xf numFmtId="43" fontId="0" fillId="0" borderId="2" xfId="0" applyNumberFormat="1" applyBorder="1"/>
    <xf numFmtId="43" fontId="0" fillId="0" borderId="3" xfId="0" applyNumberFormat="1" applyBorder="1"/>
    <xf numFmtId="0" fontId="13" fillId="3" borderId="0" xfId="0" applyFont="1" applyFill="1"/>
    <xf numFmtId="3" fontId="11" fillId="0" borderId="0" xfId="0" applyNumberFormat="1" applyFont="1" applyAlignment="1">
      <alignment horizontal="right"/>
    </xf>
    <xf numFmtId="2" fontId="0" fillId="0" borderId="4" xfId="0" applyNumberFormat="1" applyBorder="1" applyAlignment="1">
      <alignment horizontal="center"/>
    </xf>
    <xf numFmtId="165" fontId="1" fillId="2" borderId="4" xfId="2" applyNumberFormat="1" applyBorder="1" applyAlignment="1">
      <alignment horizontal="center"/>
    </xf>
    <xf numFmtId="3" fontId="1" fillId="2" borderId="4" xfId="2" applyNumberFormat="1" applyBorder="1" applyAlignment="1">
      <alignment horizontal="center"/>
    </xf>
    <xf numFmtId="4" fontId="1" fillId="2" borderId="4" xfId="2" applyNumberFormat="1" applyBorder="1" applyAlignment="1">
      <alignment horizontal="center"/>
    </xf>
    <xf numFmtId="4" fontId="6" fillId="2" borderId="4" xfId="2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quotePrefix="1" applyAlignment="1">
      <alignment horizontal="left" indent="1"/>
    </xf>
    <xf numFmtId="10" fontId="0" fillId="0" borderId="4" xfId="1" applyNumberFormat="1" applyFont="1" applyBorder="1" applyAlignment="1">
      <alignment horizontal="center"/>
    </xf>
    <xf numFmtId="10" fontId="1" fillId="2" borderId="4" xfId="1" applyNumberFormat="1" applyFill="1" applyBorder="1" applyAlignment="1">
      <alignment horizontal="center"/>
    </xf>
    <xf numFmtId="10" fontId="0" fillId="2" borderId="4" xfId="2" applyNumberFormat="1" applyFont="1" applyBorder="1" applyAlignment="1">
      <alignment horizontal="center"/>
    </xf>
    <xf numFmtId="0" fontId="2" fillId="6" borderId="0" xfId="0" applyFont="1" applyFill="1"/>
    <xf numFmtId="164" fontId="0" fillId="0" borderId="4" xfId="1" applyNumberFormat="1" applyFont="1" applyBorder="1" applyAlignment="1">
      <alignment horizontal="center"/>
    </xf>
    <xf numFmtId="164" fontId="1" fillId="2" borderId="4" xfId="1" applyNumberFormat="1" applyFill="1" applyBorder="1" applyAlignment="1">
      <alignment horizontal="center"/>
    </xf>
    <xf numFmtId="44" fontId="1" fillId="2" borderId="4" xfId="2" applyNumberFormat="1" applyBorder="1" applyAlignment="1">
      <alignment horizontal="center"/>
    </xf>
    <xf numFmtId="0" fontId="0" fillId="0" borderId="0" xfId="0" applyAlignment="1">
      <alignment horizontal="left" vertical="center"/>
    </xf>
  </cellXfs>
  <cellStyles count="4">
    <cellStyle name="20% - Accent4" xfId="2" builtinId="42"/>
    <cellStyle name="Currency" xfId="3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76200</xdr:colOff>
      <xdr:row>10</xdr:row>
      <xdr:rowOff>3810</xdr:rowOff>
    </xdr:from>
    <xdr:ext cx="1976823" cy="3197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119C3E7-45AE-4214-9E16-F5120B63758D}"/>
                </a:ext>
              </a:extLst>
            </xdr:cNvPr>
            <xdr:cNvSpPr txBox="1"/>
          </xdr:nvSpPr>
          <xdr:spPr>
            <a:xfrm>
              <a:off x="6309360" y="1832610"/>
              <a:ext cx="1976823" cy="319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𝑈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𝐸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den>
                    </m:f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𝐸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den>
                    </m:f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119C3E7-45AE-4214-9E16-F5120B63758D}"/>
                </a:ext>
              </a:extLst>
            </xdr:cNvPr>
            <xdr:cNvSpPr txBox="1"/>
          </xdr:nvSpPr>
          <xdr:spPr>
            <a:xfrm>
              <a:off x="6309360" y="1832610"/>
              <a:ext cx="1976823" cy="319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n-US" sz="1100" b="0" i="0">
                  <a:latin typeface="Cambria Math" panose="02040503050406030204" pitchFamily="18" charset="0"/>
                </a:rPr>
                <a:t>𝐴=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n-US" sz="1100" b="0" i="0">
                  <a:latin typeface="Cambria Math" panose="02040503050406030204" pitchFamily="18" charset="0"/>
                </a:rPr>
                <a:t>𝑈=𝐸/(𝐸+𝐷)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n-US" sz="1100" b="0" i="0">
                  <a:latin typeface="Cambria Math" panose="02040503050406030204" pitchFamily="18" charset="0"/>
                </a:rPr>
                <a:t>𝐸+𝐷/(𝐸+𝐷)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n-US" sz="1100" b="0" i="0">
                  <a:latin typeface="Cambria Math" panose="02040503050406030204" pitchFamily="18" charset="0"/>
                </a:rPr>
                <a:t>𝐷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603885</xdr:colOff>
      <xdr:row>19</xdr:row>
      <xdr:rowOff>49530</xdr:rowOff>
    </xdr:from>
    <xdr:ext cx="4324710" cy="3466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729C768-008C-EEBA-8155-F230E7E289E8}"/>
                </a:ext>
              </a:extLst>
            </xdr:cNvPr>
            <xdr:cNvSpPr txBox="1"/>
          </xdr:nvSpPr>
          <xdr:spPr>
            <a:xfrm>
              <a:off x="1213485" y="3669030"/>
              <a:ext cx="4324710" cy="3466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𝐴𝑠𝑠𝑒𝑡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𝐵𝑒𝑡𝑎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=</m:t>
                    </m:r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  $ 2,700,308,651,190 </m:t>
                        </m:r>
                      </m:num>
                      <m:den>
                        <m:r>
                          <m:rPr>
                            <m:nor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$ 2,700,308,651,190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m:rPr>
                            <m:nor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$ 75,138,000,000 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∗1.2358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n-US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 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1.20</m:t>
                    </m:r>
                  </m:oMath>
                </m:oMathPara>
              </a14:m>
              <a:endParaRPr lang="en-US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729C768-008C-EEBA-8155-F230E7E289E8}"/>
                </a:ext>
              </a:extLst>
            </xdr:cNvPr>
            <xdr:cNvSpPr txBox="1"/>
          </xdr:nvSpPr>
          <xdr:spPr>
            <a:xfrm>
              <a:off x="1213485" y="3669030"/>
              <a:ext cx="4324710" cy="3466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𝐴𝑠𝑠𝑒𝑡 𝐵𝑒𝑡𝑎 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  $ 2,700,308,651,190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$ 2,700,308,651,190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$ 75,138,000,000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)∗1.2358" </a:t>
              </a:r>
              <a:r>
                <a:rPr lang="en-US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 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1.20</a:t>
              </a:r>
              <a:r>
                <a:rPr lang="en-GB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US">
                <a:effectLst/>
              </a:endParaRP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579118</xdr:colOff>
      <xdr:row>12</xdr:row>
      <xdr:rowOff>64770</xdr:rowOff>
    </xdr:from>
    <xdr:ext cx="3412771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801E64D9-1E7A-4C2C-B053-AC8090783E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04" r="20211"/>
        <a:stretch/>
      </xdr:blipFill>
      <xdr:spPr bwMode="auto">
        <a:xfrm>
          <a:off x="1188718" y="2259330"/>
          <a:ext cx="3412771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22860</xdr:colOff>
      <xdr:row>18</xdr:row>
      <xdr:rowOff>11430</xdr:rowOff>
    </xdr:from>
    <xdr:ext cx="356155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5B84400-7939-D773-9E02-6E475549E1B2}"/>
                </a:ext>
              </a:extLst>
            </xdr:cNvPr>
            <xdr:cNvSpPr txBox="1"/>
          </xdr:nvSpPr>
          <xdr:spPr>
            <a:xfrm>
              <a:off x="1242060" y="3440430"/>
              <a:ext cx="356155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baseline="0">
                  <a:latin typeface="+mn-lt"/>
                </a:rPr>
                <a:t>Cost of debt = (1- 0.001)</a:t>
              </a:r>
              <a14:m>
                <m:oMath xmlns:m="http://schemas.openxmlformats.org/officeDocument/2006/math"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r>
                    <a:rPr lang="en-US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0.06</m:t>
                  </m:r>
                </m:oMath>
              </a14:m>
              <a:r>
                <a:rPr lang="en-US" sz="1100" b="0" i="0" u="none" strike="noStrike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+ 0.001</a:t>
              </a:r>
              <a14:m>
                <m:oMath xmlns:m="http://schemas.openxmlformats.org/officeDocument/2006/math"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</m:oMath>
              </a14:m>
              <a:r>
                <a:rPr lang="en-US" sz="1100" b="0" baseline="0">
                  <a:latin typeface="+mn-lt"/>
                </a:rPr>
                <a:t>(0.06-0.477) = 5.952% </a:t>
              </a:r>
              <a:endParaRPr lang="en-US" sz="1100" b="0">
                <a:latin typeface="+mn-lt"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5B84400-7939-D773-9E02-6E475549E1B2}"/>
                </a:ext>
              </a:extLst>
            </xdr:cNvPr>
            <xdr:cNvSpPr txBox="1"/>
          </xdr:nvSpPr>
          <xdr:spPr>
            <a:xfrm>
              <a:off x="1242060" y="3440430"/>
              <a:ext cx="356155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baseline="0">
                  <a:latin typeface="+mn-lt"/>
                </a:rPr>
                <a:t>Cost of debt = (1- 0.001)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∗0.06</a:t>
              </a:r>
              <a:r>
                <a:rPr lang="en-US" sz="1100" b="0" i="0" u="none" strike="noStrike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+ 0.001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sz="1100" b="0" baseline="0">
                  <a:latin typeface="+mn-lt"/>
                </a:rPr>
                <a:t>(0.06-0.477) = 5.952% </a:t>
              </a:r>
              <a:endParaRPr lang="en-US" sz="1100" b="0">
                <a:latin typeface="+mn-lt"/>
              </a:endParaRPr>
            </a:p>
          </xdr:txBody>
        </xdr:sp>
      </mc:Fallback>
    </mc:AlternateContent>
    <xdr:clientData/>
  </xdr:oneCellAnchor>
  <xdr:twoCellAnchor editAs="oneCell">
    <xdr:from>
      <xdr:col>5</xdr:col>
      <xdr:colOff>19050</xdr:colOff>
      <xdr:row>6</xdr:row>
      <xdr:rowOff>57150</xdr:rowOff>
    </xdr:from>
    <xdr:to>
      <xdr:col>7</xdr:col>
      <xdr:colOff>504825</xdr:colOff>
      <xdr:row>7</xdr:row>
      <xdr:rowOff>29476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1959EC-678F-673B-ED65-FBE27680F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05350" y="1200150"/>
          <a:ext cx="1276350" cy="162826"/>
        </a:xfrm>
        <a:prstGeom prst="rect">
          <a:avLst/>
        </a:prstGeom>
      </xdr:spPr>
    </xdr:pic>
    <xdr:clientData/>
  </xdr:twoCellAnchor>
  <xdr:oneCellAnchor>
    <xdr:from>
      <xdr:col>5</xdr:col>
      <xdr:colOff>247650</xdr:colOff>
      <xdr:row>18</xdr:row>
      <xdr:rowOff>14287</xdr:rowOff>
    </xdr:from>
    <xdr:ext cx="213045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5A913AE-9A4C-D250-9DE4-625896F37337}"/>
                </a:ext>
              </a:extLst>
            </xdr:cNvPr>
            <xdr:cNvSpPr txBox="1"/>
          </xdr:nvSpPr>
          <xdr:spPr>
            <a:xfrm>
              <a:off x="5019675" y="3443287"/>
              <a:ext cx="21304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𝐿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1+0.06</m:t>
                      </m:r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∗</m:t>
                  </m:r>
                  <m:d>
                    <m:d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1−0.55</m:t>
                      </m:r>
                    </m:e>
                  </m:d>
                </m:oMath>
              </a14:m>
              <a:r>
                <a:rPr lang="en-US" sz="1100" b="0"/>
                <a:t> = 47.7%</a:t>
              </a: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5A913AE-9A4C-D250-9DE4-625896F37337}"/>
                </a:ext>
              </a:extLst>
            </xdr:cNvPr>
            <xdr:cNvSpPr txBox="1"/>
          </xdr:nvSpPr>
          <xdr:spPr>
            <a:xfrm>
              <a:off x="5019675" y="3443287"/>
              <a:ext cx="21304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𝐿=(1+0.06)∗(1−0.55)</a:t>
              </a:r>
              <a:r>
                <a:rPr lang="en-US" sz="1100" b="0"/>
                <a:t> = 47.7%</a:t>
              </a:r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152401</xdr:colOff>
      <xdr:row>2</xdr:row>
      <xdr:rowOff>121921</xdr:rowOff>
    </xdr:from>
    <xdr:to>
      <xdr:col>12</xdr:col>
      <xdr:colOff>218743</xdr:colOff>
      <xdr:row>3</xdr:row>
      <xdr:rowOff>114300</xdr:rowOff>
    </xdr:to>
    <xdr:pic>
      <xdr:nvPicPr>
        <xdr:cNvPr id="121" name="Picture 8">
          <a:extLst>
            <a:ext uri="{FF2B5EF4-FFF2-40B4-BE49-F238E27FC236}">
              <a16:creationId xmlns:a16="http://schemas.microsoft.com/office/drawing/2014/main" id="{CD471D0A-34D5-BB42-E230-1AC209504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7021" y="487681"/>
          <a:ext cx="2504742" cy="175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</xdr:colOff>
      <xdr:row>3</xdr:row>
      <xdr:rowOff>121920</xdr:rowOff>
    </xdr:from>
    <xdr:to>
      <xdr:col>13</xdr:col>
      <xdr:colOff>464820</xdr:colOff>
      <xdr:row>5</xdr:row>
      <xdr:rowOff>115779</xdr:rowOff>
    </xdr:to>
    <xdr:pic>
      <xdr:nvPicPr>
        <xdr:cNvPr id="45" name="Picture 9">
          <a:extLst>
            <a:ext uri="{FF2B5EF4-FFF2-40B4-BE49-F238E27FC236}">
              <a16:creationId xmlns:a16="http://schemas.microsoft.com/office/drawing/2014/main" id="{A7CDF36F-062E-4125-0158-F4880264C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2240" y="670560"/>
          <a:ext cx="3505200" cy="359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563881</xdr:colOff>
      <xdr:row>5</xdr:row>
      <xdr:rowOff>121921</xdr:rowOff>
    </xdr:from>
    <xdr:to>
      <xdr:col>13</xdr:col>
      <xdr:colOff>127685</xdr:colOff>
      <xdr:row>7</xdr:row>
      <xdr:rowOff>91440</xdr:rowOff>
    </xdr:to>
    <xdr:pic>
      <xdr:nvPicPr>
        <xdr:cNvPr id="230" name="Picture 10">
          <a:extLst>
            <a:ext uri="{FF2B5EF4-FFF2-40B4-BE49-F238E27FC236}">
              <a16:creationId xmlns:a16="http://schemas.microsoft.com/office/drawing/2014/main" id="{BFA2C352-30EE-9F35-E414-CE4B7787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1" y="1036321"/>
          <a:ext cx="3221404" cy="335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297180</xdr:colOff>
      <xdr:row>22</xdr:row>
      <xdr:rowOff>110490</xdr:rowOff>
    </xdr:from>
    <xdr:ext cx="357149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890E9385-AE44-3FF5-5303-F1E0915539A8}"/>
                </a:ext>
              </a:extLst>
            </xdr:cNvPr>
            <xdr:cNvSpPr txBox="1"/>
          </xdr:nvSpPr>
          <xdr:spPr>
            <a:xfrm>
              <a:off x="1507649" y="4257834"/>
              <a:ext cx="357149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+mn-lt"/>
                </a:rPr>
                <a:t>Cost</a:t>
              </a:r>
              <a:r>
                <a:rPr lang="en-US" sz="1100" b="0" baseline="0">
                  <a:latin typeface="+mn-lt"/>
                </a:rPr>
                <a:t> of equity </a:t>
              </a:r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=0.035+1.2358∗</m:t>
                  </m:r>
                  <m:d>
                    <m:d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0.085−0.035</m:t>
                      </m:r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=9.68%</m:t>
                  </m:r>
                </m:oMath>
              </a14:m>
              <a:endParaRPr lang="en-US" sz="1100">
                <a:latin typeface="+mn-lt"/>
              </a:endParaRPr>
            </a:p>
          </xdr:txBody>
        </xdr:sp>
      </mc:Choice>
      <mc:Fallback xmlns="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890E9385-AE44-3FF5-5303-F1E0915539A8}"/>
                </a:ext>
              </a:extLst>
            </xdr:cNvPr>
            <xdr:cNvSpPr txBox="1"/>
          </xdr:nvSpPr>
          <xdr:spPr>
            <a:xfrm>
              <a:off x="1507649" y="4257834"/>
              <a:ext cx="357149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+mn-lt"/>
                </a:rPr>
                <a:t>Cost</a:t>
              </a:r>
              <a:r>
                <a:rPr lang="en-US" sz="1100" b="0" baseline="0">
                  <a:latin typeface="+mn-lt"/>
                </a:rPr>
                <a:t> of equity </a:t>
              </a:r>
              <a:r>
                <a:rPr lang="en-US" sz="1100" b="0" i="0">
                  <a:latin typeface="Cambria Math" panose="02040503050406030204" pitchFamily="18" charset="0"/>
                </a:rPr>
                <a:t>=0.035+1.2358∗(0.085−0.035)=9.68%</a:t>
              </a:r>
              <a:endParaRPr lang="en-US" sz="11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2</xdr:col>
      <xdr:colOff>39560</xdr:colOff>
      <xdr:row>24</xdr:row>
      <xdr:rowOff>72358</xdr:rowOff>
    </xdr:from>
    <xdr:ext cx="7693516" cy="3065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E3060C78-E654-94D7-B552-BE2BC0A3ED0D}"/>
                </a:ext>
              </a:extLst>
            </xdr:cNvPr>
            <xdr:cNvSpPr txBox="1"/>
          </xdr:nvSpPr>
          <xdr:spPr>
            <a:xfrm>
              <a:off x="1258760" y="4095718"/>
              <a:ext cx="7693516" cy="3065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𝑃𝑟𝑒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−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𝑇𝑎𝑥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𝑊𝐴𝐶𝐶</m:t>
                  </m:r>
                  <m:r>
                    <a:rPr lang="en-US" sz="11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US" sz="1100" b="0" i="0" u="none" strike="noStrike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US" sz="1100" b="0" i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$ 2,700,308,651,190 </m:t>
                      </m:r>
                    </m:num>
                    <m:den>
                      <m:r>
                        <m:rPr>
                          <m:nor/>
                        </m:rPr>
                        <a:rPr lang="en-US" sz="1100" b="0" i="0" u="none" strike="noStrike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US" sz="1100" b="0" i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$ 2,700,308,651,190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r>
                        <m:rPr>
                          <m:nor/>
                        </m:rPr>
                        <a:rPr lang="en-US" sz="1100" b="0" i="0" u="none" strike="noStrike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$ 75,138,000,000 </m:t>
                      </m:r>
                    </m:den>
                  </m:f>
                  <m:r>
                    <a:rPr lang="en-US" sz="1100" b="0" i="1">
                      <a:latin typeface="Cambria Math" panose="02040503050406030204" pitchFamily="18" charset="0"/>
                    </a:rPr>
                    <m:t>∗0.0968</m:t>
                  </m:r>
                  <m:r>
                    <a:rPr lang="en-US" sz="1100" i="1">
                      <a:latin typeface="Cambria Math" panose="02040503050406030204" pitchFamily="18" charset="0"/>
                    </a:rPr>
                    <m:t>+</m:t>
                  </m:r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GB" sz="1100" b="0" i="0" u="none" strike="noStrike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$ 75,138,000,000 </m:t>
                      </m:r>
                      <m:r>
                        <m:rPr>
                          <m:nor/>
                        </m:rPr>
                        <a:rPr lang="en-US" sz="1100" b="0" i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</m:num>
                    <m:den>
                      <m:r>
                        <m:rPr>
                          <m:nor/>
                        </m:rPr>
                        <a:rPr lang="en-US" sz="1100" b="0" i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$ 2,700,308,651,190 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r>
                        <m:rPr>
                          <m:nor/>
                        </m:rPr>
                        <a:rPr lang="en-US" sz="1100" b="0" i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$ 75,138,000,000 </m:t>
                      </m:r>
                    </m:den>
                  </m:f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</m:oMath>
              </a14:m>
              <a:r>
                <a:rPr lang="en-US" sz="1100">
                  <a:latin typeface="+mn-lt"/>
                </a:rPr>
                <a:t> 0.0596</a:t>
              </a:r>
              <a:r>
                <a:rPr lang="en-US" sz="1100" baseline="0">
                  <a:latin typeface="+mn-lt"/>
                </a:rPr>
                <a:t> = 9.58%</a:t>
              </a:r>
              <a:endParaRPr lang="en-US" sz="1100">
                <a:latin typeface="+mn-lt"/>
              </a:endParaRPr>
            </a:p>
          </xdr:txBody>
        </xdr:sp>
      </mc:Choice>
      <mc:Fallback xmlns="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E3060C78-E654-94D7-B552-BE2BC0A3ED0D}"/>
                </a:ext>
              </a:extLst>
            </xdr:cNvPr>
            <xdr:cNvSpPr txBox="1"/>
          </xdr:nvSpPr>
          <xdr:spPr>
            <a:xfrm>
              <a:off x="1258760" y="4095718"/>
              <a:ext cx="7693516" cy="3065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𝑃𝑟𝑒−𝑇𝑎𝑥 𝑊𝐴𝐶𝐶</a:t>
              </a:r>
              <a:r>
                <a:rPr lang="en-US" sz="1100" i="0">
                  <a:latin typeface="Cambria Math" panose="02040503050406030204" pitchFamily="18" charset="0"/>
                </a:rPr>
                <a:t>=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$ 2,700,308,651,190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/(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$ 2,700,308,651,190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en-US" sz="1100" b="0" i="0">
                  <a:latin typeface="Cambria Math" panose="02040503050406030204" pitchFamily="18" charset="0"/>
                </a:rPr>
                <a:t>+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$ 75,138,000,000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)</a:t>
              </a:r>
              <a:r>
                <a:rPr lang="en-US" sz="1100" b="0" i="0">
                  <a:latin typeface="Cambria Math" panose="02040503050406030204" pitchFamily="18" charset="0"/>
                </a:rPr>
                <a:t>∗0.0968</a:t>
              </a:r>
              <a:r>
                <a:rPr lang="en-US" sz="1100" i="0">
                  <a:latin typeface="Cambria Math" panose="02040503050406030204" pitchFamily="18" charset="0"/>
                </a:rPr>
                <a:t>+</a:t>
              </a:r>
              <a:r>
                <a:rPr lang="en-GB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$ 75,138,000,000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"$ 2,700,308,651,190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$ 75,138,000,000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)∗</a:t>
              </a:r>
              <a:r>
                <a:rPr lang="en-US" sz="1100">
                  <a:latin typeface="+mn-lt"/>
                </a:rPr>
                <a:t> 0.0596</a:t>
              </a:r>
              <a:r>
                <a:rPr lang="en-US" sz="1100" baseline="0">
                  <a:latin typeface="+mn-lt"/>
                </a:rPr>
                <a:t> = 9.58%</a:t>
              </a:r>
              <a:endParaRPr lang="en-US" sz="11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2</xdr:col>
      <xdr:colOff>45720</xdr:colOff>
      <xdr:row>26</xdr:row>
      <xdr:rowOff>125730</xdr:rowOff>
    </xdr:from>
    <xdr:ext cx="8496428" cy="3065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9FC4CC00-C9DE-9055-F1EB-BEF57BC0DB2A}"/>
                </a:ext>
              </a:extLst>
            </xdr:cNvPr>
            <xdr:cNvSpPr txBox="1"/>
          </xdr:nvSpPr>
          <xdr:spPr>
            <a:xfrm>
              <a:off x="1256189" y="5027136"/>
              <a:ext cx="8496428" cy="3065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>
                  <a:solidFill>
                    <a:schemeClr val="tx1"/>
                  </a:solidFill>
                  <a:effectLst/>
                  <a:ea typeface="+mn-ea"/>
                  <a:cs typeface="+mn-cs"/>
                </a:rPr>
                <a:t>After</a:t>
              </a:r>
              <a14:m>
                <m:oMath xmlns:m="http://schemas.openxmlformats.org/officeDocument/2006/math"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𝑇𝑎𝑥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𝑊𝐴𝐶𝐶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US" sz="1100" b="0" i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$ 2,700,308,651,190 </m:t>
                      </m:r>
                    </m:num>
                    <m:den>
                      <m:r>
                        <m:rPr>
                          <m:nor/>
                        </m:rPr>
                        <a:rPr lang="en-US" sz="1100" b="0" i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$ 2,700,308,651,190 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r>
                        <m:rPr>
                          <m:nor/>
                        </m:rPr>
                        <a:rPr lang="en-US" sz="1100" b="0" i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$ 75,138,000,000 </m:t>
                      </m:r>
                    </m:den>
                  </m:f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∗0.0968</m:t>
                  </m:r>
                  <m:r>
                    <a:rPr lang="en-US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f>
                    <m:fPr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GB" sz="1100" b="0" i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$ 75,138,000,000 </m:t>
                      </m:r>
                      <m:r>
                        <m:rPr>
                          <m:nor/>
                        </m:rPr>
                        <a:rPr lang="en-US" sz="1100" b="0" i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</m:num>
                    <m:den>
                      <m:r>
                        <m:rPr>
                          <m:nor/>
                        </m:rPr>
                        <a:rPr lang="en-US" sz="1100" b="0" i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$ 2,700,308,651,190  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r>
                        <m:rPr>
                          <m:nor/>
                        </m:rPr>
                        <a:rPr lang="en-US" sz="1100" b="0" i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$ 75,138,000,000 </m:t>
                      </m:r>
                    </m:den>
                  </m:f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r>
                    <m:rPr>
                      <m:nor/>
                    </m:rPr>
                    <a:rPr lang="en-US" sz="110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0.0596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r>
                    <m:rPr>
                      <m:nor/>
                    </m:rPr>
                    <a:rPr lang="en-US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(1−0.15)</m:t>
                  </m:r>
                  <m:r>
                    <m:rPr>
                      <m:nor/>
                    </m:rPr>
                    <a:rPr lang="en-US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= 9.5</m:t>
                  </m:r>
                  <m:r>
                    <m:rPr>
                      <m:nor/>
                    </m:rPr>
                    <a:rPr lang="en-US" sz="1100" b="0" i="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5</m:t>
                  </m:r>
                  <m:r>
                    <m:rPr>
                      <m:nor/>
                    </m:rPr>
                    <a:rPr lang="en-US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%</m:t>
                  </m:r>
                </m:oMath>
              </a14:m>
              <a:endParaRPr lang="en-US">
                <a:effectLst/>
              </a:endParaRPr>
            </a:p>
          </xdr:txBody>
        </xdr:sp>
      </mc:Choice>
      <mc:Fallback xmlns="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9FC4CC00-C9DE-9055-F1EB-BEF57BC0DB2A}"/>
                </a:ext>
              </a:extLst>
            </xdr:cNvPr>
            <xdr:cNvSpPr txBox="1"/>
          </xdr:nvSpPr>
          <xdr:spPr>
            <a:xfrm>
              <a:off x="1256189" y="5027136"/>
              <a:ext cx="8496428" cy="3065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>
                  <a:solidFill>
                    <a:schemeClr val="tx1"/>
                  </a:solidFill>
                  <a:effectLst/>
                  <a:ea typeface="+mn-ea"/>
                  <a:cs typeface="+mn-cs"/>
                </a:rPr>
                <a:t>After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−𝑇𝑎𝑥 𝑊𝐴𝐶𝐶=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$ 2,700,308,651,190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$ 2,700,308,651,190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$ 75,138,000,000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)∗0.0968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"$ 75,138,000,000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$ 2,700,308,651,190 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$ 75,138,000,000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)∗"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0.0596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"∗"(1−0.15)</a:t>
              </a:r>
              <a:r>
                <a:rPr lang="en-US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= 9.5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%</a:t>
              </a:r>
              <a:r>
                <a:rPr lang="en-GB" sz="110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US">
                <a:effectLst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E218-CB91-48CA-8ABC-91207CBD2446}">
  <dimension ref="A1:O1261"/>
  <sheetViews>
    <sheetView showGridLines="0" workbookViewId="0">
      <selection activeCell="K15" sqref="K15"/>
    </sheetView>
  </sheetViews>
  <sheetFormatPr defaultRowHeight="14.5" x14ac:dyDescent="0.35"/>
  <cols>
    <col min="1" max="1" width="10.54296875" bestFit="1" customWidth="1"/>
    <col min="2" max="2" width="15.1796875" bestFit="1" customWidth="1"/>
    <col min="3" max="3" width="11" style="4" bestFit="1" customWidth="1"/>
    <col min="4" max="4" width="15.1796875" customWidth="1"/>
    <col min="5" max="5" width="19" customWidth="1"/>
    <col min="6" max="6" width="10.7265625" style="33" bestFit="1" customWidth="1"/>
    <col min="9" max="9" width="10.26953125" customWidth="1"/>
    <col min="10" max="10" width="10.453125" customWidth="1"/>
    <col min="11" max="11" width="10.7265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</row>
    <row r="2" spans="1:13" x14ac:dyDescent="0.35">
      <c r="A2" s="36">
        <v>45198</v>
      </c>
      <c r="B2">
        <v>170.77</v>
      </c>
      <c r="C2" s="33">
        <f t="shared" ref="C2:C65" si="0">(B2-B3)/B3</f>
        <v>3.0543318649046123E-3</v>
      </c>
      <c r="D2" s="39"/>
      <c r="E2" s="34">
        <v>4288.05</v>
      </c>
      <c r="F2" s="33">
        <f t="shared" ref="F2:F65" si="1">(E2-E3)/E3</f>
        <v>-2.7094913598622317E-3</v>
      </c>
    </row>
    <row r="3" spans="1:13" x14ac:dyDescent="0.35">
      <c r="A3" s="36">
        <v>45197</v>
      </c>
      <c r="B3">
        <v>170.25</v>
      </c>
      <c r="C3" s="33">
        <f t="shared" si="0"/>
        <v>1.5295017353961463E-3</v>
      </c>
      <c r="E3" s="34">
        <v>4299.7</v>
      </c>
      <c r="F3" s="33">
        <f t="shared" si="1"/>
        <v>5.8930731241708641E-3</v>
      </c>
    </row>
    <row r="4" spans="1:13" x14ac:dyDescent="0.35">
      <c r="A4" s="36">
        <v>45196</v>
      </c>
      <c r="B4">
        <v>169.99</v>
      </c>
      <c r="C4" s="33">
        <f t="shared" si="0"/>
        <v>-8.8624569995917543E-3</v>
      </c>
      <c r="E4" s="34">
        <v>4274.51</v>
      </c>
      <c r="F4" s="33">
        <f t="shared" si="1"/>
        <v>2.2931861950202127E-4</v>
      </c>
    </row>
    <row r="5" spans="1:13" x14ac:dyDescent="0.35">
      <c r="A5" s="36">
        <v>45195</v>
      </c>
      <c r="B5">
        <v>171.51</v>
      </c>
      <c r="C5" s="33">
        <f t="shared" si="0"/>
        <v>-2.340280150324572E-2</v>
      </c>
      <c r="E5" s="34">
        <v>4273.53</v>
      </c>
      <c r="F5" s="33">
        <f t="shared" si="1"/>
        <v>-1.4734497768268809E-2</v>
      </c>
    </row>
    <row r="6" spans="1:13" x14ac:dyDescent="0.35">
      <c r="A6" s="36">
        <v>45194</v>
      </c>
      <c r="B6">
        <v>175.62</v>
      </c>
      <c r="C6" s="33">
        <f t="shared" si="0"/>
        <v>7.3419754502695948E-3</v>
      </c>
      <c r="E6" s="34">
        <v>4337.4399999999996</v>
      </c>
      <c r="F6" s="33">
        <f t="shared" si="1"/>
        <v>4.0230922718664085E-3</v>
      </c>
      <c r="I6" s="1" t="s">
        <v>103</v>
      </c>
      <c r="J6" s="1"/>
      <c r="K6" s="66"/>
      <c r="L6" s="6"/>
      <c r="M6" s="6"/>
    </row>
    <row r="7" spans="1:13" x14ac:dyDescent="0.35">
      <c r="A7" s="36">
        <v>45191</v>
      </c>
      <c r="B7">
        <v>174.34</v>
      </c>
      <c r="C7" s="33">
        <f t="shared" si="0"/>
        <v>4.957343786027287E-3</v>
      </c>
      <c r="E7" s="34">
        <v>4320.0600000000004</v>
      </c>
      <c r="F7" s="33">
        <f t="shared" si="1"/>
        <v>-2.2956120092377827E-3</v>
      </c>
    </row>
    <row r="8" spans="1:13" x14ac:dyDescent="0.35">
      <c r="A8" s="36">
        <v>45190</v>
      </c>
      <c r="B8">
        <v>173.48</v>
      </c>
      <c r="C8" s="33">
        <f t="shared" si="0"/>
        <v>-8.9122486288848394E-3</v>
      </c>
      <c r="E8" s="34">
        <v>4330</v>
      </c>
      <c r="F8" s="33">
        <f t="shared" si="1"/>
        <v>-1.6400890463858939E-2</v>
      </c>
      <c r="I8" s="37" t="s">
        <v>114</v>
      </c>
      <c r="J8" s="37"/>
      <c r="K8" s="68">
        <f>_xlfn.COVARIANCE.S(RAAPL,RSPX)/_xlfn.VAR.S(RSPX)</f>
        <v>1.2358442363400539</v>
      </c>
    </row>
    <row r="9" spans="1:13" x14ac:dyDescent="0.35">
      <c r="A9" s="36">
        <v>45189</v>
      </c>
      <c r="B9">
        <v>175.04</v>
      </c>
      <c r="C9" s="33">
        <f t="shared" si="0"/>
        <v>-1.9987682660545441E-2</v>
      </c>
      <c r="E9" s="34">
        <v>4402.2</v>
      </c>
      <c r="F9" s="33">
        <f t="shared" si="1"/>
        <v>-9.3947951709627692E-3</v>
      </c>
      <c r="I9" s="37"/>
      <c r="J9" s="37"/>
    </row>
    <row r="10" spans="1:13" x14ac:dyDescent="0.35">
      <c r="A10" s="36">
        <v>45188</v>
      </c>
      <c r="B10">
        <v>178.61</v>
      </c>
      <c r="C10" s="33">
        <f t="shared" si="0"/>
        <v>6.1968339811842871E-3</v>
      </c>
      <c r="E10" s="34">
        <v>4443.95</v>
      </c>
      <c r="F10" s="33">
        <f t="shared" si="1"/>
        <v>-2.151102608492573E-3</v>
      </c>
      <c r="I10" s="1" t="s">
        <v>105</v>
      </c>
      <c r="J10" s="1"/>
      <c r="K10" s="1"/>
      <c r="L10" s="6"/>
      <c r="M10" s="6"/>
    </row>
    <row r="11" spans="1:13" x14ac:dyDescent="0.35">
      <c r="A11" s="36">
        <v>45187</v>
      </c>
      <c r="B11">
        <v>177.51</v>
      </c>
      <c r="C11" s="33">
        <f t="shared" si="0"/>
        <v>1.6899633363886276E-2</v>
      </c>
      <c r="E11" s="34">
        <v>4453.53</v>
      </c>
      <c r="F11" s="33">
        <f t="shared" si="1"/>
        <v>7.2129644609826636E-4</v>
      </c>
      <c r="I11" s="67" t="s">
        <v>5</v>
      </c>
      <c r="J11" t="s">
        <v>6</v>
      </c>
    </row>
    <row r="12" spans="1:13" x14ac:dyDescent="0.35">
      <c r="A12" s="36">
        <v>45184</v>
      </c>
      <c r="B12">
        <v>174.56</v>
      </c>
      <c r="C12" s="33">
        <f t="shared" si="0"/>
        <v>-4.1645273546693472E-3</v>
      </c>
      <c r="E12" s="34">
        <v>4450.32</v>
      </c>
      <c r="F12" s="33">
        <f t="shared" si="1"/>
        <v>-1.2159552507158698E-2</v>
      </c>
      <c r="I12" s="37"/>
      <c r="J12" s="37"/>
    </row>
    <row r="13" spans="1:13" x14ac:dyDescent="0.35">
      <c r="A13" s="36">
        <v>45183</v>
      </c>
      <c r="B13">
        <v>175.29</v>
      </c>
      <c r="C13" s="33">
        <f t="shared" si="0"/>
        <v>8.8052486187845374E-3</v>
      </c>
      <c r="E13" s="34">
        <v>4505.1000000000004</v>
      </c>
      <c r="F13" s="33">
        <f t="shared" si="1"/>
        <v>8.429883781315645E-3</v>
      </c>
      <c r="I13" s="37"/>
      <c r="J13" s="37"/>
    </row>
    <row r="14" spans="1:13" x14ac:dyDescent="0.35">
      <c r="A14" s="36">
        <v>45182</v>
      </c>
      <c r="B14">
        <v>173.76</v>
      </c>
      <c r="C14" s="33">
        <f t="shared" si="0"/>
        <v>-1.1828935395814448E-2</v>
      </c>
      <c r="E14" s="34">
        <v>4467.4399999999996</v>
      </c>
      <c r="F14" s="33">
        <f t="shared" si="1"/>
        <v>1.2416235236110097E-3</v>
      </c>
      <c r="I14" s="37"/>
      <c r="J14" s="37"/>
    </row>
    <row r="15" spans="1:13" x14ac:dyDescent="0.35">
      <c r="A15" s="36">
        <v>45181</v>
      </c>
      <c r="B15">
        <v>175.84</v>
      </c>
      <c r="C15" s="33">
        <f t="shared" si="0"/>
        <v>-1.710452766908889E-2</v>
      </c>
      <c r="E15" s="34">
        <v>4461.8999999999996</v>
      </c>
      <c r="F15" s="33">
        <f t="shared" si="1"/>
        <v>-5.6958724980279265E-3</v>
      </c>
      <c r="I15" s="37"/>
      <c r="J15" s="37"/>
    </row>
    <row r="16" spans="1:13" x14ac:dyDescent="0.35">
      <c r="A16" s="36">
        <v>45180</v>
      </c>
      <c r="B16">
        <v>178.9</v>
      </c>
      <c r="C16" s="33">
        <f t="shared" si="0"/>
        <v>6.6396578888139029E-3</v>
      </c>
      <c r="E16" s="34">
        <v>4487.46</v>
      </c>
      <c r="F16" s="33">
        <f t="shared" si="1"/>
        <v>6.723514803174041E-3</v>
      </c>
      <c r="I16" s="37"/>
      <c r="J16" s="37"/>
    </row>
    <row r="17" spans="1:15" x14ac:dyDescent="0.35">
      <c r="A17" s="36">
        <v>45177</v>
      </c>
      <c r="B17">
        <v>177.72</v>
      </c>
      <c r="C17" s="33">
        <f t="shared" si="0"/>
        <v>3.5008469791078744E-3</v>
      </c>
      <c r="E17" s="34">
        <v>4457.49</v>
      </c>
      <c r="F17" s="33">
        <f t="shared" si="1"/>
        <v>1.4266008258557255E-3</v>
      </c>
      <c r="I17" s="37"/>
      <c r="J17" s="37"/>
    </row>
    <row r="18" spans="1:15" x14ac:dyDescent="0.35">
      <c r="A18" s="36">
        <v>45176</v>
      </c>
      <c r="B18">
        <v>177.1</v>
      </c>
      <c r="C18" s="33">
        <f t="shared" si="0"/>
        <v>-2.9269896952422735E-2</v>
      </c>
      <c r="E18" s="34">
        <v>4451.1400000000003</v>
      </c>
      <c r="F18" s="33">
        <f t="shared" si="1"/>
        <v>-3.2113009127796425E-3</v>
      </c>
      <c r="I18" s="37"/>
      <c r="J18" s="37"/>
    </row>
    <row r="19" spans="1:15" x14ac:dyDescent="0.35">
      <c r="A19" s="36">
        <v>45175</v>
      </c>
      <c r="B19">
        <v>182.44</v>
      </c>
      <c r="C19" s="33">
        <f t="shared" si="0"/>
        <v>-3.5780349875799429E-2</v>
      </c>
      <c r="E19" s="34">
        <v>4465.4799999999996</v>
      </c>
      <c r="F19" s="33">
        <f t="shared" si="1"/>
        <v>-6.9715777558858943E-3</v>
      </c>
      <c r="I19" s="37"/>
      <c r="J19" s="37"/>
      <c r="O19">
        <f>_xlfn.COVARIANCE.S(RAAPL,RSPX)/_xlfn.VAR.S(RSPX)</f>
        <v>1.2358442363400539</v>
      </c>
    </row>
    <row r="20" spans="1:15" x14ac:dyDescent="0.35">
      <c r="A20" s="36">
        <v>45174</v>
      </c>
      <c r="B20">
        <v>189.21</v>
      </c>
      <c r="C20" s="33">
        <f t="shared" si="0"/>
        <v>1.2700428639467064E-3</v>
      </c>
      <c r="E20" s="34">
        <v>4496.83</v>
      </c>
      <c r="F20" s="33">
        <f t="shared" si="1"/>
        <v>-4.1941905810084458E-3</v>
      </c>
      <c r="I20" s="37"/>
      <c r="J20" s="37"/>
    </row>
    <row r="21" spans="1:15" x14ac:dyDescent="0.35">
      <c r="A21" s="36">
        <v>45170</v>
      </c>
      <c r="B21">
        <v>188.97</v>
      </c>
      <c r="C21" s="33">
        <f t="shared" si="0"/>
        <v>8.4854306756324237E-3</v>
      </c>
      <c r="E21" s="34">
        <v>4515.7700000000004</v>
      </c>
      <c r="F21" s="33">
        <f t="shared" si="1"/>
        <v>1.7991596526802337E-3</v>
      </c>
      <c r="I21" s="37"/>
      <c r="J21" s="37"/>
    </row>
    <row r="22" spans="1:15" x14ac:dyDescent="0.35">
      <c r="A22" s="36">
        <v>45169</v>
      </c>
      <c r="B22">
        <v>187.38</v>
      </c>
      <c r="C22" s="33">
        <f t="shared" si="0"/>
        <v>1.1754648429151467E-3</v>
      </c>
      <c r="E22" s="34">
        <v>4507.66</v>
      </c>
      <c r="F22" s="33">
        <f t="shared" si="1"/>
        <v>-1.5969452055098012E-3</v>
      </c>
      <c r="I22" s="37"/>
      <c r="J22" s="37"/>
    </row>
    <row r="23" spans="1:15" x14ac:dyDescent="0.35">
      <c r="A23" s="36">
        <v>45168</v>
      </c>
      <c r="B23">
        <v>187.16</v>
      </c>
      <c r="C23" s="33">
        <f t="shared" si="0"/>
        <v>1.9167937268568996E-2</v>
      </c>
      <c r="E23" s="34">
        <v>4514.87</v>
      </c>
      <c r="F23" s="33">
        <f t="shared" si="1"/>
        <v>3.8331298928546325E-3</v>
      </c>
      <c r="I23" s="37"/>
      <c r="J23" s="37"/>
    </row>
    <row r="24" spans="1:15" x14ac:dyDescent="0.35">
      <c r="A24" s="36">
        <v>45167</v>
      </c>
      <c r="B24">
        <v>183.64</v>
      </c>
      <c r="C24" s="33">
        <f t="shared" si="0"/>
        <v>2.1811707099933159E-2</v>
      </c>
      <c r="E24" s="34">
        <v>4497.63</v>
      </c>
      <c r="F24" s="33">
        <f t="shared" si="1"/>
        <v>1.4508347036412907E-2</v>
      </c>
      <c r="I24" s="37"/>
      <c r="J24" s="37"/>
    </row>
    <row r="25" spans="1:15" x14ac:dyDescent="0.35">
      <c r="A25" s="36">
        <v>45166</v>
      </c>
      <c r="B25">
        <v>179.72</v>
      </c>
      <c r="C25" s="33">
        <f t="shared" si="0"/>
        <v>8.8127982037608365E-3</v>
      </c>
      <c r="E25" s="34">
        <v>4433.3100000000004</v>
      </c>
      <c r="F25" s="33">
        <f t="shared" si="1"/>
        <v>6.2645975336552712E-3</v>
      </c>
      <c r="I25" s="37"/>
      <c r="J25" s="37"/>
    </row>
    <row r="26" spans="1:15" x14ac:dyDescent="0.35">
      <c r="A26" s="36">
        <v>45163</v>
      </c>
      <c r="B26">
        <v>178.15</v>
      </c>
      <c r="C26" s="33">
        <f t="shared" si="0"/>
        <v>1.2676216462028298E-2</v>
      </c>
      <c r="E26" s="34">
        <v>4405.71</v>
      </c>
      <c r="F26" s="33">
        <f t="shared" si="1"/>
        <v>6.7179884423177591E-3</v>
      </c>
      <c r="I26" s="37"/>
      <c r="J26" s="37"/>
    </row>
    <row r="27" spans="1:15" x14ac:dyDescent="0.35">
      <c r="A27" s="36">
        <v>45162</v>
      </c>
      <c r="B27">
        <v>175.92</v>
      </c>
      <c r="C27" s="33">
        <f t="shared" si="0"/>
        <v>-2.6183227234984879E-2</v>
      </c>
      <c r="E27" s="34">
        <v>4376.3100000000004</v>
      </c>
      <c r="F27" s="33">
        <f t="shared" si="1"/>
        <v>-1.3458039995401232E-2</v>
      </c>
      <c r="I27" s="37"/>
      <c r="J27" s="37"/>
    </row>
    <row r="28" spans="1:15" x14ac:dyDescent="0.35">
      <c r="A28" s="36">
        <v>45161</v>
      </c>
      <c r="B28">
        <v>180.65</v>
      </c>
      <c r="C28" s="33">
        <f t="shared" si="0"/>
        <v>2.1949425807546503E-2</v>
      </c>
      <c r="E28" s="34">
        <v>4436.01</v>
      </c>
      <c r="F28" s="33">
        <f t="shared" si="1"/>
        <v>1.1044888377340438E-2</v>
      </c>
      <c r="I28" s="37"/>
      <c r="J28" s="37"/>
    </row>
    <row r="29" spans="1:15" x14ac:dyDescent="0.35">
      <c r="A29" s="36">
        <v>45160</v>
      </c>
      <c r="B29">
        <v>176.77</v>
      </c>
      <c r="C29" s="33">
        <f t="shared" si="0"/>
        <v>7.9256471661535797E-3</v>
      </c>
      <c r="E29" s="34">
        <v>4387.55</v>
      </c>
      <c r="F29" s="33">
        <f t="shared" si="1"/>
        <v>-2.777417910481742E-3</v>
      </c>
      <c r="I29" s="37"/>
      <c r="J29" s="37"/>
    </row>
    <row r="30" spans="1:15" x14ac:dyDescent="0.35">
      <c r="A30" s="36">
        <v>45159</v>
      </c>
      <c r="B30">
        <v>175.38</v>
      </c>
      <c r="C30" s="33">
        <f t="shared" si="0"/>
        <v>7.6993794529993309E-3</v>
      </c>
      <c r="E30" s="34">
        <v>4399.7700000000004</v>
      </c>
      <c r="F30" s="33">
        <f t="shared" si="1"/>
        <v>6.8791750482298363E-3</v>
      </c>
      <c r="I30" s="37"/>
      <c r="J30" s="37"/>
    </row>
    <row r="31" spans="1:15" x14ac:dyDescent="0.35">
      <c r="A31" s="36">
        <v>45156</v>
      </c>
      <c r="B31">
        <v>174.04</v>
      </c>
      <c r="C31" s="33">
        <f t="shared" si="0"/>
        <v>2.8233938346296783E-3</v>
      </c>
      <c r="E31" s="34">
        <v>4369.71</v>
      </c>
      <c r="F31" s="33">
        <f t="shared" si="1"/>
        <v>-1.4872916647590501E-4</v>
      </c>
      <c r="I31" s="37"/>
      <c r="J31" s="37"/>
    </row>
    <row r="32" spans="1:15" x14ac:dyDescent="0.35">
      <c r="A32" s="36">
        <v>45155</v>
      </c>
      <c r="B32">
        <v>173.55</v>
      </c>
      <c r="C32" s="33">
        <f t="shared" si="0"/>
        <v>-1.4536369314632912E-2</v>
      </c>
      <c r="E32" s="34">
        <v>4370.3599999999997</v>
      </c>
      <c r="F32" s="33">
        <f t="shared" si="1"/>
        <v>-7.7128643857295558E-3</v>
      </c>
      <c r="I32" s="37"/>
      <c r="J32" s="37"/>
    </row>
    <row r="33" spans="1:10" x14ac:dyDescent="0.35">
      <c r="A33" s="36">
        <v>45154</v>
      </c>
      <c r="B33">
        <v>176.11</v>
      </c>
      <c r="C33" s="33">
        <f t="shared" si="0"/>
        <v>-4.972032318210042E-3</v>
      </c>
      <c r="E33" s="34">
        <v>4404.33</v>
      </c>
      <c r="F33" s="33">
        <f t="shared" si="1"/>
        <v>-7.5554433893813113E-3</v>
      </c>
      <c r="I33" s="37"/>
      <c r="J33" s="37"/>
    </row>
    <row r="34" spans="1:10" x14ac:dyDescent="0.35">
      <c r="A34" s="36">
        <v>45153</v>
      </c>
      <c r="B34">
        <v>176.99</v>
      </c>
      <c r="C34" s="33">
        <f t="shared" si="0"/>
        <v>-1.1229050279329559E-2</v>
      </c>
      <c r="E34" s="34">
        <v>4437.8599999999997</v>
      </c>
      <c r="F34" s="33">
        <f t="shared" si="1"/>
        <v>-1.1550831677699406E-2</v>
      </c>
      <c r="I34" s="37"/>
      <c r="J34" s="37"/>
    </row>
    <row r="35" spans="1:10" x14ac:dyDescent="0.35">
      <c r="A35" s="36">
        <v>45152</v>
      </c>
      <c r="B35">
        <v>179</v>
      </c>
      <c r="C35" s="33">
        <f t="shared" si="0"/>
        <v>9.4174702532001768E-3</v>
      </c>
      <c r="E35" s="34">
        <v>4489.72</v>
      </c>
      <c r="F35" s="33">
        <f t="shared" si="1"/>
        <v>5.7503836202551653E-3</v>
      </c>
      <c r="I35" s="37"/>
      <c r="J35" s="37"/>
    </row>
    <row r="36" spans="1:10" x14ac:dyDescent="0.35">
      <c r="A36" s="36">
        <v>45149</v>
      </c>
      <c r="B36">
        <v>177.33</v>
      </c>
      <c r="C36" s="33">
        <f t="shared" si="0"/>
        <v>3.3846674564225345E-4</v>
      </c>
      <c r="E36" s="34">
        <v>4464.05</v>
      </c>
      <c r="F36" s="33">
        <f t="shared" si="1"/>
        <v>-1.0696312010078132E-3</v>
      </c>
      <c r="I36" s="37"/>
      <c r="J36" s="37"/>
    </row>
    <row r="37" spans="1:10" x14ac:dyDescent="0.35">
      <c r="A37" s="36">
        <v>45148</v>
      </c>
      <c r="B37">
        <v>177.27</v>
      </c>
      <c r="C37" s="33">
        <f t="shared" si="0"/>
        <v>-1.2395064510676594E-3</v>
      </c>
      <c r="E37" s="34">
        <v>4468.83</v>
      </c>
      <c r="F37" s="33">
        <f t="shared" si="1"/>
        <v>2.5068771249698186E-4</v>
      </c>
      <c r="I37" s="37"/>
      <c r="J37" s="37"/>
    </row>
    <row r="38" spans="1:10" x14ac:dyDescent="0.35">
      <c r="A38" s="36">
        <v>45147</v>
      </c>
      <c r="B38">
        <v>177.49</v>
      </c>
      <c r="C38" s="33">
        <f t="shared" si="0"/>
        <v>-8.9340555028197786E-3</v>
      </c>
      <c r="E38" s="34">
        <v>4467.71</v>
      </c>
      <c r="F38" s="33">
        <f t="shared" si="1"/>
        <v>-7.0387475607750563E-3</v>
      </c>
      <c r="I38" s="37"/>
      <c r="J38" s="37"/>
    </row>
    <row r="39" spans="1:10" x14ac:dyDescent="0.35">
      <c r="A39" s="36">
        <v>45146</v>
      </c>
      <c r="B39">
        <v>179.09</v>
      </c>
      <c r="C39" s="33">
        <f t="shared" si="0"/>
        <v>5.2764524277294283E-3</v>
      </c>
      <c r="E39" s="34">
        <v>4499.38</v>
      </c>
      <c r="F39" s="33">
        <f t="shared" si="1"/>
        <v>-4.218270022396998E-3</v>
      </c>
      <c r="I39" s="37"/>
      <c r="J39" s="37"/>
    </row>
    <row r="40" spans="1:10" x14ac:dyDescent="0.35">
      <c r="A40" s="36">
        <v>45145</v>
      </c>
      <c r="B40">
        <v>178.15</v>
      </c>
      <c r="C40" s="33">
        <f t="shared" si="0"/>
        <v>-1.7211893859987889E-2</v>
      </c>
      <c r="E40" s="34">
        <v>4518.4399999999996</v>
      </c>
      <c r="F40" s="33">
        <f t="shared" si="1"/>
        <v>9.024057453835695E-3</v>
      </c>
      <c r="I40" s="37"/>
      <c r="J40" s="37"/>
    </row>
    <row r="41" spans="1:10" x14ac:dyDescent="0.35">
      <c r="A41" s="36">
        <v>45142</v>
      </c>
      <c r="B41">
        <v>181.27</v>
      </c>
      <c r="C41" s="33">
        <f t="shared" si="0"/>
        <v>-4.8051675244196922E-2</v>
      </c>
      <c r="E41" s="34">
        <v>4478.03</v>
      </c>
      <c r="F41" s="33">
        <f t="shared" si="1"/>
        <v>-5.2999962238083516E-3</v>
      </c>
      <c r="I41" s="37"/>
      <c r="J41" s="37"/>
    </row>
    <row r="42" spans="1:10" x14ac:dyDescent="0.35">
      <c r="A42" s="36">
        <v>45141</v>
      </c>
      <c r="B42">
        <v>190.42</v>
      </c>
      <c r="C42" s="33">
        <f t="shared" si="0"/>
        <v>-7.2985090188718892E-3</v>
      </c>
      <c r="E42" s="34">
        <v>4501.8900000000003</v>
      </c>
      <c r="F42" s="33">
        <f t="shared" si="1"/>
        <v>-2.5479739176096014E-3</v>
      </c>
      <c r="I42" s="37"/>
      <c r="J42" s="37"/>
    </row>
    <row r="43" spans="1:10" x14ac:dyDescent="0.35">
      <c r="A43" s="36">
        <v>45140</v>
      </c>
      <c r="B43">
        <v>191.82</v>
      </c>
      <c r="C43" s="33">
        <f t="shared" si="0"/>
        <v>-1.549989735167322E-2</v>
      </c>
      <c r="E43" s="34">
        <v>4513.3900000000003</v>
      </c>
      <c r="F43" s="33">
        <f t="shared" si="1"/>
        <v>-1.3839575417382987E-2</v>
      </c>
      <c r="I43" s="37"/>
      <c r="J43" s="37"/>
    </row>
    <row r="44" spans="1:10" x14ac:dyDescent="0.35">
      <c r="A44" s="36">
        <v>45139</v>
      </c>
      <c r="B44">
        <v>194.84</v>
      </c>
      <c r="C44" s="33">
        <f t="shared" si="0"/>
        <v>-4.2927228127555362E-3</v>
      </c>
      <c r="E44" s="34">
        <v>4576.7299999999996</v>
      </c>
      <c r="F44" s="33">
        <f t="shared" si="1"/>
        <v>-2.6650918726684202E-3</v>
      </c>
      <c r="I44" s="37"/>
      <c r="J44" s="37"/>
    </row>
    <row r="45" spans="1:10" x14ac:dyDescent="0.35">
      <c r="A45" s="36">
        <v>45138</v>
      </c>
      <c r="B45">
        <v>195.68</v>
      </c>
      <c r="C45" s="33">
        <f t="shared" si="0"/>
        <v>3.1785091766636138E-3</v>
      </c>
      <c r="E45" s="34">
        <v>4588.96</v>
      </c>
      <c r="F45" s="33">
        <f t="shared" si="1"/>
        <v>1.4687171966488966E-3</v>
      </c>
      <c r="I45" s="37"/>
      <c r="J45" s="37"/>
    </row>
    <row r="46" spans="1:10" x14ac:dyDescent="0.35">
      <c r="A46" s="36">
        <v>45135</v>
      </c>
      <c r="B46">
        <v>195.06</v>
      </c>
      <c r="C46" s="33">
        <f t="shared" si="0"/>
        <v>1.3509300633897922E-2</v>
      </c>
      <c r="E46" s="34">
        <v>4582.2299999999996</v>
      </c>
      <c r="F46" s="33">
        <f t="shared" si="1"/>
        <v>9.8778818753429178E-3</v>
      </c>
      <c r="I46" s="37"/>
      <c r="J46" s="37"/>
    </row>
    <row r="47" spans="1:10" x14ac:dyDescent="0.35">
      <c r="A47" s="36">
        <v>45134</v>
      </c>
      <c r="B47">
        <v>192.46</v>
      </c>
      <c r="C47" s="33">
        <f t="shared" si="0"/>
        <v>-6.5555154080420269E-3</v>
      </c>
      <c r="E47" s="34">
        <v>4537.41</v>
      </c>
      <c r="F47" s="33">
        <f t="shared" si="1"/>
        <v>-6.4247002791920178E-3</v>
      </c>
      <c r="I47" s="37"/>
      <c r="J47" s="37"/>
    </row>
    <row r="48" spans="1:10" x14ac:dyDescent="0.35">
      <c r="A48" s="36">
        <v>45133</v>
      </c>
      <c r="B48">
        <v>193.73</v>
      </c>
      <c r="C48" s="33">
        <f t="shared" si="0"/>
        <v>4.5110442808253453E-3</v>
      </c>
      <c r="E48" s="34">
        <v>4566.75</v>
      </c>
      <c r="F48" s="33">
        <f t="shared" si="1"/>
        <v>-1.554474478156429E-4</v>
      </c>
      <c r="I48" s="37"/>
      <c r="J48" s="37"/>
    </row>
    <row r="49" spans="1:10" x14ac:dyDescent="0.35">
      <c r="A49" s="36">
        <v>45132</v>
      </c>
      <c r="B49">
        <v>192.86</v>
      </c>
      <c r="C49" s="33">
        <f t="shared" si="0"/>
        <v>4.5314860148966329E-3</v>
      </c>
      <c r="E49" s="34">
        <v>4567.46</v>
      </c>
      <c r="F49" s="33">
        <f t="shared" si="1"/>
        <v>2.8147120299298533E-3</v>
      </c>
      <c r="I49" s="37"/>
      <c r="J49" s="37"/>
    </row>
    <row r="50" spans="1:10" x14ac:dyDescent="0.35">
      <c r="A50" s="36">
        <v>45131</v>
      </c>
      <c r="B50">
        <v>191.99</v>
      </c>
      <c r="C50" s="33">
        <f t="shared" si="0"/>
        <v>4.2368448582487828E-3</v>
      </c>
      <c r="E50" s="34">
        <v>4554.6400000000003</v>
      </c>
      <c r="F50" s="33">
        <f t="shared" si="1"/>
        <v>4.0340891555747981E-3</v>
      </c>
      <c r="I50" s="37"/>
      <c r="J50" s="37"/>
    </row>
    <row r="51" spans="1:10" x14ac:dyDescent="0.35">
      <c r="A51" s="36">
        <v>45128</v>
      </c>
      <c r="B51">
        <v>191.18</v>
      </c>
      <c r="C51" s="33">
        <f t="shared" si="0"/>
        <v>-6.1859957373810769E-3</v>
      </c>
      <c r="E51" s="34">
        <v>4536.34</v>
      </c>
      <c r="F51" s="33">
        <f t="shared" si="1"/>
        <v>3.2415482693004533E-4</v>
      </c>
      <c r="I51" s="37"/>
      <c r="J51" s="37"/>
    </row>
    <row r="52" spans="1:10" x14ac:dyDescent="0.35">
      <c r="A52" s="36">
        <v>45127</v>
      </c>
      <c r="B52">
        <v>192.37</v>
      </c>
      <c r="C52" s="33">
        <f t="shared" si="0"/>
        <v>-1.0085936293933041E-2</v>
      </c>
      <c r="E52" s="34">
        <v>4534.87</v>
      </c>
      <c r="F52" s="33">
        <f t="shared" si="1"/>
        <v>-6.7568751478409459E-3</v>
      </c>
      <c r="I52" s="37"/>
      <c r="J52" s="37"/>
    </row>
    <row r="53" spans="1:10" x14ac:dyDescent="0.35">
      <c r="A53" s="36">
        <v>45126</v>
      </c>
      <c r="B53">
        <v>194.33</v>
      </c>
      <c r="C53" s="33">
        <f t="shared" si="0"/>
        <v>7.0477276260559347E-3</v>
      </c>
      <c r="E53" s="34">
        <v>4565.72</v>
      </c>
      <c r="F53" s="33">
        <f t="shared" si="1"/>
        <v>2.3578588709501891E-3</v>
      </c>
      <c r="I53" s="37"/>
      <c r="J53" s="37"/>
    </row>
    <row r="54" spans="1:10" x14ac:dyDescent="0.35">
      <c r="A54" s="36">
        <v>45125</v>
      </c>
      <c r="B54">
        <v>192.97</v>
      </c>
      <c r="C54" s="33">
        <f t="shared" si="0"/>
        <v>-1.3455467577497848E-3</v>
      </c>
      <c r="E54" s="34">
        <v>4554.9799999999996</v>
      </c>
      <c r="F54" s="33">
        <f t="shared" si="1"/>
        <v>7.1172882225351165E-3</v>
      </c>
      <c r="I54" s="37"/>
      <c r="J54" s="37"/>
    </row>
    <row r="55" spans="1:10" x14ac:dyDescent="0.35">
      <c r="A55" s="36">
        <v>45124</v>
      </c>
      <c r="B55">
        <v>193.23</v>
      </c>
      <c r="C55" s="33">
        <f t="shared" si="0"/>
        <v>1.7321259345056291E-2</v>
      </c>
      <c r="E55" s="34">
        <v>4522.79</v>
      </c>
      <c r="F55" s="33">
        <f t="shared" si="1"/>
        <v>3.8553564373576469E-3</v>
      </c>
      <c r="I55" s="37"/>
      <c r="J55" s="37"/>
    </row>
    <row r="56" spans="1:10" x14ac:dyDescent="0.35">
      <c r="A56" s="36">
        <v>45121</v>
      </c>
      <c r="B56">
        <v>189.94</v>
      </c>
      <c r="C56" s="33">
        <f t="shared" si="0"/>
        <v>7.9034722588126709E-4</v>
      </c>
      <c r="E56" s="34">
        <v>4505.42</v>
      </c>
      <c r="F56" s="33">
        <f t="shared" si="1"/>
        <v>-1.0243811584819405E-3</v>
      </c>
      <c r="I56" s="37"/>
      <c r="J56" s="37"/>
    </row>
    <row r="57" spans="1:10" x14ac:dyDescent="0.35">
      <c r="A57" s="36">
        <v>45120</v>
      </c>
      <c r="B57">
        <v>189.79</v>
      </c>
      <c r="C57" s="33">
        <f t="shared" si="0"/>
        <v>4.0736430007405657E-3</v>
      </c>
      <c r="E57" s="34">
        <v>4510.04</v>
      </c>
      <c r="F57" s="33">
        <f t="shared" si="1"/>
        <v>8.470179957783288E-3</v>
      </c>
      <c r="I57" s="37"/>
      <c r="J57" s="37"/>
    </row>
    <row r="58" spans="1:10" x14ac:dyDescent="0.35">
      <c r="A58" s="36">
        <v>45119</v>
      </c>
      <c r="B58">
        <v>189.02</v>
      </c>
      <c r="C58" s="33">
        <f t="shared" si="0"/>
        <v>8.9676523967118973E-3</v>
      </c>
      <c r="E58" s="34">
        <v>4472.16</v>
      </c>
      <c r="F58" s="33">
        <f t="shared" si="1"/>
        <v>7.4111451007599543E-3</v>
      </c>
      <c r="I58" s="37"/>
      <c r="J58" s="37"/>
    </row>
    <row r="59" spans="1:10" x14ac:dyDescent="0.35">
      <c r="A59" s="36">
        <v>45118</v>
      </c>
      <c r="B59">
        <v>187.34</v>
      </c>
      <c r="C59" s="33">
        <f t="shared" si="0"/>
        <v>-2.821099696598718E-3</v>
      </c>
      <c r="E59" s="34">
        <v>4439.26</v>
      </c>
      <c r="F59" s="33">
        <f t="shared" si="1"/>
        <v>6.7422151567174899E-3</v>
      </c>
      <c r="I59" s="37"/>
      <c r="J59" s="37"/>
    </row>
    <row r="60" spans="1:10" x14ac:dyDescent="0.35">
      <c r="A60" s="36">
        <v>45117</v>
      </c>
      <c r="B60">
        <v>187.87</v>
      </c>
      <c r="C60" s="33">
        <f t="shared" si="0"/>
        <v>-1.0846101195177182E-2</v>
      </c>
      <c r="E60" s="34">
        <v>4409.53</v>
      </c>
      <c r="F60" s="33">
        <f t="shared" si="1"/>
        <v>2.4051194034939993E-3</v>
      </c>
      <c r="I60" s="37"/>
      <c r="J60" s="37"/>
    </row>
    <row r="61" spans="1:10" x14ac:dyDescent="0.35">
      <c r="A61" s="36">
        <v>45114</v>
      </c>
      <c r="B61">
        <v>189.93</v>
      </c>
      <c r="C61" s="33">
        <f t="shared" si="0"/>
        <v>-5.914372448445491E-3</v>
      </c>
      <c r="E61" s="34">
        <v>4398.95</v>
      </c>
      <c r="F61" s="33">
        <f t="shared" si="1"/>
        <v>-2.8651801277998017E-3</v>
      </c>
      <c r="I61" s="37"/>
      <c r="J61" s="37"/>
    </row>
    <row r="62" spans="1:10" x14ac:dyDescent="0.35">
      <c r="A62" s="36">
        <v>45113</v>
      </c>
      <c r="B62">
        <v>191.06</v>
      </c>
      <c r="C62" s="33">
        <f t="shared" si="0"/>
        <v>2.5186273480952343E-3</v>
      </c>
      <c r="E62" s="34">
        <v>4411.59</v>
      </c>
      <c r="F62" s="33">
        <f t="shared" si="1"/>
        <v>-7.9225154155103117E-3</v>
      </c>
      <c r="I62" s="37"/>
      <c r="J62" s="37"/>
    </row>
    <row r="63" spans="1:10" x14ac:dyDescent="0.35">
      <c r="A63" s="36">
        <v>45112</v>
      </c>
      <c r="B63">
        <v>190.58</v>
      </c>
      <c r="C63" s="33">
        <f t="shared" si="0"/>
        <v>-5.8424621804902257E-3</v>
      </c>
      <c r="E63" s="34">
        <v>4446.82</v>
      </c>
      <c r="F63" s="33">
        <f t="shared" si="1"/>
        <v>-1.9683139606652398E-3</v>
      </c>
      <c r="I63" s="37"/>
      <c r="J63" s="37"/>
    </row>
    <row r="64" spans="1:10" x14ac:dyDescent="0.35">
      <c r="A64" s="36">
        <v>45110</v>
      </c>
      <c r="B64">
        <v>191.7</v>
      </c>
      <c r="C64" s="33">
        <f t="shared" si="0"/>
        <v>-7.8153304694374998E-3</v>
      </c>
      <c r="E64" s="34">
        <v>4455.59</v>
      </c>
      <c r="F64" s="33">
        <f t="shared" si="1"/>
        <v>1.1706865481150006E-3</v>
      </c>
      <c r="I64" s="37"/>
      <c r="J64" s="37"/>
    </row>
    <row r="65" spans="1:10" x14ac:dyDescent="0.35">
      <c r="A65" s="36">
        <v>45107</v>
      </c>
      <c r="B65">
        <v>193.21</v>
      </c>
      <c r="C65" s="33">
        <f t="shared" si="0"/>
        <v>2.3141283626350373E-2</v>
      </c>
      <c r="E65" s="34">
        <v>4450.38</v>
      </c>
      <c r="F65" s="33">
        <f t="shared" si="1"/>
        <v>1.2269017659743E-2</v>
      </c>
      <c r="I65" s="37"/>
      <c r="J65" s="37"/>
    </row>
    <row r="66" spans="1:10" x14ac:dyDescent="0.35">
      <c r="A66" s="36">
        <v>45106</v>
      </c>
      <c r="B66">
        <v>188.84</v>
      </c>
      <c r="C66" s="33">
        <f t="shared" ref="C66:C129" si="2">(B66-B67)/B67</f>
        <v>1.7505702615246541E-3</v>
      </c>
      <c r="E66" s="34">
        <v>4396.4399999999996</v>
      </c>
      <c r="F66" s="33">
        <f t="shared" ref="F66:F129" si="3">(E66-E67)/E67</f>
        <v>4.4735266835128221E-3</v>
      </c>
      <c r="I66" s="37"/>
      <c r="J66" s="37"/>
    </row>
    <row r="67" spans="1:10" x14ac:dyDescent="0.35">
      <c r="A67" s="36">
        <v>45105</v>
      </c>
      <c r="B67">
        <v>188.51</v>
      </c>
      <c r="C67" s="33">
        <f t="shared" si="2"/>
        <v>6.3527653213751745E-3</v>
      </c>
      <c r="E67" s="34">
        <v>4376.8599999999997</v>
      </c>
      <c r="F67" s="33">
        <f t="shared" si="3"/>
        <v>-3.5400978894168934E-4</v>
      </c>
      <c r="I67" s="37"/>
      <c r="J67" s="37"/>
    </row>
    <row r="68" spans="1:10" x14ac:dyDescent="0.35">
      <c r="A68" s="36">
        <v>45104</v>
      </c>
      <c r="B68">
        <v>187.32</v>
      </c>
      <c r="C68" s="33">
        <f t="shared" si="2"/>
        <v>1.5064484664571373E-2</v>
      </c>
      <c r="E68" s="34">
        <v>4378.41</v>
      </c>
      <c r="F68" s="33">
        <f t="shared" si="3"/>
        <v>1.1455777787018206E-2</v>
      </c>
      <c r="I68" s="37"/>
      <c r="J68" s="37"/>
    </row>
    <row r="69" spans="1:10" x14ac:dyDescent="0.35">
      <c r="A69" s="36">
        <v>45103</v>
      </c>
      <c r="B69">
        <v>184.54</v>
      </c>
      <c r="C69" s="33">
        <f t="shared" si="2"/>
        <v>-7.5826835170744646E-3</v>
      </c>
      <c r="E69" s="34">
        <v>4328.82</v>
      </c>
      <c r="F69" s="33">
        <f t="shared" si="3"/>
        <v>-4.4867799822001135E-3</v>
      </c>
      <c r="I69" s="37"/>
      <c r="J69" s="37"/>
    </row>
    <row r="70" spans="1:10" x14ac:dyDescent="0.35">
      <c r="A70" s="36">
        <v>45100</v>
      </c>
      <c r="B70">
        <v>185.95</v>
      </c>
      <c r="C70" s="33">
        <f t="shared" si="2"/>
        <v>-1.6643401696553328E-3</v>
      </c>
      <c r="E70" s="34">
        <v>4348.33</v>
      </c>
      <c r="F70" s="33">
        <f t="shared" si="3"/>
        <v>-7.6587956338475859E-3</v>
      </c>
      <c r="I70" s="37"/>
      <c r="J70" s="37"/>
    </row>
    <row r="71" spans="1:10" x14ac:dyDescent="0.35">
      <c r="A71" s="36">
        <v>45099</v>
      </c>
      <c r="B71">
        <v>186.26</v>
      </c>
      <c r="C71" s="33">
        <f t="shared" si="2"/>
        <v>1.6481117659899486E-2</v>
      </c>
      <c r="E71" s="34">
        <v>4381.8900000000003</v>
      </c>
      <c r="F71" s="33">
        <f t="shared" si="3"/>
        <v>3.7107536265746604E-3</v>
      </c>
      <c r="I71" s="37"/>
      <c r="J71" s="37"/>
    </row>
    <row r="72" spans="1:10" x14ac:dyDescent="0.35">
      <c r="A72" s="36">
        <v>45098</v>
      </c>
      <c r="B72">
        <v>183.24</v>
      </c>
      <c r="C72" s="33">
        <f t="shared" si="2"/>
        <v>-5.6435858476231388E-3</v>
      </c>
      <c r="E72" s="34">
        <v>4365.6899999999996</v>
      </c>
      <c r="F72" s="33">
        <f t="shared" si="3"/>
        <v>-5.2452770859775276E-3</v>
      </c>
      <c r="I72" s="37"/>
      <c r="J72" s="37"/>
    </row>
    <row r="73" spans="1:10" x14ac:dyDescent="0.35">
      <c r="A73" s="36">
        <v>45097</v>
      </c>
      <c r="B73">
        <v>184.28</v>
      </c>
      <c r="C73" s="33">
        <f t="shared" si="2"/>
        <v>4.88625875454712E-4</v>
      </c>
      <c r="E73" s="34">
        <v>4388.71</v>
      </c>
      <c r="F73" s="33">
        <f t="shared" si="3"/>
        <v>-4.7351341054383987E-3</v>
      </c>
      <c r="I73" s="37"/>
      <c r="J73" s="37"/>
    </row>
    <row r="74" spans="1:10" x14ac:dyDescent="0.35">
      <c r="A74" s="36">
        <v>45093</v>
      </c>
      <c r="B74">
        <v>184.19</v>
      </c>
      <c r="C74" s="33">
        <f t="shared" si="2"/>
        <v>-5.8829879101900007E-3</v>
      </c>
      <c r="E74" s="34">
        <v>4409.59</v>
      </c>
      <c r="F74" s="33">
        <f t="shared" si="3"/>
        <v>-3.671619398803391E-3</v>
      </c>
      <c r="I74" s="37"/>
      <c r="J74" s="37"/>
    </row>
    <row r="75" spans="1:10" x14ac:dyDescent="0.35">
      <c r="A75" s="36">
        <v>45092</v>
      </c>
      <c r="B75">
        <v>185.28</v>
      </c>
      <c r="C75" s="33">
        <f t="shared" si="2"/>
        <v>1.1188124215466963E-2</v>
      </c>
      <c r="E75" s="34">
        <v>4425.84</v>
      </c>
      <c r="F75" s="33">
        <f t="shared" si="3"/>
        <v>1.2178136985173546E-2</v>
      </c>
      <c r="I75" s="37"/>
      <c r="J75" s="37"/>
    </row>
    <row r="76" spans="1:10" x14ac:dyDescent="0.35">
      <c r="A76" s="36">
        <v>45091</v>
      </c>
      <c r="B76">
        <v>183.23</v>
      </c>
      <c r="C76" s="33">
        <f t="shared" si="2"/>
        <v>3.5051207623636909E-3</v>
      </c>
      <c r="E76" s="34">
        <v>4372.59</v>
      </c>
      <c r="F76" s="33">
        <f t="shared" si="3"/>
        <v>8.1940760034880373E-4</v>
      </c>
      <c r="I76" s="37"/>
      <c r="J76" s="37"/>
    </row>
    <row r="77" spans="1:10" x14ac:dyDescent="0.35">
      <c r="A77" s="36">
        <v>45090</v>
      </c>
      <c r="B77">
        <v>182.59</v>
      </c>
      <c r="C77" s="33">
        <f t="shared" si="2"/>
        <v>-2.6219478887856548E-3</v>
      </c>
      <c r="E77" s="34">
        <v>4369.01</v>
      </c>
      <c r="F77" s="33">
        <f t="shared" si="3"/>
        <v>6.9325847616808576E-3</v>
      </c>
      <c r="I77" s="37"/>
      <c r="J77" s="37"/>
    </row>
    <row r="78" spans="1:10" x14ac:dyDescent="0.35">
      <c r="A78" s="36">
        <v>45089</v>
      </c>
      <c r="B78">
        <v>183.07</v>
      </c>
      <c r="C78" s="33">
        <f t="shared" si="2"/>
        <v>1.5644937586685122E-2</v>
      </c>
      <c r="E78" s="34">
        <v>4338.93</v>
      </c>
      <c r="F78" s="33">
        <f t="shared" si="3"/>
        <v>9.3210758201012871E-3</v>
      </c>
      <c r="I78" s="37"/>
      <c r="J78" s="37"/>
    </row>
    <row r="79" spans="1:10" x14ac:dyDescent="0.35">
      <c r="A79" s="36">
        <v>45086</v>
      </c>
      <c r="B79">
        <v>180.25</v>
      </c>
      <c r="C79" s="33">
        <f t="shared" si="2"/>
        <v>2.1683531635715908E-3</v>
      </c>
      <c r="E79" s="34">
        <v>4298.8599999999997</v>
      </c>
      <c r="F79" s="33">
        <f t="shared" si="3"/>
        <v>1.1481323635921827E-3</v>
      </c>
      <c r="I79" s="37"/>
      <c r="J79" s="37"/>
    </row>
    <row r="80" spans="1:10" x14ac:dyDescent="0.35">
      <c r="A80" s="36">
        <v>45085</v>
      </c>
      <c r="B80">
        <v>179.86</v>
      </c>
      <c r="C80" s="33">
        <f t="shared" si="2"/>
        <v>1.5469738030713692E-2</v>
      </c>
      <c r="E80" s="34">
        <v>4293.93</v>
      </c>
      <c r="F80" s="33">
        <f t="shared" si="3"/>
        <v>6.1886060287942067E-3</v>
      </c>
      <c r="I80" s="37"/>
      <c r="J80" s="37"/>
    </row>
    <row r="81" spans="1:10" x14ac:dyDescent="0.35">
      <c r="A81" s="36">
        <v>45084</v>
      </c>
      <c r="B81">
        <v>177.12</v>
      </c>
      <c r="C81" s="33">
        <f t="shared" si="2"/>
        <v>-7.7866786174443248E-3</v>
      </c>
      <c r="E81" s="34">
        <v>4267.5200000000004</v>
      </c>
      <c r="F81" s="33">
        <f t="shared" si="3"/>
        <v>-3.8119915496574171E-3</v>
      </c>
      <c r="I81" s="37"/>
      <c r="J81" s="37"/>
    </row>
    <row r="82" spans="1:10" x14ac:dyDescent="0.35">
      <c r="A82" s="36">
        <v>45083</v>
      </c>
      <c r="B82">
        <v>178.51</v>
      </c>
      <c r="C82" s="33">
        <f t="shared" si="2"/>
        <v>-2.0126348744899294E-3</v>
      </c>
      <c r="E82" s="34">
        <v>4283.8500000000004</v>
      </c>
      <c r="F82" s="33">
        <f t="shared" si="3"/>
        <v>2.35388261940816E-3</v>
      </c>
      <c r="I82" s="37"/>
      <c r="J82" s="37"/>
    </row>
    <row r="83" spans="1:10" x14ac:dyDescent="0.35">
      <c r="A83" s="36">
        <v>45082</v>
      </c>
      <c r="B83">
        <v>178.87</v>
      </c>
      <c r="C83" s="33">
        <f t="shared" si="2"/>
        <v>-7.600976475810056E-3</v>
      </c>
      <c r="E83" s="34">
        <v>4273.79</v>
      </c>
      <c r="F83" s="33">
        <f t="shared" si="3"/>
        <v>-2.0035634473433935E-3</v>
      </c>
      <c r="I83" s="37"/>
      <c r="J83" s="37"/>
    </row>
    <row r="84" spans="1:10" x14ac:dyDescent="0.35">
      <c r="A84" s="36">
        <v>45079</v>
      </c>
      <c r="B84">
        <v>180.24</v>
      </c>
      <c r="C84" s="33">
        <f t="shared" si="2"/>
        <v>4.7942914483220739E-3</v>
      </c>
      <c r="E84" s="34">
        <v>4282.37</v>
      </c>
      <c r="F84" s="33">
        <f t="shared" si="3"/>
        <v>1.4534401637518762E-2</v>
      </c>
      <c r="I84" s="37"/>
      <c r="J84" s="37"/>
    </row>
    <row r="85" spans="1:10" x14ac:dyDescent="0.35">
      <c r="A85" s="36">
        <v>45078</v>
      </c>
      <c r="B85">
        <v>179.38</v>
      </c>
      <c r="C85" s="33">
        <f t="shared" si="2"/>
        <v>1.602945341263089E-2</v>
      </c>
      <c r="E85" s="34">
        <v>4221.0200000000004</v>
      </c>
      <c r="F85" s="33">
        <f t="shared" si="3"/>
        <v>9.8544677654355591E-3</v>
      </c>
      <c r="I85" s="37"/>
      <c r="J85" s="37"/>
    </row>
    <row r="86" spans="1:10" x14ac:dyDescent="0.35">
      <c r="A86" s="36">
        <v>45077</v>
      </c>
      <c r="B86">
        <v>176.55</v>
      </c>
      <c r="C86" s="33">
        <f t="shared" si="2"/>
        <v>-2.8312570781417301E-4</v>
      </c>
      <c r="E86" s="34">
        <v>4179.83</v>
      </c>
      <c r="F86" s="33">
        <f t="shared" si="3"/>
        <v>-6.1086381707851842E-3</v>
      </c>
      <c r="I86" s="37"/>
      <c r="J86" s="37"/>
    </row>
    <row r="87" spans="1:10" x14ac:dyDescent="0.35">
      <c r="A87" s="36">
        <v>45076</v>
      </c>
      <c r="B87">
        <v>176.6</v>
      </c>
      <c r="C87" s="33">
        <f t="shared" si="2"/>
        <v>1.0644385944832238E-2</v>
      </c>
      <c r="E87" s="34">
        <v>4205.5200000000004</v>
      </c>
      <c r="F87" s="33">
        <f t="shared" si="3"/>
        <v>1.6645067709904639E-5</v>
      </c>
      <c r="I87" s="37"/>
      <c r="J87" s="37"/>
    </row>
    <row r="88" spans="1:10" x14ac:dyDescent="0.35">
      <c r="A88" s="36">
        <v>45072</v>
      </c>
      <c r="B88">
        <v>174.74</v>
      </c>
      <c r="C88" s="33">
        <f t="shared" si="2"/>
        <v>1.4102489698798716E-2</v>
      </c>
      <c r="E88" s="34">
        <v>4205.45</v>
      </c>
      <c r="F88" s="33">
        <f t="shared" si="3"/>
        <v>1.3048987300302576E-2</v>
      </c>
      <c r="I88" s="37"/>
      <c r="J88" s="37"/>
    </row>
    <row r="89" spans="1:10" x14ac:dyDescent="0.35">
      <c r="A89" s="36">
        <v>45071</v>
      </c>
      <c r="B89">
        <v>172.31</v>
      </c>
      <c r="C89" s="33">
        <f t="shared" si="2"/>
        <v>6.7188595466230764E-3</v>
      </c>
      <c r="E89" s="34">
        <v>4151.28</v>
      </c>
      <c r="F89" s="33">
        <f t="shared" si="3"/>
        <v>8.757690924466122E-3</v>
      </c>
      <c r="I89" s="37"/>
      <c r="J89" s="37"/>
    </row>
    <row r="90" spans="1:10" x14ac:dyDescent="0.35">
      <c r="A90" s="36">
        <v>45070</v>
      </c>
      <c r="B90">
        <v>171.16</v>
      </c>
      <c r="C90" s="33">
        <f t="shared" si="2"/>
        <v>1.5799637193516897E-3</v>
      </c>
      <c r="E90" s="34">
        <v>4115.24</v>
      </c>
      <c r="F90" s="33">
        <f t="shared" si="3"/>
        <v>-7.3186381640205104E-3</v>
      </c>
      <c r="I90" s="37"/>
      <c r="J90" s="37"/>
    </row>
    <row r="91" spans="1:10" x14ac:dyDescent="0.35">
      <c r="A91" s="36">
        <v>45069</v>
      </c>
      <c r="B91">
        <v>170.89</v>
      </c>
      <c r="C91" s="33">
        <f t="shared" si="2"/>
        <v>-1.5099994236643448E-2</v>
      </c>
      <c r="E91" s="34">
        <v>4145.58</v>
      </c>
      <c r="F91" s="33">
        <f t="shared" si="3"/>
        <v>-1.1222073018606503E-2</v>
      </c>
      <c r="I91" s="37"/>
      <c r="J91" s="37"/>
    </row>
    <row r="92" spans="1:10" x14ac:dyDescent="0.35">
      <c r="A92" s="36">
        <v>45068</v>
      </c>
      <c r="B92">
        <v>173.51</v>
      </c>
      <c r="C92" s="33">
        <f t="shared" si="2"/>
        <v>-5.5023786324296898E-3</v>
      </c>
      <c r="E92" s="34">
        <v>4192.63</v>
      </c>
      <c r="F92" s="33">
        <f t="shared" si="3"/>
        <v>1.5505799168902184E-4</v>
      </c>
      <c r="I92" s="37"/>
      <c r="J92" s="37"/>
    </row>
    <row r="93" spans="1:10" x14ac:dyDescent="0.35">
      <c r="A93" s="36">
        <v>45065</v>
      </c>
      <c r="B93">
        <v>174.47</v>
      </c>
      <c r="C93" s="33">
        <f t="shared" si="2"/>
        <v>6.3087864189025696E-4</v>
      </c>
      <c r="E93" s="34">
        <v>4191.9799999999996</v>
      </c>
      <c r="F93" s="33">
        <f t="shared" si="3"/>
        <v>-1.4459094103216061E-3</v>
      </c>
      <c r="I93" s="37"/>
      <c r="J93" s="37"/>
    </row>
    <row r="94" spans="1:10" x14ac:dyDescent="0.35">
      <c r="A94" s="36">
        <v>45064</v>
      </c>
      <c r="B94">
        <v>174.36</v>
      </c>
      <c r="C94" s="33">
        <f t="shared" si="2"/>
        <v>1.3661996395558531E-2</v>
      </c>
      <c r="E94" s="34">
        <v>4198.05</v>
      </c>
      <c r="F94" s="33">
        <f t="shared" si="3"/>
        <v>9.4451003541912004E-3</v>
      </c>
      <c r="I94" s="37"/>
      <c r="J94" s="37"/>
    </row>
    <row r="95" spans="1:10" x14ac:dyDescent="0.35">
      <c r="A95" s="36">
        <v>45063</v>
      </c>
      <c r="B95">
        <v>172.01</v>
      </c>
      <c r="C95" s="33">
        <f t="shared" si="2"/>
        <v>3.6174805998016491E-3</v>
      </c>
      <c r="E95" s="34">
        <v>4158.7700000000004</v>
      </c>
      <c r="F95" s="33">
        <f t="shared" si="3"/>
        <v>1.1890800262780311E-2</v>
      </c>
      <c r="I95" s="37"/>
      <c r="J95" s="37"/>
    </row>
    <row r="96" spans="1:10" x14ac:dyDescent="0.35">
      <c r="A96" s="36">
        <v>45062</v>
      </c>
      <c r="B96">
        <v>171.39</v>
      </c>
      <c r="C96" s="33">
        <f t="shared" si="2"/>
        <v>0</v>
      </c>
      <c r="E96" s="34">
        <v>4109.8999999999996</v>
      </c>
      <c r="F96" s="33">
        <f t="shared" si="3"/>
        <v>-6.3777113735047214E-3</v>
      </c>
      <c r="I96" s="37"/>
      <c r="J96" s="37"/>
    </row>
    <row r="97" spans="1:10" x14ac:dyDescent="0.35">
      <c r="A97" s="36">
        <v>45061</v>
      </c>
      <c r="B97">
        <v>171.39</v>
      </c>
      <c r="C97" s="33">
        <f t="shared" si="2"/>
        <v>-2.9088370469486304E-3</v>
      </c>
      <c r="E97" s="34">
        <v>4136.28</v>
      </c>
      <c r="F97" s="33">
        <f t="shared" si="3"/>
        <v>2.9582355337432393E-3</v>
      </c>
      <c r="I97" s="37"/>
      <c r="J97" s="37"/>
    </row>
    <row r="98" spans="1:10" x14ac:dyDescent="0.35">
      <c r="A98" s="36">
        <v>45058</v>
      </c>
      <c r="B98">
        <v>171.89</v>
      </c>
      <c r="C98" s="33">
        <f t="shared" si="2"/>
        <v>-5.4388705664527347E-3</v>
      </c>
      <c r="E98" s="34">
        <v>4124.08</v>
      </c>
      <c r="F98" s="33">
        <f t="shared" si="3"/>
        <v>-1.5832974226629329E-3</v>
      </c>
      <c r="I98" s="37"/>
      <c r="J98" s="37"/>
    </row>
    <row r="99" spans="1:10" x14ac:dyDescent="0.35">
      <c r="A99" s="36">
        <v>45057</v>
      </c>
      <c r="B99">
        <v>172.83</v>
      </c>
      <c r="C99" s="33">
        <f t="shared" si="2"/>
        <v>1.1005560704357401E-3</v>
      </c>
      <c r="E99" s="34">
        <v>4130.62</v>
      </c>
      <c r="F99" s="33">
        <f t="shared" si="3"/>
        <v>-1.6966193288929041E-3</v>
      </c>
      <c r="I99" s="37"/>
      <c r="J99" s="37"/>
    </row>
    <row r="100" spans="1:10" x14ac:dyDescent="0.35">
      <c r="A100" s="36">
        <v>45056</v>
      </c>
      <c r="B100">
        <v>172.64</v>
      </c>
      <c r="C100" s="33">
        <f t="shared" si="2"/>
        <v>1.0417885988528459E-2</v>
      </c>
      <c r="E100" s="34">
        <v>4137.6400000000003</v>
      </c>
      <c r="F100" s="33">
        <f t="shared" si="3"/>
        <v>4.4839130213126079E-3</v>
      </c>
      <c r="I100" s="37"/>
      <c r="J100" s="37"/>
    </row>
    <row r="101" spans="1:10" x14ac:dyDescent="0.35">
      <c r="A101" s="36">
        <v>45055</v>
      </c>
      <c r="B101">
        <v>170.86</v>
      </c>
      <c r="C101" s="33">
        <f t="shared" si="2"/>
        <v>-9.966392397728582E-3</v>
      </c>
      <c r="E101" s="34">
        <v>4119.17</v>
      </c>
      <c r="F101" s="33">
        <f t="shared" si="3"/>
        <v>-4.5793742085777642E-3</v>
      </c>
      <c r="I101" s="37"/>
      <c r="J101" s="37"/>
    </row>
    <row r="102" spans="1:10" x14ac:dyDescent="0.35">
      <c r="A102" s="36">
        <v>45054</v>
      </c>
      <c r="B102">
        <v>172.58</v>
      </c>
      <c r="C102" s="33">
        <f t="shared" si="2"/>
        <v>-4.0544454097881944E-4</v>
      </c>
      <c r="E102" s="34">
        <v>4138.12</v>
      </c>
      <c r="F102" s="33">
        <f t="shared" si="3"/>
        <v>4.5210033242668865E-4</v>
      </c>
      <c r="I102" s="37"/>
      <c r="J102" s="37"/>
    </row>
    <row r="103" spans="1:10" x14ac:dyDescent="0.35">
      <c r="A103" s="36">
        <v>45051</v>
      </c>
      <c r="B103">
        <v>172.65</v>
      </c>
      <c r="C103" s="33">
        <f t="shared" si="2"/>
        <v>4.6934691649990957E-2</v>
      </c>
      <c r="E103" s="34">
        <v>4136.25</v>
      </c>
      <c r="F103" s="33">
        <f t="shared" si="3"/>
        <v>1.8474744042430651E-2</v>
      </c>
      <c r="I103" s="37"/>
      <c r="J103" s="37"/>
    </row>
    <row r="104" spans="1:10" x14ac:dyDescent="0.35">
      <c r="A104" s="36">
        <v>45050</v>
      </c>
      <c r="B104">
        <v>164.91</v>
      </c>
      <c r="C104" s="33">
        <f t="shared" si="2"/>
        <v>-9.9063400576369209E-3</v>
      </c>
      <c r="E104" s="34">
        <v>4061.22</v>
      </c>
      <c r="F104" s="33">
        <f t="shared" si="3"/>
        <v>-7.2187251726456517E-3</v>
      </c>
      <c r="I104" s="37"/>
      <c r="J104" s="37"/>
    </row>
    <row r="105" spans="1:10" x14ac:dyDescent="0.35">
      <c r="A105" s="36">
        <v>45049</v>
      </c>
      <c r="B105">
        <v>166.56</v>
      </c>
      <c r="C105" s="33">
        <f t="shared" si="2"/>
        <v>-6.5016403220996321E-3</v>
      </c>
      <c r="E105" s="34">
        <v>4090.75</v>
      </c>
      <c r="F105" s="33">
        <f t="shared" si="3"/>
        <v>-6.9982862330625764E-3</v>
      </c>
      <c r="I105" s="37"/>
      <c r="J105" s="37"/>
    </row>
    <row r="106" spans="1:10" x14ac:dyDescent="0.35">
      <c r="A106" s="36">
        <v>45048</v>
      </c>
      <c r="B106">
        <v>167.65</v>
      </c>
      <c r="C106" s="33">
        <f t="shared" si="2"/>
        <v>-6.1651550180804558E-3</v>
      </c>
      <c r="E106" s="34">
        <v>4119.58</v>
      </c>
      <c r="F106" s="33">
        <f t="shared" si="3"/>
        <v>-1.1586253889876596E-2</v>
      </c>
      <c r="I106" s="37"/>
      <c r="J106" s="37"/>
    </row>
    <row r="107" spans="1:10" x14ac:dyDescent="0.35">
      <c r="A107" s="36">
        <v>45047</v>
      </c>
      <c r="B107">
        <v>168.69</v>
      </c>
      <c r="C107" s="33">
        <f t="shared" si="2"/>
        <v>-5.3323853537150972E-4</v>
      </c>
      <c r="E107" s="34">
        <v>4167.87</v>
      </c>
      <c r="F107" s="33">
        <f t="shared" si="3"/>
        <v>-3.8613927875890346E-4</v>
      </c>
      <c r="I107" s="37"/>
      <c r="J107" s="37"/>
    </row>
    <row r="108" spans="1:10" x14ac:dyDescent="0.35">
      <c r="A108" s="36">
        <v>45044</v>
      </c>
      <c r="B108">
        <v>168.78</v>
      </c>
      <c r="C108" s="33">
        <f t="shared" si="2"/>
        <v>7.5214899713466499E-3</v>
      </c>
      <c r="E108" s="34">
        <v>4169.4799999999996</v>
      </c>
      <c r="F108" s="33">
        <f t="shared" si="3"/>
        <v>8.2532312863479989E-3</v>
      </c>
      <c r="I108" s="37"/>
      <c r="J108" s="37"/>
    </row>
    <row r="109" spans="1:10" x14ac:dyDescent="0.35">
      <c r="A109" s="36">
        <v>45043</v>
      </c>
      <c r="B109">
        <v>167.52</v>
      </c>
      <c r="C109" s="33">
        <f t="shared" si="2"/>
        <v>2.842408987660399E-2</v>
      </c>
      <c r="E109" s="34">
        <v>4135.3500000000004</v>
      </c>
      <c r="F109" s="33">
        <f t="shared" si="3"/>
        <v>1.9566123190639176E-2</v>
      </c>
      <c r="I109" s="37"/>
      <c r="J109" s="37"/>
    </row>
    <row r="110" spans="1:10" x14ac:dyDescent="0.35">
      <c r="A110" s="36">
        <v>45042</v>
      </c>
      <c r="B110">
        <v>162.88999999999999</v>
      </c>
      <c r="C110" s="33">
        <f t="shared" si="2"/>
        <v>-6.1387354205152405E-5</v>
      </c>
      <c r="E110" s="34">
        <v>4055.99</v>
      </c>
      <c r="F110" s="33">
        <f t="shared" si="3"/>
        <v>-3.8412134697898203E-3</v>
      </c>
      <c r="I110" s="37"/>
      <c r="J110" s="37"/>
    </row>
    <row r="111" spans="1:10" x14ac:dyDescent="0.35">
      <c r="A111" s="36">
        <v>45041</v>
      </c>
      <c r="B111">
        <v>162.9</v>
      </c>
      <c r="C111" s="33">
        <f t="shared" si="2"/>
        <v>-9.4253572514441056E-3</v>
      </c>
      <c r="E111" s="34">
        <v>4071.63</v>
      </c>
      <c r="F111" s="33">
        <f t="shared" si="3"/>
        <v>-1.5810821263512041E-2</v>
      </c>
      <c r="I111" s="37"/>
      <c r="J111" s="37"/>
    </row>
    <row r="112" spans="1:10" x14ac:dyDescent="0.35">
      <c r="A112" s="36">
        <v>45040</v>
      </c>
      <c r="B112">
        <v>164.45</v>
      </c>
      <c r="C112" s="33">
        <f t="shared" si="2"/>
        <v>1.888631655903511E-3</v>
      </c>
      <c r="E112" s="34">
        <v>4137.04</v>
      </c>
      <c r="F112" s="33">
        <f t="shared" si="3"/>
        <v>8.5157444502494887E-4</v>
      </c>
      <c r="I112" s="37"/>
      <c r="J112" s="37"/>
    </row>
    <row r="113" spans="1:10" x14ac:dyDescent="0.35">
      <c r="A113" s="36">
        <v>45037</v>
      </c>
      <c r="B113">
        <v>164.14</v>
      </c>
      <c r="C113" s="33">
        <f t="shared" si="2"/>
        <v>-9.8329010074200626E-3</v>
      </c>
      <c r="E113" s="34">
        <v>4133.5200000000004</v>
      </c>
      <c r="F113" s="33">
        <f t="shared" si="3"/>
        <v>9.031936248575528E-4</v>
      </c>
      <c r="I113" s="37"/>
      <c r="J113" s="37"/>
    </row>
    <row r="114" spans="1:10" x14ac:dyDescent="0.35">
      <c r="A114" s="36">
        <v>45036</v>
      </c>
      <c r="B114">
        <v>165.77</v>
      </c>
      <c r="C114" s="33">
        <f t="shared" si="2"/>
        <v>-5.8174403262564404E-3</v>
      </c>
      <c r="E114" s="34">
        <v>4129.79</v>
      </c>
      <c r="F114" s="33">
        <f t="shared" si="3"/>
        <v>-5.9525528821621921E-3</v>
      </c>
      <c r="I114" s="37"/>
      <c r="J114" s="37"/>
    </row>
    <row r="115" spans="1:10" x14ac:dyDescent="0.35">
      <c r="A115" s="36">
        <v>45035</v>
      </c>
      <c r="B115">
        <v>166.74</v>
      </c>
      <c r="C115" s="33">
        <f t="shared" si="2"/>
        <v>6.9448638202790364E-3</v>
      </c>
      <c r="E115" s="34">
        <v>4154.5200000000004</v>
      </c>
      <c r="F115" s="33">
        <f t="shared" si="3"/>
        <v>-8.4238496029828691E-5</v>
      </c>
      <c r="I115" s="37"/>
      <c r="J115" s="37"/>
    </row>
    <row r="116" spans="1:10" x14ac:dyDescent="0.35">
      <c r="A116" s="36">
        <v>45034</v>
      </c>
      <c r="B116">
        <v>165.59</v>
      </c>
      <c r="C116" s="33">
        <f t="shared" si="2"/>
        <v>7.5448737450563384E-3</v>
      </c>
      <c r="E116" s="34">
        <v>4154.87</v>
      </c>
      <c r="F116" s="33">
        <f t="shared" si="3"/>
        <v>8.5514968732841167E-4</v>
      </c>
      <c r="I116" s="37"/>
      <c r="J116" s="37"/>
    </row>
    <row r="117" spans="1:10" x14ac:dyDescent="0.35">
      <c r="A117" s="36">
        <v>45033</v>
      </c>
      <c r="B117">
        <v>164.35</v>
      </c>
      <c r="C117" s="33">
        <f t="shared" si="2"/>
        <v>1.2170632264335062E-4</v>
      </c>
      <c r="E117" s="34">
        <v>4151.32</v>
      </c>
      <c r="F117" s="33">
        <f t="shared" si="3"/>
        <v>3.3062325383550477E-3</v>
      </c>
      <c r="I117" s="37"/>
      <c r="J117" s="37"/>
    </row>
    <row r="118" spans="1:10" x14ac:dyDescent="0.35">
      <c r="A118" s="36">
        <v>45030</v>
      </c>
      <c r="B118">
        <v>164.33</v>
      </c>
      <c r="C118" s="33">
        <f t="shared" si="2"/>
        <v>-2.1253339810541312E-3</v>
      </c>
      <c r="E118" s="34">
        <v>4137.6400000000003</v>
      </c>
      <c r="F118" s="33">
        <f t="shared" si="3"/>
        <v>-2.0693547375681769E-3</v>
      </c>
      <c r="I118" s="37"/>
      <c r="J118" s="37"/>
    </row>
    <row r="119" spans="1:10" x14ac:dyDescent="0.35">
      <c r="A119" s="36">
        <v>45029</v>
      </c>
      <c r="B119">
        <v>164.68</v>
      </c>
      <c r="C119" s="33">
        <f t="shared" si="2"/>
        <v>3.4097331240188426E-2</v>
      </c>
      <c r="E119" s="34">
        <v>4146.22</v>
      </c>
      <c r="F119" s="33">
        <f t="shared" si="3"/>
        <v>1.3262625398648673E-2</v>
      </c>
      <c r="I119" s="37"/>
      <c r="J119" s="37"/>
    </row>
    <row r="120" spans="1:10" x14ac:dyDescent="0.35">
      <c r="A120" s="36">
        <v>45028</v>
      </c>
      <c r="B120">
        <v>159.25</v>
      </c>
      <c r="C120" s="33">
        <f t="shared" si="2"/>
        <v>-4.3763676148795795E-3</v>
      </c>
      <c r="E120" s="34">
        <v>4091.95</v>
      </c>
      <c r="F120" s="33">
        <f t="shared" si="3"/>
        <v>-4.1348863697206048E-3</v>
      </c>
      <c r="I120" s="37"/>
      <c r="J120" s="37"/>
    </row>
    <row r="121" spans="1:10" x14ac:dyDescent="0.35">
      <c r="A121" s="36">
        <v>45027</v>
      </c>
      <c r="B121">
        <v>159.94999999999999</v>
      </c>
      <c r="C121" s="33">
        <f t="shared" si="2"/>
        <v>-7.5696469566296394E-3</v>
      </c>
      <c r="E121" s="34">
        <v>4108.9399999999996</v>
      </c>
      <c r="F121" s="33">
        <f t="shared" si="3"/>
        <v>-4.1371489203275837E-5</v>
      </c>
      <c r="I121" s="37"/>
      <c r="J121" s="37"/>
    </row>
    <row r="122" spans="1:10" x14ac:dyDescent="0.35">
      <c r="A122" s="36">
        <v>45026</v>
      </c>
      <c r="B122">
        <v>161.16999999999999</v>
      </c>
      <c r="C122" s="33">
        <f t="shared" si="2"/>
        <v>-1.5996092557543223E-2</v>
      </c>
      <c r="E122" s="34">
        <v>4109.1099999999997</v>
      </c>
      <c r="F122" s="33">
        <f t="shared" si="3"/>
        <v>9.963410653295807E-4</v>
      </c>
      <c r="I122" s="37"/>
      <c r="J122" s="37"/>
    </row>
    <row r="123" spans="1:10" x14ac:dyDescent="0.35">
      <c r="A123" s="36">
        <v>45022</v>
      </c>
      <c r="B123">
        <v>163.79</v>
      </c>
      <c r="C123" s="33">
        <f t="shared" si="2"/>
        <v>5.5252010559273482E-3</v>
      </c>
      <c r="E123" s="34">
        <v>4105.0200000000004</v>
      </c>
      <c r="F123" s="33">
        <f t="shared" si="3"/>
        <v>3.5791295674241336E-3</v>
      </c>
      <c r="I123" s="37"/>
      <c r="J123" s="37"/>
    </row>
    <row r="124" spans="1:10" x14ac:dyDescent="0.35">
      <c r="A124" s="36">
        <v>45021</v>
      </c>
      <c r="B124">
        <v>162.88999999999999</v>
      </c>
      <c r="C124" s="33">
        <f t="shared" si="2"/>
        <v>-1.128983308042497E-2</v>
      </c>
      <c r="E124" s="34">
        <v>4090.38</v>
      </c>
      <c r="F124" s="33">
        <f t="shared" si="3"/>
        <v>-2.4923181973370368E-3</v>
      </c>
      <c r="I124" s="37"/>
      <c r="J124" s="37"/>
    </row>
    <row r="125" spans="1:10" x14ac:dyDescent="0.35">
      <c r="A125" s="36">
        <v>45020</v>
      </c>
      <c r="B125">
        <v>164.75</v>
      </c>
      <c r="C125" s="33">
        <f t="shared" si="2"/>
        <v>-3.2669852985661085E-3</v>
      </c>
      <c r="E125" s="34">
        <v>4100.6000000000004</v>
      </c>
      <c r="F125" s="33">
        <f t="shared" si="3"/>
        <v>-5.7970522559043025E-3</v>
      </c>
      <c r="I125" s="37"/>
      <c r="J125" s="37"/>
    </row>
    <row r="126" spans="1:10" x14ac:dyDescent="0.35">
      <c r="A126" s="36">
        <v>45019</v>
      </c>
      <c r="B126">
        <v>165.29</v>
      </c>
      <c r="C126" s="33">
        <f t="shared" si="2"/>
        <v>7.7429581758321044E-3</v>
      </c>
      <c r="E126" s="34">
        <v>4124.51</v>
      </c>
      <c r="F126" s="33">
        <f t="shared" si="3"/>
        <v>3.6989178231868164E-3</v>
      </c>
      <c r="I126" s="37"/>
      <c r="J126" s="37"/>
    </row>
    <row r="127" spans="1:10" x14ac:dyDescent="0.35">
      <c r="A127" s="36">
        <v>45016</v>
      </c>
      <c r="B127">
        <v>164.02</v>
      </c>
      <c r="C127" s="33">
        <f t="shared" si="2"/>
        <v>1.5603715170278702E-2</v>
      </c>
      <c r="E127" s="34">
        <v>4109.3100000000004</v>
      </c>
      <c r="F127" s="33">
        <f t="shared" si="3"/>
        <v>1.4436547571732329E-2</v>
      </c>
      <c r="I127" s="37"/>
      <c r="J127" s="37"/>
    </row>
    <row r="128" spans="1:10" x14ac:dyDescent="0.35">
      <c r="A128" s="36">
        <v>45015</v>
      </c>
      <c r="B128">
        <v>161.5</v>
      </c>
      <c r="C128" s="33">
        <f t="shared" si="2"/>
        <v>9.8799399699850722E-3</v>
      </c>
      <c r="E128" s="34">
        <v>4050.83</v>
      </c>
      <c r="F128" s="33">
        <f t="shared" si="3"/>
        <v>5.7152646227106004E-3</v>
      </c>
      <c r="I128" s="37"/>
      <c r="J128" s="37"/>
    </row>
    <row r="129" spans="1:10" x14ac:dyDescent="0.35">
      <c r="A129" s="36">
        <v>45014</v>
      </c>
      <c r="B129">
        <v>159.91999999999999</v>
      </c>
      <c r="C129" s="33">
        <f t="shared" si="2"/>
        <v>1.9832918818952779E-2</v>
      </c>
      <c r="E129" s="34">
        <v>4027.81</v>
      </c>
      <c r="F129" s="33">
        <f t="shared" si="3"/>
        <v>1.4237259113583303E-2</v>
      </c>
      <c r="I129" s="37"/>
      <c r="J129" s="37"/>
    </row>
    <row r="130" spans="1:10" x14ac:dyDescent="0.35">
      <c r="A130" s="36">
        <v>45013</v>
      </c>
      <c r="B130">
        <v>156.81</v>
      </c>
      <c r="C130" s="33">
        <f t="shared" ref="C130:C193" si="4">(B130-B131)/B131</f>
        <v>-4.0015243902438739E-3</v>
      </c>
      <c r="E130" s="34">
        <v>3971.27</v>
      </c>
      <c r="F130" s="33">
        <f t="shared" ref="F130:F193" si="5">(E130-E131)/E131</f>
        <v>-1.5738410521102841E-3</v>
      </c>
      <c r="I130" s="37"/>
      <c r="J130" s="37"/>
    </row>
    <row r="131" spans="1:10" x14ac:dyDescent="0.35">
      <c r="A131" s="36">
        <v>45012</v>
      </c>
      <c r="B131">
        <v>157.44</v>
      </c>
      <c r="C131" s="33">
        <f t="shared" si="4"/>
        <v>-1.2296110414052748E-2</v>
      </c>
      <c r="E131" s="34">
        <v>3977.53</v>
      </c>
      <c r="F131" s="33">
        <f t="shared" si="5"/>
        <v>1.6469444647305631E-3</v>
      </c>
      <c r="I131" s="37"/>
      <c r="J131" s="37"/>
    </row>
    <row r="132" spans="1:10" x14ac:dyDescent="0.35">
      <c r="A132" s="36">
        <v>45009</v>
      </c>
      <c r="B132">
        <v>159.4</v>
      </c>
      <c r="C132" s="33">
        <f t="shared" si="4"/>
        <v>8.2864191283446281E-3</v>
      </c>
      <c r="E132" s="34">
        <v>3970.99</v>
      </c>
      <c r="F132" s="33">
        <f t="shared" si="5"/>
        <v>5.6398022650377801E-3</v>
      </c>
      <c r="I132" s="37"/>
      <c r="J132" s="37"/>
    </row>
    <row r="133" spans="1:10" x14ac:dyDescent="0.35">
      <c r="A133" s="36">
        <v>45008</v>
      </c>
      <c r="B133">
        <v>158.09</v>
      </c>
      <c r="C133" s="33">
        <f t="shared" si="4"/>
        <v>7.0068157207465081E-3</v>
      </c>
      <c r="E133" s="34">
        <v>3948.72</v>
      </c>
      <c r="F133" s="33">
        <f t="shared" si="5"/>
        <v>2.9845287111662016E-3</v>
      </c>
      <c r="I133" s="37"/>
      <c r="J133" s="37"/>
    </row>
    <row r="134" spans="1:10" x14ac:dyDescent="0.35">
      <c r="A134" s="36">
        <v>45007</v>
      </c>
      <c r="B134">
        <v>156.99</v>
      </c>
      <c r="C134" s="33">
        <f t="shared" si="4"/>
        <v>-9.0891876538534214E-3</v>
      </c>
      <c r="E134" s="34">
        <v>3936.97</v>
      </c>
      <c r="F134" s="33">
        <f t="shared" si="5"/>
        <v>-1.6463187662851927E-2</v>
      </c>
      <c r="I134" s="37"/>
      <c r="J134" s="37"/>
    </row>
    <row r="135" spans="1:10" x14ac:dyDescent="0.35">
      <c r="A135" s="36">
        <v>45006</v>
      </c>
      <c r="B135">
        <v>158.43</v>
      </c>
      <c r="C135" s="33">
        <f t="shared" si="4"/>
        <v>1.1944302503832426E-2</v>
      </c>
      <c r="E135" s="34">
        <v>4002.87</v>
      </c>
      <c r="F135" s="33">
        <f t="shared" si="5"/>
        <v>1.2982181765728488E-2</v>
      </c>
      <c r="I135" s="37"/>
      <c r="J135" s="37"/>
    </row>
    <row r="136" spans="1:10" x14ac:dyDescent="0.35">
      <c r="A136" s="36">
        <v>45005</v>
      </c>
      <c r="B136">
        <v>156.56</v>
      </c>
      <c r="C136" s="33">
        <f t="shared" si="4"/>
        <v>1.5436502788947953E-2</v>
      </c>
      <c r="E136" s="34">
        <v>3951.57</v>
      </c>
      <c r="F136" s="33">
        <f t="shared" si="5"/>
        <v>8.9183585930798573E-3</v>
      </c>
      <c r="I136" s="37"/>
      <c r="J136" s="37"/>
    </row>
    <row r="137" spans="1:10" x14ac:dyDescent="0.35">
      <c r="A137" s="36">
        <v>45002</v>
      </c>
      <c r="B137">
        <v>154.18</v>
      </c>
      <c r="C137" s="33">
        <f t="shared" si="4"/>
        <v>-5.4186556573345588E-3</v>
      </c>
      <c r="E137" s="34">
        <v>3916.64</v>
      </c>
      <c r="F137" s="33">
        <f t="shared" si="5"/>
        <v>-1.1019422869090146E-2</v>
      </c>
      <c r="I137" s="37"/>
      <c r="J137" s="37"/>
    </row>
    <row r="138" spans="1:10" x14ac:dyDescent="0.35">
      <c r="A138" s="36">
        <v>45001</v>
      </c>
      <c r="B138">
        <v>155.02000000000001</v>
      </c>
      <c r="C138" s="33">
        <f t="shared" si="4"/>
        <v>1.8662110658430826E-2</v>
      </c>
      <c r="E138" s="34">
        <v>3960.28</v>
      </c>
      <c r="F138" s="33">
        <f t="shared" si="5"/>
        <v>1.7561980816715707E-2</v>
      </c>
      <c r="I138" s="37"/>
      <c r="J138" s="37"/>
    </row>
    <row r="139" spans="1:10" x14ac:dyDescent="0.35">
      <c r="A139" s="36">
        <v>45000</v>
      </c>
      <c r="B139">
        <v>152.18</v>
      </c>
      <c r="C139" s="33">
        <f t="shared" si="4"/>
        <v>2.6353933324549062E-3</v>
      </c>
      <c r="E139" s="34">
        <v>3891.93</v>
      </c>
      <c r="F139" s="33">
        <f t="shared" si="5"/>
        <v>-6.9808562265104464E-3</v>
      </c>
      <c r="I139" s="37"/>
      <c r="J139" s="37"/>
    </row>
    <row r="140" spans="1:10" x14ac:dyDescent="0.35">
      <c r="A140" s="36">
        <v>44999</v>
      </c>
      <c r="B140">
        <v>151.78</v>
      </c>
      <c r="C140" s="33">
        <f t="shared" si="4"/>
        <v>1.4097681566112205E-2</v>
      </c>
      <c r="E140" s="34">
        <v>3919.29</v>
      </c>
      <c r="F140" s="33">
        <f t="shared" si="5"/>
        <v>1.6476647924144588E-2</v>
      </c>
      <c r="I140" s="37"/>
      <c r="J140" s="37"/>
    </row>
    <row r="141" spans="1:10" x14ac:dyDescent="0.35">
      <c r="A141" s="36">
        <v>44998</v>
      </c>
      <c r="B141">
        <v>149.66999999999999</v>
      </c>
      <c r="C141" s="33">
        <f t="shared" si="4"/>
        <v>1.3269243788504363E-2</v>
      </c>
      <c r="E141" s="34">
        <v>3855.76</v>
      </c>
      <c r="F141" s="33">
        <f t="shared" si="5"/>
        <v>-1.5097408062481846E-3</v>
      </c>
      <c r="I141" s="37"/>
      <c r="J141" s="37"/>
    </row>
    <row r="142" spans="1:10" x14ac:dyDescent="0.35">
      <c r="A142" s="36">
        <v>44995</v>
      </c>
      <c r="B142">
        <v>147.71</v>
      </c>
      <c r="C142" s="33">
        <f t="shared" si="4"/>
        <v>-1.3886107216770039E-2</v>
      </c>
      <c r="E142" s="34">
        <v>3861.59</v>
      </c>
      <c r="F142" s="33">
        <f t="shared" si="5"/>
        <v>-1.447814369423631E-2</v>
      </c>
      <c r="I142" s="37"/>
      <c r="J142" s="37"/>
    </row>
    <row r="143" spans="1:10" x14ac:dyDescent="0.35">
      <c r="A143" s="36">
        <v>44994</v>
      </c>
      <c r="B143">
        <v>149.79</v>
      </c>
      <c r="C143" s="33">
        <f t="shared" si="4"/>
        <v>-1.4928317769301659E-2</v>
      </c>
      <c r="E143" s="34">
        <v>3918.32</v>
      </c>
      <c r="F143" s="33">
        <f t="shared" si="5"/>
        <v>-1.8459372596762044E-2</v>
      </c>
      <c r="I143" s="37"/>
      <c r="J143" s="37"/>
    </row>
    <row r="144" spans="1:10" x14ac:dyDescent="0.35">
      <c r="A144" s="36">
        <v>44993</v>
      </c>
      <c r="B144">
        <v>152.06</v>
      </c>
      <c r="C144" s="33">
        <f t="shared" si="4"/>
        <v>8.3554376657824329E-3</v>
      </c>
      <c r="E144" s="34">
        <v>3992.01</v>
      </c>
      <c r="F144" s="33">
        <f t="shared" si="5"/>
        <v>1.4148210025663266E-3</v>
      </c>
      <c r="I144" s="37"/>
      <c r="J144" s="37"/>
    </row>
    <row r="145" spans="1:10" x14ac:dyDescent="0.35">
      <c r="A145" s="36">
        <v>44992</v>
      </c>
      <c r="B145">
        <v>150.80000000000001</v>
      </c>
      <c r="C145" s="33">
        <f t="shared" si="4"/>
        <v>-1.4443500424808704E-2</v>
      </c>
      <c r="E145" s="34">
        <v>3986.37</v>
      </c>
      <c r="F145" s="33">
        <f t="shared" si="5"/>
        <v>-1.532696706369403E-2</v>
      </c>
      <c r="I145" s="37"/>
      <c r="J145" s="37"/>
    </row>
    <row r="146" spans="1:10" x14ac:dyDescent="0.35">
      <c r="A146" s="36">
        <v>44991</v>
      </c>
      <c r="B146">
        <v>153.01</v>
      </c>
      <c r="C146" s="33">
        <f t="shared" si="4"/>
        <v>1.8504959062770429E-2</v>
      </c>
      <c r="E146" s="34">
        <v>4048.42</v>
      </c>
      <c r="F146" s="33">
        <f t="shared" si="5"/>
        <v>6.8715950999105211E-4</v>
      </c>
      <c r="I146" s="37"/>
      <c r="J146" s="37"/>
    </row>
    <row r="147" spans="1:10" x14ac:dyDescent="0.35">
      <c r="A147" s="36">
        <v>44988</v>
      </c>
      <c r="B147">
        <v>150.22999999999999</v>
      </c>
      <c r="C147" s="33">
        <f t="shared" si="4"/>
        <v>3.5069587984015459E-2</v>
      </c>
      <c r="E147" s="34">
        <v>4045.64</v>
      </c>
      <c r="F147" s="33">
        <f t="shared" si="5"/>
        <v>1.6147789066522655E-2</v>
      </c>
      <c r="I147" s="37"/>
      <c r="J147" s="37"/>
    </row>
    <row r="148" spans="1:10" x14ac:dyDescent="0.35">
      <c r="A148" s="36">
        <v>44987</v>
      </c>
      <c r="B148">
        <v>145.13999999999999</v>
      </c>
      <c r="C148" s="33">
        <f t="shared" si="4"/>
        <v>4.1511000415109609E-3</v>
      </c>
      <c r="E148" s="34">
        <v>3981.35</v>
      </c>
      <c r="F148" s="33">
        <f t="shared" si="5"/>
        <v>7.5821419804170277E-3</v>
      </c>
      <c r="I148" s="37"/>
      <c r="J148" s="37"/>
    </row>
    <row r="149" spans="1:10" x14ac:dyDescent="0.35">
      <c r="A149" s="36">
        <v>44986</v>
      </c>
      <c r="B149">
        <v>144.54</v>
      </c>
      <c r="C149" s="33">
        <f t="shared" si="4"/>
        <v>-1.4253563390847736E-2</v>
      </c>
      <c r="E149" s="34">
        <v>3951.39</v>
      </c>
      <c r="F149" s="33">
        <f t="shared" si="5"/>
        <v>-4.7252622696875978E-3</v>
      </c>
      <c r="I149" s="37"/>
      <c r="J149" s="37"/>
    </row>
    <row r="150" spans="1:10" x14ac:dyDescent="0.35">
      <c r="A150" s="36">
        <v>44985</v>
      </c>
      <c r="B150">
        <v>146.63</v>
      </c>
      <c r="C150" s="33">
        <f t="shared" si="4"/>
        <v>-3.3983551960850948E-3</v>
      </c>
      <c r="E150" s="34">
        <v>3970.15</v>
      </c>
      <c r="F150" s="33">
        <f t="shared" si="5"/>
        <v>-3.0359797500903239E-3</v>
      </c>
      <c r="I150" s="37"/>
      <c r="J150" s="37"/>
    </row>
    <row r="151" spans="1:10" x14ac:dyDescent="0.35">
      <c r="A151" s="36">
        <v>44984</v>
      </c>
      <c r="B151">
        <v>147.13</v>
      </c>
      <c r="C151" s="33">
        <f t="shared" si="4"/>
        <v>8.2231206742958175E-3</v>
      </c>
      <c r="E151" s="34">
        <v>3982.24</v>
      </c>
      <c r="F151" s="33">
        <f t="shared" si="5"/>
        <v>3.0730168965551526E-3</v>
      </c>
      <c r="I151" s="37"/>
      <c r="J151" s="37"/>
    </row>
    <row r="152" spans="1:10" x14ac:dyDescent="0.35">
      <c r="A152" s="36">
        <v>44981</v>
      </c>
      <c r="B152">
        <v>145.93</v>
      </c>
      <c r="C152" s="33">
        <f t="shared" si="4"/>
        <v>-1.8033779691810824E-2</v>
      </c>
      <c r="E152" s="34">
        <v>3970.04</v>
      </c>
      <c r="F152" s="33">
        <f t="shared" si="5"/>
        <v>-1.0537544363360898E-2</v>
      </c>
      <c r="I152" s="37"/>
      <c r="J152" s="37"/>
    </row>
    <row r="153" spans="1:10" x14ac:dyDescent="0.35">
      <c r="A153" s="36">
        <v>44980</v>
      </c>
      <c r="B153">
        <v>148.61000000000001</v>
      </c>
      <c r="C153" s="33">
        <f t="shared" si="4"/>
        <v>3.308128544423502E-3</v>
      </c>
      <c r="E153" s="34">
        <v>4012.32</v>
      </c>
      <c r="F153" s="33">
        <f t="shared" si="5"/>
        <v>5.3294245875145588E-3</v>
      </c>
      <c r="I153" s="37"/>
      <c r="J153" s="37"/>
    </row>
    <row r="154" spans="1:10" x14ac:dyDescent="0.35">
      <c r="A154" s="36">
        <v>44979</v>
      </c>
      <c r="B154">
        <v>148.12</v>
      </c>
      <c r="C154" s="33">
        <f t="shared" si="4"/>
        <v>2.9115038255806544E-3</v>
      </c>
      <c r="E154" s="34">
        <v>3991.05</v>
      </c>
      <c r="F154" s="33">
        <f t="shared" si="5"/>
        <v>-1.5735464083615513E-3</v>
      </c>
      <c r="I154" s="37"/>
      <c r="J154" s="37"/>
    </row>
    <row r="155" spans="1:10" x14ac:dyDescent="0.35">
      <c r="A155" s="36">
        <v>44978</v>
      </c>
      <c r="B155">
        <v>147.69</v>
      </c>
      <c r="C155" s="33">
        <f t="shared" si="4"/>
        <v>-2.6690391459074807E-2</v>
      </c>
      <c r="E155" s="34">
        <v>3997.34</v>
      </c>
      <c r="F155" s="33">
        <f t="shared" si="5"/>
        <v>-2.0041234687148357E-2</v>
      </c>
      <c r="I155" s="37"/>
      <c r="J155" s="37"/>
    </row>
    <row r="156" spans="1:10" x14ac:dyDescent="0.35">
      <c r="A156" s="36">
        <v>44974</v>
      </c>
      <c r="B156">
        <v>151.74</v>
      </c>
      <c r="C156" s="33">
        <f t="shared" si="4"/>
        <v>-7.521747661717427E-3</v>
      </c>
      <c r="E156" s="34">
        <v>4079.09</v>
      </c>
      <c r="F156" s="33">
        <f t="shared" si="5"/>
        <v>-2.7674487398573026E-3</v>
      </c>
      <c r="I156" s="37"/>
      <c r="J156" s="37"/>
    </row>
    <row r="157" spans="1:10" x14ac:dyDescent="0.35">
      <c r="A157" s="36">
        <v>44973</v>
      </c>
      <c r="B157">
        <v>152.88999999999999</v>
      </c>
      <c r="C157" s="33">
        <f t="shared" si="4"/>
        <v>-1.0484758268073295E-2</v>
      </c>
      <c r="E157" s="34">
        <v>4090.41</v>
      </c>
      <c r="F157" s="33">
        <f t="shared" si="5"/>
        <v>-1.3788697077828264E-2</v>
      </c>
      <c r="I157" s="37"/>
      <c r="J157" s="37"/>
    </row>
    <row r="158" spans="1:10" x14ac:dyDescent="0.35">
      <c r="A158" s="36">
        <v>44972</v>
      </c>
      <c r="B158">
        <v>154.51</v>
      </c>
      <c r="C158" s="33">
        <f t="shared" si="4"/>
        <v>1.3911673994356616E-2</v>
      </c>
      <c r="E158" s="34">
        <v>4147.6000000000004</v>
      </c>
      <c r="F158" s="33">
        <f t="shared" si="5"/>
        <v>2.7731236687435486E-3</v>
      </c>
      <c r="I158" s="37"/>
      <c r="J158" s="37"/>
    </row>
    <row r="159" spans="1:10" x14ac:dyDescent="0.35">
      <c r="A159" s="36">
        <v>44971</v>
      </c>
      <c r="B159">
        <v>152.38999999999999</v>
      </c>
      <c r="C159" s="33">
        <f t="shared" si="4"/>
        <v>-4.1821864993793036E-3</v>
      </c>
      <c r="E159" s="34">
        <v>4136.13</v>
      </c>
      <c r="F159" s="33">
        <f t="shared" si="5"/>
        <v>-2.8037676836766446E-4</v>
      </c>
      <c r="I159" s="37"/>
      <c r="J159" s="37"/>
    </row>
    <row r="160" spans="1:10" x14ac:dyDescent="0.35">
      <c r="A160" s="36">
        <v>44970</v>
      </c>
      <c r="B160">
        <v>153.03</v>
      </c>
      <c r="C160" s="33">
        <f t="shared" si="4"/>
        <v>1.8773716796484874E-2</v>
      </c>
      <c r="E160" s="34">
        <v>4137.29</v>
      </c>
      <c r="F160" s="33">
        <f t="shared" si="5"/>
        <v>1.1448590134116927E-2</v>
      </c>
      <c r="I160" s="37"/>
      <c r="J160" s="37"/>
    </row>
    <row r="161" spans="1:10" x14ac:dyDescent="0.35">
      <c r="A161" s="36">
        <v>44967</v>
      </c>
      <c r="B161">
        <v>150.21</v>
      </c>
      <c r="C161" s="33">
        <f t="shared" si="4"/>
        <v>2.4693005872931427E-3</v>
      </c>
      <c r="E161" s="34">
        <v>4090.46</v>
      </c>
      <c r="F161" s="33">
        <f t="shared" si="5"/>
        <v>2.1952713463187644E-3</v>
      </c>
      <c r="I161" s="37"/>
      <c r="J161" s="37"/>
    </row>
    <row r="162" spans="1:10" x14ac:dyDescent="0.35">
      <c r="A162" s="36">
        <v>44966</v>
      </c>
      <c r="B162">
        <v>149.84</v>
      </c>
      <c r="C162" s="33">
        <f t="shared" si="4"/>
        <v>-6.892895015906628E-3</v>
      </c>
      <c r="E162" s="34">
        <v>4081.5</v>
      </c>
      <c r="F162" s="33">
        <f t="shared" si="5"/>
        <v>-8.8298290859814745E-3</v>
      </c>
      <c r="I162" s="37"/>
      <c r="J162" s="37"/>
    </row>
    <row r="163" spans="1:10" x14ac:dyDescent="0.35">
      <c r="A163" s="36">
        <v>44965</v>
      </c>
      <c r="B163">
        <v>150.88</v>
      </c>
      <c r="C163" s="33">
        <f t="shared" si="4"/>
        <v>-1.7644377889185544E-2</v>
      </c>
      <c r="E163" s="34">
        <v>4117.8599999999997</v>
      </c>
      <c r="F163" s="33">
        <f t="shared" si="5"/>
        <v>-1.1080691642651375E-2</v>
      </c>
      <c r="I163" s="37"/>
      <c r="J163" s="37"/>
    </row>
    <row r="164" spans="1:10" x14ac:dyDescent="0.35">
      <c r="A164" s="36">
        <v>44964</v>
      </c>
      <c r="B164">
        <v>153.59</v>
      </c>
      <c r="C164" s="33">
        <f t="shared" si="4"/>
        <v>1.9244807220120817E-2</v>
      </c>
      <c r="E164" s="34">
        <v>4164</v>
      </c>
      <c r="F164" s="33">
        <f t="shared" si="5"/>
        <v>1.2872529846171828E-2</v>
      </c>
      <c r="I164" s="37"/>
      <c r="J164" s="37"/>
    </row>
    <row r="165" spans="1:10" x14ac:dyDescent="0.35">
      <c r="A165" s="36">
        <v>44963</v>
      </c>
      <c r="B165">
        <v>150.69</v>
      </c>
      <c r="C165" s="33">
        <f t="shared" si="4"/>
        <v>-1.798631476050825E-2</v>
      </c>
      <c r="E165" s="34">
        <v>4111.08</v>
      </c>
      <c r="F165" s="33">
        <f t="shared" si="5"/>
        <v>-6.1404865973000329E-3</v>
      </c>
      <c r="I165" s="37"/>
      <c r="J165" s="37"/>
    </row>
    <row r="166" spans="1:10" x14ac:dyDescent="0.35">
      <c r="A166" s="36">
        <v>44960</v>
      </c>
      <c r="B166">
        <v>153.44999999999999</v>
      </c>
      <c r="C166" s="33">
        <f t="shared" si="4"/>
        <v>2.4434207891047444E-2</v>
      </c>
      <c r="E166" s="34">
        <v>4136.4799999999996</v>
      </c>
      <c r="F166" s="33">
        <f t="shared" si="5"/>
        <v>-1.0354661511665898E-2</v>
      </c>
      <c r="I166" s="37"/>
      <c r="J166" s="37"/>
    </row>
    <row r="167" spans="1:10" x14ac:dyDescent="0.35">
      <c r="A167" s="36">
        <v>44959</v>
      </c>
      <c r="B167">
        <v>149.79</v>
      </c>
      <c r="C167" s="33">
        <f t="shared" si="4"/>
        <v>3.7039601218498995E-2</v>
      </c>
      <c r="E167" s="34">
        <v>4179.76</v>
      </c>
      <c r="F167" s="33">
        <f t="shared" si="5"/>
        <v>1.4699420519954112E-2</v>
      </c>
      <c r="I167" s="37"/>
      <c r="J167" s="37"/>
    </row>
    <row r="168" spans="1:10" x14ac:dyDescent="0.35">
      <c r="A168" s="36">
        <v>44958</v>
      </c>
      <c r="B168">
        <v>144.44</v>
      </c>
      <c r="C168" s="33">
        <f t="shared" si="4"/>
        <v>7.885004535622046E-3</v>
      </c>
      <c r="E168" s="34">
        <v>4119.21</v>
      </c>
      <c r="F168" s="33">
        <f t="shared" si="5"/>
        <v>1.045233773242411E-2</v>
      </c>
      <c r="I168" s="37"/>
      <c r="J168" s="37"/>
    </row>
    <row r="169" spans="1:10" x14ac:dyDescent="0.35">
      <c r="A169" s="36">
        <v>44957</v>
      </c>
      <c r="B169">
        <v>143.31</v>
      </c>
      <c r="C169" s="33">
        <f t="shared" si="4"/>
        <v>9.0832277144063649E-3</v>
      </c>
      <c r="E169" s="34">
        <v>4076.6</v>
      </c>
      <c r="F169" s="33">
        <f t="shared" si="5"/>
        <v>1.4642450911824203E-2</v>
      </c>
      <c r="I169" s="37"/>
      <c r="J169" s="37"/>
    </row>
    <row r="170" spans="1:10" x14ac:dyDescent="0.35">
      <c r="A170" s="36">
        <v>44956</v>
      </c>
      <c r="B170">
        <v>142.02000000000001</v>
      </c>
      <c r="C170" s="33">
        <f t="shared" si="4"/>
        <v>-2.0078658662802708E-2</v>
      </c>
      <c r="E170" s="34">
        <v>4017.77</v>
      </c>
      <c r="F170" s="33">
        <f t="shared" si="5"/>
        <v>-1.2968731575016696E-2</v>
      </c>
      <c r="I170" s="37"/>
      <c r="J170" s="37"/>
    </row>
    <row r="171" spans="1:10" x14ac:dyDescent="0.35">
      <c r="A171" s="36">
        <v>44953</v>
      </c>
      <c r="B171">
        <v>144.93</v>
      </c>
      <c r="C171" s="33">
        <f t="shared" si="4"/>
        <v>1.3638271086865416E-2</v>
      </c>
      <c r="E171" s="34">
        <v>4070.56</v>
      </c>
      <c r="F171" s="33">
        <f t="shared" si="5"/>
        <v>2.4948096630160129E-3</v>
      </c>
      <c r="I171" s="37"/>
      <c r="J171" s="37"/>
    </row>
    <row r="172" spans="1:10" x14ac:dyDescent="0.35">
      <c r="A172" s="36">
        <v>44952</v>
      </c>
      <c r="B172">
        <v>142.97999999999999</v>
      </c>
      <c r="C172" s="33">
        <f t="shared" si="4"/>
        <v>1.4834267868549958E-2</v>
      </c>
      <c r="E172" s="34">
        <v>4060.43</v>
      </c>
      <c r="F172" s="33">
        <f t="shared" si="5"/>
        <v>1.1007863115068408E-2</v>
      </c>
      <c r="I172" s="37"/>
      <c r="J172" s="37"/>
    </row>
    <row r="173" spans="1:10" x14ac:dyDescent="0.35">
      <c r="A173" s="36">
        <v>44951</v>
      </c>
      <c r="B173">
        <v>140.88999999999999</v>
      </c>
      <c r="C173" s="33">
        <f t="shared" si="4"/>
        <v>-4.7329754167845144E-3</v>
      </c>
      <c r="E173" s="34">
        <v>4016.22</v>
      </c>
      <c r="F173" s="33">
        <f t="shared" si="5"/>
        <v>-1.8172991946626625E-4</v>
      </c>
      <c r="I173" s="37"/>
      <c r="J173" s="37"/>
    </row>
    <row r="174" spans="1:10" x14ac:dyDescent="0.35">
      <c r="A174" s="36">
        <v>44950</v>
      </c>
      <c r="B174">
        <v>141.56</v>
      </c>
      <c r="C174" s="33">
        <f t="shared" si="4"/>
        <v>1.0060649304316778E-2</v>
      </c>
      <c r="E174" s="34">
        <v>4016.95</v>
      </c>
      <c r="F174" s="33">
        <f t="shared" si="5"/>
        <v>-7.1147641306433074E-4</v>
      </c>
      <c r="I174" s="37"/>
      <c r="J174" s="37"/>
    </row>
    <row r="175" spans="1:10" x14ac:dyDescent="0.35">
      <c r="A175" s="36">
        <v>44949</v>
      </c>
      <c r="B175">
        <v>140.15</v>
      </c>
      <c r="C175" s="33">
        <f t="shared" si="4"/>
        <v>2.3515664938289629E-2</v>
      </c>
      <c r="E175" s="34">
        <v>4019.81</v>
      </c>
      <c r="F175" s="33">
        <f t="shared" si="5"/>
        <v>1.188135759613952E-2</v>
      </c>
      <c r="I175" s="37"/>
      <c r="J175" s="37"/>
    </row>
    <row r="176" spans="1:10" x14ac:dyDescent="0.35">
      <c r="A176" s="36">
        <v>44946</v>
      </c>
      <c r="B176">
        <v>136.93</v>
      </c>
      <c r="C176" s="33">
        <f t="shared" si="4"/>
        <v>1.920357275772246E-2</v>
      </c>
      <c r="E176" s="34">
        <v>3972.61</v>
      </c>
      <c r="F176" s="33">
        <f t="shared" si="5"/>
        <v>1.8918399015094251E-2</v>
      </c>
      <c r="I176" s="37"/>
      <c r="J176" s="37"/>
    </row>
    <row r="177" spans="1:10" x14ac:dyDescent="0.35">
      <c r="A177" s="36">
        <v>44945</v>
      </c>
      <c r="B177">
        <v>134.35</v>
      </c>
      <c r="C177" s="33">
        <f t="shared" si="4"/>
        <v>4.4679425124731758E-4</v>
      </c>
      <c r="E177" s="34">
        <v>3898.85</v>
      </c>
      <c r="F177" s="33">
        <f t="shared" si="5"/>
        <v>-7.6383480195273482E-3</v>
      </c>
      <c r="I177" s="37"/>
      <c r="J177" s="37"/>
    </row>
    <row r="178" spans="1:10" x14ac:dyDescent="0.35">
      <c r="A178" s="36">
        <v>44944</v>
      </c>
      <c r="B178">
        <v>134.29</v>
      </c>
      <c r="C178" s="33">
        <f t="shared" si="4"/>
        <v>-5.3329383008665944E-3</v>
      </c>
      <c r="E178" s="34">
        <v>3928.86</v>
      </c>
      <c r="F178" s="33">
        <f t="shared" si="5"/>
        <v>-1.5562632643191925E-2</v>
      </c>
      <c r="I178" s="37"/>
      <c r="J178" s="37"/>
    </row>
    <row r="179" spans="1:10" x14ac:dyDescent="0.35">
      <c r="A179" s="36">
        <v>44943</v>
      </c>
      <c r="B179">
        <v>135.01</v>
      </c>
      <c r="C179" s="33">
        <f t="shared" si="4"/>
        <v>8.7417812313208866E-3</v>
      </c>
      <c r="E179" s="34">
        <v>3990.97</v>
      </c>
      <c r="F179" s="33">
        <f t="shared" si="5"/>
        <v>-2.0304619300891818E-3</v>
      </c>
      <c r="I179" s="37"/>
      <c r="J179" s="37"/>
    </row>
    <row r="180" spans="1:10" x14ac:dyDescent="0.35">
      <c r="A180" s="36">
        <v>44939</v>
      </c>
      <c r="B180">
        <v>133.84</v>
      </c>
      <c r="C180" s="33">
        <f t="shared" si="4"/>
        <v>1.0113207547169836E-2</v>
      </c>
      <c r="E180" s="34">
        <v>3999.09</v>
      </c>
      <c r="F180" s="33">
        <f t="shared" si="5"/>
        <v>3.9968166058692127E-3</v>
      </c>
      <c r="I180" s="37"/>
      <c r="J180" s="37"/>
    </row>
    <row r="181" spans="1:10" x14ac:dyDescent="0.35">
      <c r="A181" s="36">
        <v>44938</v>
      </c>
      <c r="B181">
        <v>132.5</v>
      </c>
      <c r="C181" s="33">
        <f t="shared" si="4"/>
        <v>-6.034092623322711E-4</v>
      </c>
      <c r="E181" s="34">
        <v>3983.17</v>
      </c>
      <c r="F181" s="33">
        <f t="shared" si="5"/>
        <v>3.4159527006431224E-3</v>
      </c>
      <c r="I181" s="37"/>
      <c r="J181" s="37"/>
    </row>
    <row r="182" spans="1:10" x14ac:dyDescent="0.35">
      <c r="A182" s="36">
        <v>44937</v>
      </c>
      <c r="B182">
        <v>132.58000000000001</v>
      </c>
      <c r="C182" s="33">
        <f t="shared" si="4"/>
        <v>2.1102895871842338E-2</v>
      </c>
      <c r="E182" s="34">
        <v>3969.61</v>
      </c>
      <c r="F182" s="33">
        <f t="shared" si="5"/>
        <v>1.2849397206098139E-2</v>
      </c>
      <c r="I182" s="37"/>
      <c r="J182" s="37"/>
    </row>
    <row r="183" spans="1:10" x14ac:dyDescent="0.35">
      <c r="A183" s="36">
        <v>44936</v>
      </c>
      <c r="B183">
        <v>129.84</v>
      </c>
      <c r="C183" s="33">
        <f t="shared" si="4"/>
        <v>4.4870803032648352E-3</v>
      </c>
      <c r="E183" s="34">
        <v>3919.25</v>
      </c>
      <c r="F183" s="33">
        <f t="shared" si="5"/>
        <v>6.9782558985017956E-3</v>
      </c>
      <c r="I183" s="37"/>
      <c r="J183" s="37"/>
    </row>
    <row r="184" spans="1:10" x14ac:dyDescent="0.35">
      <c r="A184" s="36">
        <v>44935</v>
      </c>
      <c r="B184">
        <v>129.26</v>
      </c>
      <c r="C184" s="33">
        <f t="shared" si="4"/>
        <v>4.0391486717413529E-3</v>
      </c>
      <c r="E184" s="34">
        <v>3892.09</v>
      </c>
      <c r="F184" s="33">
        <f t="shared" si="5"/>
        <v>-7.6763506782910281E-4</v>
      </c>
      <c r="I184" s="37"/>
      <c r="J184" s="37"/>
    </row>
    <row r="185" spans="1:10" x14ac:dyDescent="0.35">
      <c r="A185" s="36">
        <v>44932</v>
      </c>
      <c r="B185">
        <v>128.74</v>
      </c>
      <c r="C185" s="33">
        <f t="shared" si="4"/>
        <v>3.6804381090440583E-2</v>
      </c>
      <c r="E185" s="34">
        <v>3895.08</v>
      </c>
      <c r="F185" s="33">
        <f t="shared" si="5"/>
        <v>2.2840786744045591E-2</v>
      </c>
      <c r="I185" s="37"/>
      <c r="J185" s="37"/>
    </row>
    <row r="186" spans="1:10" x14ac:dyDescent="0.35">
      <c r="A186" s="36">
        <v>44931</v>
      </c>
      <c r="B186">
        <v>124.17</v>
      </c>
      <c r="C186" s="33">
        <f t="shared" si="4"/>
        <v>-1.0597609561752975E-2</v>
      </c>
      <c r="E186" s="34">
        <v>3808.1</v>
      </c>
      <c r="F186" s="33">
        <f t="shared" si="5"/>
        <v>-1.1645561735492332E-2</v>
      </c>
      <c r="I186" s="37"/>
      <c r="J186" s="37"/>
    </row>
    <row r="187" spans="1:10" x14ac:dyDescent="0.35">
      <c r="A187" s="36">
        <v>44930</v>
      </c>
      <c r="B187">
        <v>125.5</v>
      </c>
      <c r="C187" s="33">
        <f t="shared" si="4"/>
        <v>1.0304298824665924E-2</v>
      </c>
      <c r="E187" s="34">
        <v>3852.97</v>
      </c>
      <c r="F187" s="33">
        <f t="shared" si="5"/>
        <v>7.5389499338413156E-3</v>
      </c>
      <c r="I187" s="37"/>
      <c r="J187" s="37"/>
    </row>
    <row r="188" spans="1:10" x14ac:dyDescent="0.35">
      <c r="A188" s="36">
        <v>44929</v>
      </c>
      <c r="B188">
        <v>124.22</v>
      </c>
      <c r="C188" s="33">
        <f t="shared" si="4"/>
        <v>-3.7352758834469882E-2</v>
      </c>
      <c r="E188" s="34">
        <v>3824.14</v>
      </c>
      <c r="F188" s="33">
        <f t="shared" si="5"/>
        <v>-4.0005209011590385E-3</v>
      </c>
      <c r="I188" s="37"/>
      <c r="J188" s="37"/>
    </row>
    <row r="189" spans="1:10" x14ac:dyDescent="0.35">
      <c r="A189" s="36">
        <v>44925</v>
      </c>
      <c r="B189">
        <v>129.04</v>
      </c>
      <c r="C189" s="33">
        <f t="shared" si="4"/>
        <v>2.4081410704575646E-3</v>
      </c>
      <c r="E189" s="34">
        <v>3839.5</v>
      </c>
      <c r="F189" s="33">
        <f t="shared" si="5"/>
        <v>-2.5407348906809064E-3</v>
      </c>
      <c r="I189" s="37"/>
      <c r="J189" s="37"/>
    </row>
    <row r="190" spans="1:10" x14ac:dyDescent="0.35">
      <c r="A190" s="36">
        <v>44924</v>
      </c>
      <c r="B190">
        <v>128.72999999999999</v>
      </c>
      <c r="C190" s="33">
        <f t="shared" si="4"/>
        <v>2.8359162805559855E-2</v>
      </c>
      <c r="E190" s="34">
        <v>3849.28</v>
      </c>
      <c r="F190" s="33">
        <f t="shared" si="5"/>
        <v>1.7461316021801641E-2</v>
      </c>
      <c r="I190" s="37"/>
      <c r="J190" s="37"/>
    </row>
    <row r="191" spans="1:10" x14ac:dyDescent="0.35">
      <c r="A191" s="36">
        <v>44923</v>
      </c>
      <c r="B191">
        <v>125.18</v>
      </c>
      <c r="C191" s="33">
        <f t="shared" si="4"/>
        <v>-3.0664395229982808E-2</v>
      </c>
      <c r="E191" s="34">
        <v>3783.22</v>
      </c>
      <c r="F191" s="33">
        <f t="shared" si="5"/>
        <v>-1.2020630671802625E-2</v>
      </c>
      <c r="I191" s="37"/>
      <c r="J191" s="37"/>
    </row>
    <row r="192" spans="1:10" x14ac:dyDescent="0.35">
      <c r="A192" s="36">
        <v>44922</v>
      </c>
      <c r="B192">
        <v>129.13999999999999</v>
      </c>
      <c r="C192" s="33">
        <f t="shared" si="4"/>
        <v>-1.3897373243738711E-2</v>
      </c>
      <c r="E192" s="34">
        <v>3829.25</v>
      </c>
      <c r="F192" s="33">
        <f t="shared" si="5"/>
        <v>-4.0496044028069354E-3</v>
      </c>
      <c r="I192" s="37"/>
      <c r="J192" s="37"/>
    </row>
    <row r="193" spans="1:10" x14ac:dyDescent="0.35">
      <c r="A193" s="36">
        <v>44918</v>
      </c>
      <c r="B193">
        <v>130.96</v>
      </c>
      <c r="C193" s="33">
        <f t="shared" si="4"/>
        <v>-2.8173303890962043E-3</v>
      </c>
      <c r="E193" s="34">
        <v>3844.82</v>
      </c>
      <c r="F193" s="33">
        <f t="shared" si="5"/>
        <v>5.8680563731069542E-3</v>
      </c>
      <c r="I193" s="37"/>
      <c r="J193" s="37"/>
    </row>
    <row r="194" spans="1:10" x14ac:dyDescent="0.35">
      <c r="A194" s="36">
        <v>44917</v>
      </c>
      <c r="B194">
        <v>131.33000000000001</v>
      </c>
      <c r="C194" s="33">
        <f t="shared" ref="C194:C257" si="6">(B194-B195)/B195</f>
        <v>-2.3786516018731798E-2</v>
      </c>
      <c r="E194" s="34">
        <v>3822.39</v>
      </c>
      <c r="F194" s="33">
        <f t="shared" ref="F194:F257" si="7">(E194-E195)/E195</f>
        <v>-1.4451686760656394E-2</v>
      </c>
      <c r="I194" s="37"/>
      <c r="J194" s="37"/>
    </row>
    <row r="195" spans="1:10" x14ac:dyDescent="0.35">
      <c r="A195" s="36">
        <v>44916</v>
      </c>
      <c r="B195">
        <v>134.53</v>
      </c>
      <c r="C195" s="33">
        <f t="shared" si="6"/>
        <v>2.3820395738203923E-2</v>
      </c>
      <c r="E195" s="34">
        <v>3878.44</v>
      </c>
      <c r="F195" s="33">
        <f t="shared" si="7"/>
        <v>1.4868040255179784E-2</v>
      </c>
      <c r="I195" s="37"/>
      <c r="J195" s="37"/>
    </row>
    <row r="196" spans="1:10" x14ac:dyDescent="0.35">
      <c r="A196" s="36">
        <v>44915</v>
      </c>
      <c r="B196">
        <v>131.4</v>
      </c>
      <c r="C196" s="33">
        <f t="shared" si="6"/>
        <v>-5.3244086103288336E-4</v>
      </c>
      <c r="E196" s="34">
        <v>3821.62</v>
      </c>
      <c r="F196" s="33">
        <f t="shared" si="7"/>
        <v>1.0372846193741811E-3</v>
      </c>
      <c r="I196" s="37"/>
      <c r="J196" s="37"/>
    </row>
    <row r="197" spans="1:10" x14ac:dyDescent="0.35">
      <c r="A197" s="36">
        <v>44914</v>
      </c>
      <c r="B197">
        <v>131.47</v>
      </c>
      <c r="C197" s="33">
        <f t="shared" si="6"/>
        <v>-1.586945130623553E-2</v>
      </c>
      <c r="E197" s="34">
        <v>3817.66</v>
      </c>
      <c r="F197" s="33">
        <f t="shared" si="7"/>
        <v>-9.007465553582809E-3</v>
      </c>
      <c r="I197" s="37"/>
      <c r="J197" s="37"/>
    </row>
    <row r="198" spans="1:10" x14ac:dyDescent="0.35">
      <c r="A198" s="36">
        <v>44911</v>
      </c>
      <c r="B198">
        <v>133.59</v>
      </c>
      <c r="C198" s="33">
        <f t="shared" si="6"/>
        <v>-1.4605001106439404E-2</v>
      </c>
      <c r="E198" s="34">
        <v>3852.36</v>
      </c>
      <c r="F198" s="33">
        <f t="shared" si="7"/>
        <v>-1.1137778348199928E-2</v>
      </c>
      <c r="I198" s="37"/>
      <c r="J198" s="37"/>
    </row>
    <row r="199" spans="1:10" x14ac:dyDescent="0.35">
      <c r="A199" s="36">
        <v>44910</v>
      </c>
      <c r="B199">
        <v>135.57</v>
      </c>
      <c r="C199" s="33">
        <f t="shared" si="6"/>
        <v>-4.6825564226956315E-2</v>
      </c>
      <c r="E199" s="34">
        <v>3895.75</v>
      </c>
      <c r="F199" s="33">
        <f t="shared" si="7"/>
        <v>-2.492165834025814E-2</v>
      </c>
      <c r="I199" s="37"/>
      <c r="J199" s="37"/>
    </row>
    <row r="200" spans="1:10" x14ac:dyDescent="0.35">
      <c r="A200" s="36">
        <v>44909</v>
      </c>
      <c r="B200">
        <v>142.22999999999999</v>
      </c>
      <c r="C200" s="33">
        <f t="shared" si="6"/>
        <v>-1.5573089700996679E-2</v>
      </c>
      <c r="E200" s="34">
        <v>3995.32</v>
      </c>
      <c r="F200" s="33">
        <f t="shared" si="7"/>
        <v>-6.052765788066107E-3</v>
      </c>
      <c r="I200" s="37"/>
      <c r="J200" s="37"/>
    </row>
    <row r="201" spans="1:10" x14ac:dyDescent="0.35">
      <c r="A201" s="36">
        <v>44908</v>
      </c>
      <c r="B201">
        <v>144.47999999999999</v>
      </c>
      <c r="C201" s="33">
        <f t="shared" si="6"/>
        <v>6.8292682926828557E-3</v>
      </c>
      <c r="E201" s="34">
        <v>4019.65</v>
      </c>
      <c r="F201" s="33">
        <f t="shared" si="7"/>
        <v>7.2897037007337686E-3</v>
      </c>
      <c r="I201" s="37"/>
      <c r="J201" s="37"/>
    </row>
    <row r="202" spans="1:10" x14ac:dyDescent="0.35">
      <c r="A202" s="36">
        <v>44907</v>
      </c>
      <c r="B202">
        <v>143.5</v>
      </c>
      <c r="C202" s="33">
        <f t="shared" si="6"/>
        <v>1.6360932077342603E-2</v>
      </c>
      <c r="E202" s="34">
        <v>3990.56</v>
      </c>
      <c r="F202" s="33">
        <f t="shared" si="7"/>
        <v>1.4279251114533887E-2</v>
      </c>
      <c r="I202" s="37"/>
      <c r="J202" s="37"/>
    </row>
    <row r="203" spans="1:10" x14ac:dyDescent="0.35">
      <c r="A203" s="36">
        <v>44904</v>
      </c>
      <c r="B203">
        <v>141.19</v>
      </c>
      <c r="C203" s="33">
        <f t="shared" si="6"/>
        <v>-3.4584980237154792E-3</v>
      </c>
      <c r="E203" s="34">
        <v>3934.38</v>
      </c>
      <c r="F203" s="33">
        <f t="shared" si="7"/>
        <v>-7.349546235533683E-3</v>
      </c>
      <c r="I203" s="37"/>
      <c r="J203" s="37"/>
    </row>
    <row r="204" spans="1:10" x14ac:dyDescent="0.35">
      <c r="A204" s="36">
        <v>44903</v>
      </c>
      <c r="B204">
        <v>141.68</v>
      </c>
      <c r="C204" s="33">
        <f t="shared" si="6"/>
        <v>1.2144592084583634E-2</v>
      </c>
      <c r="E204" s="34">
        <v>3963.51</v>
      </c>
      <c r="F204" s="33">
        <f t="shared" si="7"/>
        <v>7.5217594663847115E-3</v>
      </c>
      <c r="I204" s="37"/>
      <c r="J204" s="37"/>
    </row>
    <row r="205" spans="1:10" x14ac:dyDescent="0.35">
      <c r="A205" s="36">
        <v>44902</v>
      </c>
      <c r="B205">
        <v>139.97999999999999</v>
      </c>
      <c r="C205" s="33">
        <f t="shared" si="6"/>
        <v>-1.3739167195096293E-2</v>
      </c>
      <c r="E205" s="34">
        <v>3933.92</v>
      </c>
      <c r="F205" s="33">
        <f t="shared" si="7"/>
        <v>-1.8623485890299409E-3</v>
      </c>
      <c r="I205" s="37"/>
      <c r="J205" s="37"/>
    </row>
    <row r="206" spans="1:10" x14ac:dyDescent="0.35">
      <c r="A206" s="36">
        <v>44901</v>
      </c>
      <c r="B206">
        <v>141.93</v>
      </c>
      <c r="C206" s="33">
        <f t="shared" si="6"/>
        <v>-2.5406852983588468E-2</v>
      </c>
      <c r="E206" s="34">
        <v>3941.26</v>
      </c>
      <c r="F206" s="33">
        <f t="shared" si="7"/>
        <v>-1.4399175760970663E-2</v>
      </c>
      <c r="I206" s="37"/>
      <c r="J206" s="37"/>
    </row>
    <row r="207" spans="1:10" x14ac:dyDescent="0.35">
      <c r="A207" s="36">
        <v>44900</v>
      </c>
      <c r="B207">
        <v>145.63</v>
      </c>
      <c r="C207" s="33">
        <f t="shared" si="6"/>
        <v>-7.9700272479565105E-3</v>
      </c>
      <c r="E207" s="34">
        <v>3998.84</v>
      </c>
      <c r="F207" s="33">
        <f t="shared" si="7"/>
        <v>-1.7894245646781364E-2</v>
      </c>
      <c r="I207" s="37"/>
      <c r="J207" s="37"/>
    </row>
    <row r="208" spans="1:10" x14ac:dyDescent="0.35">
      <c r="A208" s="36">
        <v>44897</v>
      </c>
      <c r="B208">
        <v>146.80000000000001</v>
      </c>
      <c r="C208" s="33">
        <f t="shared" si="6"/>
        <v>-3.3944331296673451E-3</v>
      </c>
      <c r="E208" s="34">
        <v>4071.7</v>
      </c>
      <c r="F208" s="33">
        <f t="shared" si="7"/>
        <v>-1.1946317615054679E-3</v>
      </c>
      <c r="I208" s="37"/>
      <c r="J208" s="37"/>
    </row>
    <row r="209" spans="1:10" x14ac:dyDescent="0.35">
      <c r="A209" s="36">
        <v>44896</v>
      </c>
      <c r="B209">
        <v>147.30000000000001</v>
      </c>
      <c r="C209" s="33">
        <f t="shared" si="6"/>
        <v>1.9045027887362341E-3</v>
      </c>
      <c r="E209" s="34">
        <v>4076.57</v>
      </c>
      <c r="F209" s="33">
        <f t="shared" si="7"/>
        <v>-8.6762366700896877E-4</v>
      </c>
      <c r="I209" s="37"/>
      <c r="J209" s="37"/>
    </row>
    <row r="210" spans="1:10" x14ac:dyDescent="0.35">
      <c r="A210" s="36">
        <v>44895</v>
      </c>
      <c r="B210">
        <v>147.02000000000001</v>
      </c>
      <c r="C210" s="33">
        <f t="shared" si="6"/>
        <v>4.8570002139647683E-2</v>
      </c>
      <c r="E210" s="34">
        <v>4080.11</v>
      </c>
      <c r="F210" s="33">
        <f t="shared" si="7"/>
        <v>3.094781472750106E-2</v>
      </c>
      <c r="I210" s="37"/>
      <c r="J210" s="37"/>
    </row>
    <row r="211" spans="1:10" x14ac:dyDescent="0.35">
      <c r="A211" s="36">
        <v>44894</v>
      </c>
      <c r="B211">
        <v>140.21</v>
      </c>
      <c r="C211" s="33">
        <f t="shared" si="6"/>
        <v>-2.1153309131527513E-2</v>
      </c>
      <c r="E211" s="34">
        <v>3957.63</v>
      </c>
      <c r="F211" s="33">
        <f t="shared" si="7"/>
        <v>-1.5918505325509329E-3</v>
      </c>
      <c r="I211" s="37"/>
      <c r="J211" s="37"/>
    </row>
    <row r="212" spans="1:10" x14ac:dyDescent="0.35">
      <c r="A212" s="36">
        <v>44893</v>
      </c>
      <c r="B212">
        <v>143.24</v>
      </c>
      <c r="C212" s="33">
        <f t="shared" si="6"/>
        <v>-2.6240652617267067E-2</v>
      </c>
      <c r="E212" s="34">
        <v>3963.94</v>
      </c>
      <c r="F212" s="33">
        <f t="shared" si="7"/>
        <v>-1.5444149702443007E-2</v>
      </c>
      <c r="I212" s="37"/>
      <c r="J212" s="37"/>
    </row>
    <row r="213" spans="1:10" x14ac:dyDescent="0.35">
      <c r="A213" s="36">
        <v>44890</v>
      </c>
      <c r="B213">
        <v>147.1</v>
      </c>
      <c r="C213" s="33">
        <f t="shared" si="6"/>
        <v>-1.9594774726739522E-2</v>
      </c>
      <c r="E213" s="34">
        <v>4026.12</v>
      </c>
      <c r="F213" s="33">
        <f t="shared" si="7"/>
        <v>-2.8307087200735176E-4</v>
      </c>
      <c r="I213" s="37"/>
      <c r="J213" s="37"/>
    </row>
    <row r="214" spans="1:10" x14ac:dyDescent="0.35">
      <c r="A214" s="36">
        <v>44888</v>
      </c>
      <c r="B214">
        <v>150.04</v>
      </c>
      <c r="C214" s="33">
        <f t="shared" si="6"/>
        <v>5.9671471672811689E-3</v>
      </c>
      <c r="E214" s="34">
        <v>4027.26</v>
      </c>
      <c r="F214" s="33">
        <f t="shared" si="7"/>
        <v>5.9147063378277168E-3</v>
      </c>
      <c r="I214" s="37"/>
      <c r="J214" s="37"/>
    </row>
    <row r="215" spans="1:10" x14ac:dyDescent="0.35">
      <c r="A215" s="36">
        <v>44887</v>
      </c>
      <c r="B215">
        <v>149.15</v>
      </c>
      <c r="C215" s="33">
        <f t="shared" si="6"/>
        <v>1.4625850340136094E-2</v>
      </c>
      <c r="E215" s="34">
        <v>4003.58</v>
      </c>
      <c r="F215" s="33">
        <f t="shared" si="7"/>
        <v>1.3579953113211814E-2</v>
      </c>
      <c r="I215" s="37"/>
      <c r="J215" s="37"/>
    </row>
    <row r="216" spans="1:10" x14ac:dyDescent="0.35">
      <c r="A216" s="36">
        <v>44886</v>
      </c>
      <c r="B216">
        <v>147</v>
      </c>
      <c r="C216" s="33">
        <f t="shared" si="6"/>
        <v>-2.1695727405829836E-2</v>
      </c>
      <c r="E216" s="34">
        <v>3949.94</v>
      </c>
      <c r="F216" s="33">
        <f t="shared" si="7"/>
        <v>-3.8836518432215374E-3</v>
      </c>
      <c r="I216" s="37"/>
      <c r="J216" s="37"/>
    </row>
    <row r="217" spans="1:10" x14ac:dyDescent="0.35">
      <c r="A217" s="36">
        <v>44883</v>
      </c>
      <c r="B217">
        <v>150.26</v>
      </c>
      <c r="C217" s="33">
        <f t="shared" si="6"/>
        <v>3.8078695971674337E-3</v>
      </c>
      <c r="E217" s="34">
        <v>3965.34</v>
      </c>
      <c r="F217" s="33">
        <f t="shared" si="7"/>
        <v>4.7585745560691341E-3</v>
      </c>
      <c r="I217" s="37"/>
      <c r="J217" s="37"/>
    </row>
    <row r="218" spans="1:10" x14ac:dyDescent="0.35">
      <c r="A218" s="36">
        <v>44882</v>
      </c>
      <c r="B218">
        <v>149.69</v>
      </c>
      <c r="C218" s="33">
        <f t="shared" si="6"/>
        <v>1.2993165053799738E-2</v>
      </c>
      <c r="E218" s="34">
        <v>3946.56</v>
      </c>
      <c r="F218" s="33">
        <f t="shared" si="7"/>
        <v>-3.0893277996559602E-3</v>
      </c>
      <c r="I218" s="37"/>
      <c r="J218" s="37"/>
    </row>
    <row r="219" spans="1:10" x14ac:dyDescent="0.35">
      <c r="A219" s="36">
        <v>44881</v>
      </c>
      <c r="B219">
        <v>147.77000000000001</v>
      </c>
      <c r="C219" s="33">
        <f t="shared" si="6"/>
        <v>-8.3881358206952077E-3</v>
      </c>
      <c r="E219" s="34">
        <v>3958.79</v>
      </c>
      <c r="F219" s="33">
        <f t="shared" si="7"/>
        <v>-8.2520611363995199E-3</v>
      </c>
      <c r="I219" s="37"/>
      <c r="J219" s="37"/>
    </row>
    <row r="220" spans="1:10" x14ac:dyDescent="0.35">
      <c r="A220" s="36">
        <v>44880</v>
      </c>
      <c r="B220">
        <v>149.02000000000001</v>
      </c>
      <c r="C220" s="33">
        <f t="shared" si="6"/>
        <v>1.1882936103755007E-2</v>
      </c>
      <c r="E220" s="34">
        <v>3991.73</v>
      </c>
      <c r="F220" s="33">
        <f t="shared" si="7"/>
        <v>8.7131214858803506E-3</v>
      </c>
      <c r="I220" s="37"/>
      <c r="J220" s="37"/>
    </row>
    <row r="221" spans="1:10" x14ac:dyDescent="0.35">
      <c r="A221" s="36">
        <v>44879</v>
      </c>
      <c r="B221">
        <v>147.27000000000001</v>
      </c>
      <c r="C221" s="33">
        <f t="shared" si="6"/>
        <v>-9.4834543987086118E-3</v>
      </c>
      <c r="E221" s="34">
        <v>3957.25</v>
      </c>
      <c r="F221" s="33">
        <f t="shared" si="7"/>
        <v>-8.9357940159231035E-3</v>
      </c>
      <c r="I221" s="37"/>
      <c r="J221" s="37"/>
    </row>
    <row r="222" spans="1:10" x14ac:dyDescent="0.35">
      <c r="A222" s="36">
        <v>44876</v>
      </c>
      <c r="B222">
        <v>148.68</v>
      </c>
      <c r="C222" s="33">
        <f t="shared" si="6"/>
        <v>1.9263727976965805E-2</v>
      </c>
      <c r="E222" s="34">
        <v>3992.93</v>
      </c>
      <c r="F222" s="33">
        <f t="shared" si="7"/>
        <v>9.2407939601199963E-3</v>
      </c>
      <c r="I222" s="37"/>
      <c r="J222" s="37"/>
    </row>
    <row r="223" spans="1:10" x14ac:dyDescent="0.35">
      <c r="A223" s="36">
        <v>44875</v>
      </c>
      <c r="B223">
        <v>145.87</v>
      </c>
      <c r="C223" s="33">
        <f t="shared" si="6"/>
        <v>8.8988428518103901E-2</v>
      </c>
      <c r="E223" s="34">
        <v>3956.37</v>
      </c>
      <c r="F223" s="33">
        <f t="shared" si="7"/>
        <v>5.5434472345454323E-2</v>
      </c>
      <c r="I223" s="37"/>
      <c r="J223" s="37"/>
    </row>
    <row r="224" spans="1:10" x14ac:dyDescent="0.35">
      <c r="A224" s="36">
        <v>44874</v>
      </c>
      <c r="B224">
        <v>133.94999999999999</v>
      </c>
      <c r="C224" s="33">
        <f t="shared" si="6"/>
        <v>-3.3201010465536071E-2</v>
      </c>
      <c r="E224" s="34">
        <v>3748.57</v>
      </c>
      <c r="F224" s="33">
        <f t="shared" si="7"/>
        <v>-2.0777877333723421E-2</v>
      </c>
      <c r="I224" s="37"/>
      <c r="J224" s="37"/>
    </row>
    <row r="225" spans="1:10" x14ac:dyDescent="0.35">
      <c r="A225" s="36">
        <v>44873</v>
      </c>
      <c r="B225">
        <v>138.55000000000001</v>
      </c>
      <c r="C225" s="33">
        <f t="shared" si="6"/>
        <v>4.203812422990596E-3</v>
      </c>
      <c r="E225" s="34">
        <v>3828.11</v>
      </c>
      <c r="F225" s="33">
        <f t="shared" si="7"/>
        <v>5.5978774823999015E-3</v>
      </c>
      <c r="I225" s="37"/>
      <c r="J225" s="37"/>
    </row>
    <row r="226" spans="1:10" x14ac:dyDescent="0.35">
      <c r="A226" s="36">
        <v>44872</v>
      </c>
      <c r="B226">
        <v>137.97</v>
      </c>
      <c r="C226" s="33">
        <f t="shared" si="6"/>
        <v>3.8562281722933729E-3</v>
      </c>
      <c r="E226" s="34">
        <v>3806.8</v>
      </c>
      <c r="F226" s="33">
        <f t="shared" si="7"/>
        <v>9.613982045059739E-3</v>
      </c>
      <c r="I226" s="37"/>
      <c r="J226" s="37"/>
    </row>
    <row r="227" spans="1:10" x14ac:dyDescent="0.35">
      <c r="A227" s="36">
        <v>44869</v>
      </c>
      <c r="B227">
        <v>137.44</v>
      </c>
      <c r="C227" s="33">
        <f t="shared" si="6"/>
        <v>-1.8881626724763321E-3</v>
      </c>
      <c r="E227" s="34">
        <v>3770.55</v>
      </c>
      <c r="F227" s="33">
        <f t="shared" si="7"/>
        <v>1.3618682272862991E-2</v>
      </c>
      <c r="I227" s="37"/>
      <c r="J227" s="37"/>
    </row>
    <row r="228" spans="1:10" x14ac:dyDescent="0.35">
      <c r="A228" s="36">
        <v>44868</v>
      </c>
      <c r="B228">
        <v>137.69999999999999</v>
      </c>
      <c r="C228" s="33">
        <f t="shared" si="6"/>
        <v>-4.242002781641184E-2</v>
      </c>
      <c r="E228" s="34">
        <v>3719.89</v>
      </c>
      <c r="F228" s="33">
        <f t="shared" si="7"/>
        <v>-1.0585979163175736E-2</v>
      </c>
      <c r="I228" s="37"/>
      <c r="J228" s="37"/>
    </row>
    <row r="229" spans="1:10" x14ac:dyDescent="0.35">
      <c r="A229" s="36">
        <v>44867</v>
      </c>
      <c r="B229">
        <v>143.80000000000001</v>
      </c>
      <c r="C229" s="33">
        <f t="shared" si="6"/>
        <v>-3.7289951128071187E-2</v>
      </c>
      <c r="E229" s="34">
        <v>3759.69</v>
      </c>
      <c r="F229" s="33">
        <f t="shared" si="7"/>
        <v>-2.500194497030675E-2</v>
      </c>
      <c r="I229" s="37"/>
      <c r="J229" s="37"/>
    </row>
    <row r="230" spans="1:10" x14ac:dyDescent="0.35">
      <c r="A230" s="36">
        <v>44866</v>
      </c>
      <c r="B230">
        <v>149.37</v>
      </c>
      <c r="C230" s="33">
        <f t="shared" si="6"/>
        <v>-1.756116811365422E-2</v>
      </c>
      <c r="E230" s="34">
        <v>3856.1</v>
      </c>
      <c r="F230" s="33">
        <f t="shared" si="7"/>
        <v>-4.1012608536201397E-3</v>
      </c>
      <c r="I230" s="37"/>
      <c r="J230" s="37"/>
    </row>
    <row r="231" spans="1:10" x14ac:dyDescent="0.35">
      <c r="A231" s="36">
        <v>44865</v>
      </c>
      <c r="B231">
        <v>152.04</v>
      </c>
      <c r="C231" s="33">
        <f t="shared" si="6"/>
        <v>-1.5412511332728893E-2</v>
      </c>
      <c r="E231" s="34">
        <v>3871.98</v>
      </c>
      <c r="F231" s="33">
        <f t="shared" si="7"/>
        <v>-7.4543841930141876E-3</v>
      </c>
      <c r="I231" s="37"/>
      <c r="J231" s="37"/>
    </row>
    <row r="232" spans="1:10" x14ac:dyDescent="0.35">
      <c r="A232" s="36">
        <v>44862</v>
      </c>
      <c r="B232">
        <v>154.41999999999999</v>
      </c>
      <c r="C232" s="33">
        <f t="shared" si="6"/>
        <v>7.5572891272549944E-2</v>
      </c>
      <c r="E232" s="34">
        <v>3901.06</v>
      </c>
      <c r="F232" s="33">
        <f t="shared" si="7"/>
        <v>2.4626375646783747E-2</v>
      </c>
      <c r="I232" s="37"/>
      <c r="J232" s="37"/>
    </row>
    <row r="233" spans="1:10" x14ac:dyDescent="0.35">
      <c r="A233" s="36">
        <v>44861</v>
      </c>
      <c r="B233">
        <v>143.57</v>
      </c>
      <c r="C233" s="33">
        <f t="shared" si="6"/>
        <v>-3.0456509994597643E-2</v>
      </c>
      <c r="E233" s="34">
        <v>3807.3</v>
      </c>
      <c r="F233" s="33">
        <f t="shared" si="7"/>
        <v>-6.0825980264187663E-3</v>
      </c>
      <c r="I233" s="37"/>
      <c r="J233" s="37"/>
    </row>
    <row r="234" spans="1:10" x14ac:dyDescent="0.35">
      <c r="A234" s="36">
        <v>44860</v>
      </c>
      <c r="B234">
        <v>148.08000000000001</v>
      </c>
      <c r="C234" s="33">
        <f t="shared" si="6"/>
        <v>-1.9662363455809326E-2</v>
      </c>
      <c r="E234" s="34">
        <v>3830.6</v>
      </c>
      <c r="F234" s="33">
        <f t="shared" si="7"/>
        <v>-7.3877137474703276E-3</v>
      </c>
      <c r="I234" s="37"/>
      <c r="J234" s="37"/>
    </row>
    <row r="235" spans="1:10" x14ac:dyDescent="0.35">
      <c r="A235" s="36">
        <v>44859</v>
      </c>
      <c r="B235">
        <v>151.05000000000001</v>
      </c>
      <c r="C235" s="33">
        <f t="shared" si="6"/>
        <v>1.9368335807801354E-2</v>
      </c>
      <c r="E235" s="34">
        <v>3859.11</v>
      </c>
      <c r="F235" s="33">
        <f t="shared" si="7"/>
        <v>1.6266649812763666E-2</v>
      </c>
      <c r="I235" s="37"/>
      <c r="J235" s="37"/>
    </row>
    <row r="236" spans="1:10" x14ac:dyDescent="0.35">
      <c r="A236" s="36">
        <v>44858</v>
      </c>
      <c r="B236">
        <v>148.18</v>
      </c>
      <c r="C236" s="33">
        <f t="shared" si="6"/>
        <v>1.4792494178879581E-2</v>
      </c>
      <c r="E236" s="34">
        <v>3797.34</v>
      </c>
      <c r="F236" s="33">
        <f t="shared" si="7"/>
        <v>1.188195323429489E-2</v>
      </c>
      <c r="I236" s="37"/>
      <c r="J236" s="37"/>
    </row>
    <row r="237" spans="1:10" x14ac:dyDescent="0.35">
      <c r="A237" s="36">
        <v>44855</v>
      </c>
      <c r="B237">
        <v>146.02000000000001</v>
      </c>
      <c r="C237" s="33">
        <f t="shared" si="6"/>
        <v>2.7008018005345361E-2</v>
      </c>
      <c r="E237" s="34">
        <v>3752.75</v>
      </c>
      <c r="F237" s="33">
        <f t="shared" si="7"/>
        <v>2.3724828003862695E-2</v>
      </c>
      <c r="I237" s="37"/>
      <c r="J237" s="37"/>
    </row>
    <row r="238" spans="1:10" x14ac:dyDescent="0.35">
      <c r="A238" s="36">
        <v>44854</v>
      </c>
      <c r="B238">
        <v>142.18</v>
      </c>
      <c r="C238" s="33">
        <f t="shared" si="6"/>
        <v>-3.2249018508130928E-3</v>
      </c>
      <c r="E238" s="34">
        <v>3665.78</v>
      </c>
      <c r="F238" s="33">
        <f t="shared" si="7"/>
        <v>-7.9509412312321129E-3</v>
      </c>
      <c r="I238" s="37"/>
      <c r="J238" s="37"/>
    </row>
    <row r="239" spans="1:10" x14ac:dyDescent="0.35">
      <c r="A239" s="36">
        <v>44853</v>
      </c>
      <c r="B239">
        <v>142.63999999999999</v>
      </c>
      <c r="C239" s="33">
        <f t="shared" si="6"/>
        <v>7.7176734722504193E-4</v>
      </c>
      <c r="E239" s="34">
        <v>3695.16</v>
      </c>
      <c r="F239" s="33">
        <f t="shared" si="7"/>
        <v>-6.6720788821445715E-3</v>
      </c>
      <c r="I239" s="37"/>
      <c r="J239" s="37"/>
    </row>
    <row r="240" spans="1:10" x14ac:dyDescent="0.35">
      <c r="A240" s="36">
        <v>44852</v>
      </c>
      <c r="B240">
        <v>142.53</v>
      </c>
      <c r="C240" s="33">
        <f t="shared" si="6"/>
        <v>9.4192634560907405E-3</v>
      </c>
      <c r="E240" s="34">
        <v>3719.98</v>
      </c>
      <c r="F240" s="33">
        <f t="shared" si="7"/>
        <v>1.1427561549232643E-2</v>
      </c>
      <c r="I240" s="37"/>
      <c r="J240" s="37"/>
    </row>
    <row r="241" spans="1:10" x14ac:dyDescent="0.35">
      <c r="A241" s="36">
        <v>44851</v>
      </c>
      <c r="B241">
        <v>141.19999999999999</v>
      </c>
      <c r="C241" s="33">
        <f t="shared" si="6"/>
        <v>2.9079513155017712E-2</v>
      </c>
      <c r="E241" s="34">
        <v>3677.95</v>
      </c>
      <c r="F241" s="33">
        <f t="shared" si="7"/>
        <v>2.6480085513260875E-2</v>
      </c>
      <c r="I241" s="37"/>
      <c r="J241" s="37"/>
    </row>
    <row r="242" spans="1:10" x14ac:dyDescent="0.35">
      <c r="A242" s="36">
        <v>44848</v>
      </c>
      <c r="B242">
        <v>137.21</v>
      </c>
      <c r="C242" s="33">
        <f t="shared" si="6"/>
        <v>-3.223303709973193E-2</v>
      </c>
      <c r="E242" s="34">
        <v>3583.07</v>
      </c>
      <c r="F242" s="33">
        <f t="shared" si="7"/>
        <v>-2.3662705624933496E-2</v>
      </c>
      <c r="I242" s="37"/>
      <c r="J242" s="37"/>
    </row>
    <row r="243" spans="1:10" x14ac:dyDescent="0.35">
      <c r="A243" s="36">
        <v>44847</v>
      </c>
      <c r="B243">
        <v>141.78</v>
      </c>
      <c r="C243" s="33">
        <f t="shared" si="6"/>
        <v>3.3607931763505239E-2</v>
      </c>
      <c r="E243" s="34">
        <v>3669.91</v>
      </c>
      <c r="F243" s="33">
        <f t="shared" si="7"/>
        <v>2.59656754346482E-2</v>
      </c>
      <c r="I243" s="37"/>
      <c r="J243" s="37"/>
    </row>
    <row r="244" spans="1:10" x14ac:dyDescent="0.35">
      <c r="A244" s="36">
        <v>44846</v>
      </c>
      <c r="B244">
        <v>137.16999999999999</v>
      </c>
      <c r="C244" s="33">
        <f t="shared" si="6"/>
        <v>-4.571843251088707E-3</v>
      </c>
      <c r="E244" s="34">
        <v>3577.03</v>
      </c>
      <c r="F244" s="33">
        <f t="shared" si="7"/>
        <v>-3.2907569019515904E-3</v>
      </c>
      <c r="I244" s="37"/>
      <c r="J244" s="37"/>
    </row>
    <row r="245" spans="1:10" x14ac:dyDescent="0.35">
      <c r="A245" s="36">
        <v>44845</v>
      </c>
      <c r="B245">
        <v>137.80000000000001</v>
      </c>
      <c r="C245" s="33">
        <f t="shared" si="6"/>
        <v>-1.0270774976657175E-2</v>
      </c>
      <c r="E245" s="34">
        <v>3588.84</v>
      </c>
      <c r="F245" s="33">
        <f t="shared" si="7"/>
        <v>-6.5192296512834244E-3</v>
      </c>
      <c r="I245" s="37"/>
      <c r="J245" s="37"/>
    </row>
    <row r="246" spans="1:10" x14ac:dyDescent="0.35">
      <c r="A246" s="36">
        <v>44844</v>
      </c>
      <c r="B246">
        <v>139.22999999999999</v>
      </c>
      <c r="C246" s="33">
        <f t="shared" si="6"/>
        <v>2.3758099352050688E-3</v>
      </c>
      <c r="E246" s="34">
        <v>3612.39</v>
      </c>
      <c r="F246" s="33">
        <f t="shared" si="7"/>
        <v>-7.4924580867443613E-3</v>
      </c>
      <c r="I246" s="37"/>
      <c r="J246" s="37"/>
    </row>
    <row r="247" spans="1:10" x14ac:dyDescent="0.35">
      <c r="A247" s="36">
        <v>44841</v>
      </c>
      <c r="B247">
        <v>138.9</v>
      </c>
      <c r="C247" s="33">
        <f t="shared" si="6"/>
        <v>-3.6754507628293923E-2</v>
      </c>
      <c r="E247" s="34">
        <v>3639.66</v>
      </c>
      <c r="F247" s="33">
        <f t="shared" si="7"/>
        <v>-2.8003589245083515E-2</v>
      </c>
      <c r="I247" s="37"/>
      <c r="J247" s="37"/>
    </row>
    <row r="248" spans="1:10" x14ac:dyDescent="0.35">
      <c r="A248" s="35">
        <v>44840</v>
      </c>
      <c r="B248">
        <v>144.19999999999999</v>
      </c>
      <c r="C248" s="33">
        <f t="shared" si="6"/>
        <v>-6.613392119041113E-3</v>
      </c>
      <c r="E248" s="34">
        <v>3744.52</v>
      </c>
      <c r="F248" s="33">
        <f t="shared" si="7"/>
        <v>-1.024507834471681E-2</v>
      </c>
      <c r="I248" s="37"/>
      <c r="J248" s="37"/>
    </row>
    <row r="249" spans="1:10" x14ac:dyDescent="0.35">
      <c r="A249" s="35">
        <v>44839</v>
      </c>
      <c r="B249">
        <v>145.16</v>
      </c>
      <c r="C249" s="33">
        <f t="shared" si="6"/>
        <v>2.070965069722373E-3</v>
      </c>
      <c r="E249" s="34">
        <v>3783.28</v>
      </c>
      <c r="F249" s="33">
        <f t="shared" si="7"/>
        <v>-2.0179744811958111E-3</v>
      </c>
      <c r="I249" s="37"/>
      <c r="J249" s="37"/>
    </row>
    <row r="250" spans="1:10" x14ac:dyDescent="0.35">
      <c r="A250" s="35">
        <v>44838</v>
      </c>
      <c r="B250">
        <v>144.86000000000001</v>
      </c>
      <c r="C250" s="33">
        <f t="shared" si="6"/>
        <v>2.5630133106768652E-2</v>
      </c>
      <c r="E250" s="34">
        <v>3790.93</v>
      </c>
      <c r="F250" s="33">
        <f t="shared" si="7"/>
        <v>3.0583700111188741E-2</v>
      </c>
      <c r="I250" s="37"/>
      <c r="J250" s="37"/>
    </row>
    <row r="251" spans="1:10" x14ac:dyDescent="0.35">
      <c r="A251" s="35">
        <v>44837</v>
      </c>
      <c r="B251">
        <v>141.24</v>
      </c>
      <c r="C251" s="33">
        <f t="shared" si="6"/>
        <v>3.0723199299423541E-2</v>
      </c>
      <c r="E251" s="34">
        <v>3678.43</v>
      </c>
      <c r="F251" s="33">
        <f t="shared" si="7"/>
        <v>2.5883947546031075E-2</v>
      </c>
      <c r="I251" s="37"/>
      <c r="J251" s="37"/>
    </row>
    <row r="252" spans="1:10" x14ac:dyDescent="0.35">
      <c r="A252" s="35">
        <v>44834</v>
      </c>
      <c r="B252">
        <v>137.03</v>
      </c>
      <c r="C252" s="33">
        <f t="shared" si="6"/>
        <v>-3.0013449423090598E-2</v>
      </c>
      <c r="E252" s="34">
        <v>3585.62</v>
      </c>
      <c r="F252" s="33">
        <f t="shared" si="7"/>
        <v>-1.5066735888497889E-2</v>
      </c>
      <c r="I252" s="37"/>
      <c r="J252" s="37"/>
    </row>
    <row r="253" spans="1:10" x14ac:dyDescent="0.35">
      <c r="A253" s="35">
        <v>44833</v>
      </c>
      <c r="B253">
        <v>141.27000000000001</v>
      </c>
      <c r="C253" s="33">
        <f t="shared" si="6"/>
        <v>-4.9135087837382942E-2</v>
      </c>
      <c r="E253" s="34">
        <v>3640.47</v>
      </c>
      <c r="F253" s="33">
        <f t="shared" si="7"/>
        <v>-2.1126419721218422E-2</v>
      </c>
      <c r="I253" s="37"/>
      <c r="J253" s="37"/>
    </row>
    <row r="254" spans="1:10" x14ac:dyDescent="0.35">
      <c r="A254" s="35">
        <v>44832</v>
      </c>
      <c r="B254">
        <v>148.57</v>
      </c>
      <c r="C254" s="33">
        <f t="shared" si="6"/>
        <v>-1.2627101747856754E-2</v>
      </c>
      <c r="E254" s="34">
        <v>3719.04</v>
      </c>
      <c r="F254" s="33">
        <f t="shared" si="7"/>
        <v>1.9672140136923578E-2</v>
      </c>
      <c r="I254" s="37"/>
      <c r="J254" s="37"/>
    </row>
    <row r="255" spans="1:10" x14ac:dyDescent="0.35">
      <c r="A255" s="35">
        <v>44831</v>
      </c>
      <c r="B255">
        <v>150.47</v>
      </c>
      <c r="C255" s="33">
        <f t="shared" si="6"/>
        <v>6.5556224496621162E-3</v>
      </c>
      <c r="E255" s="34">
        <v>3647.29</v>
      </c>
      <c r="F255" s="33">
        <f t="shared" si="7"/>
        <v>-2.1203598319033444E-3</v>
      </c>
      <c r="I255" s="37"/>
      <c r="J255" s="37"/>
    </row>
    <row r="256" spans="1:10" x14ac:dyDescent="0.35">
      <c r="A256" s="35">
        <v>44830</v>
      </c>
      <c r="B256">
        <v>149.49</v>
      </c>
      <c r="C256" s="33">
        <f t="shared" si="6"/>
        <v>2.2123893805310576E-3</v>
      </c>
      <c r="E256" s="34">
        <v>3655.04</v>
      </c>
      <c r="F256" s="33">
        <f t="shared" si="7"/>
        <v>-1.0340542018774908E-2</v>
      </c>
      <c r="I256" s="37"/>
      <c r="J256" s="37"/>
    </row>
    <row r="257" spans="1:10" x14ac:dyDescent="0.35">
      <c r="A257" s="35">
        <v>44827</v>
      </c>
      <c r="B257">
        <v>149.16</v>
      </c>
      <c r="C257" s="33">
        <f t="shared" si="6"/>
        <v>-1.5120501815780734E-2</v>
      </c>
      <c r="E257" s="34">
        <v>3693.23</v>
      </c>
      <c r="F257" s="33">
        <f t="shared" si="7"/>
        <v>-1.723261637204989E-2</v>
      </c>
      <c r="I257" s="37"/>
      <c r="J257" s="37"/>
    </row>
    <row r="258" spans="1:10" x14ac:dyDescent="0.35">
      <c r="A258" s="35">
        <v>44826</v>
      </c>
      <c r="B258">
        <v>151.44999999999999</v>
      </c>
      <c r="C258" s="33">
        <f t="shared" ref="C258:C321" si="8">(B258-B259)/B259</f>
        <v>-6.363994226479458E-3</v>
      </c>
      <c r="E258" s="34">
        <v>3757.99</v>
      </c>
      <c r="F258" s="33">
        <f t="shared" ref="F258:F321" si="9">(E258-E259)/E259</f>
        <v>-8.4275962880581059E-3</v>
      </c>
      <c r="I258" s="37"/>
      <c r="J258" s="37"/>
    </row>
    <row r="259" spans="1:10" x14ac:dyDescent="0.35">
      <c r="A259" s="35">
        <v>44825</v>
      </c>
      <c r="B259">
        <v>152.41999999999999</v>
      </c>
      <c r="C259" s="33">
        <f t="shared" si="8"/>
        <v>-2.0248119817445561E-2</v>
      </c>
      <c r="E259" s="34">
        <v>3789.93</v>
      </c>
      <c r="F259" s="33">
        <f t="shared" si="9"/>
        <v>-1.7116493297336829E-2</v>
      </c>
      <c r="I259" s="37"/>
      <c r="J259" s="37"/>
    </row>
    <row r="260" spans="1:10" x14ac:dyDescent="0.35">
      <c r="A260" s="35">
        <v>44824</v>
      </c>
      <c r="B260">
        <v>155.57</v>
      </c>
      <c r="C260" s="33">
        <f t="shared" si="8"/>
        <v>1.5668864660181536E-2</v>
      </c>
      <c r="E260" s="34">
        <v>3855.93</v>
      </c>
      <c r="F260" s="33">
        <f t="shared" si="9"/>
        <v>-1.1272112803181638E-2</v>
      </c>
      <c r="I260" s="37"/>
      <c r="J260" s="37"/>
    </row>
    <row r="261" spans="1:10" x14ac:dyDescent="0.35">
      <c r="A261" s="35">
        <v>44823</v>
      </c>
      <c r="B261">
        <v>153.16999999999999</v>
      </c>
      <c r="C261" s="33">
        <f t="shared" si="8"/>
        <v>2.5097041895328607E-2</v>
      </c>
      <c r="E261" s="34">
        <v>3899.89</v>
      </c>
      <c r="F261" s="33">
        <f t="shared" si="9"/>
        <v>6.8571487583035644E-3</v>
      </c>
      <c r="I261" s="37"/>
      <c r="J261" s="37"/>
    </row>
    <row r="262" spans="1:10" x14ac:dyDescent="0.35">
      <c r="A262" s="35">
        <v>44820</v>
      </c>
      <c r="B262">
        <v>149.41999999999999</v>
      </c>
      <c r="C262" s="33">
        <f t="shared" si="8"/>
        <v>-1.0987556261583431E-2</v>
      </c>
      <c r="E262" s="34">
        <v>3873.33</v>
      </c>
      <c r="F262" s="33">
        <f t="shared" si="9"/>
        <v>-7.182129262947437E-3</v>
      </c>
      <c r="I262" s="37"/>
      <c r="J262" s="37"/>
    </row>
    <row r="263" spans="1:10" x14ac:dyDescent="0.35">
      <c r="A263" s="35">
        <v>44819</v>
      </c>
      <c r="B263">
        <v>151.08000000000001</v>
      </c>
      <c r="C263" s="33">
        <f t="shared" si="8"/>
        <v>-1.8897330995519167E-2</v>
      </c>
      <c r="E263" s="34">
        <v>3901.35</v>
      </c>
      <c r="F263" s="33">
        <f t="shared" si="9"/>
        <v>-1.1317761485652673E-2</v>
      </c>
      <c r="I263" s="37"/>
      <c r="J263" s="37"/>
    </row>
    <row r="264" spans="1:10" x14ac:dyDescent="0.35">
      <c r="A264" s="35">
        <v>44818</v>
      </c>
      <c r="B264">
        <v>153.99</v>
      </c>
      <c r="C264" s="33">
        <f t="shared" si="8"/>
        <v>9.5057034220533444E-3</v>
      </c>
      <c r="E264" s="34">
        <v>3946.01</v>
      </c>
      <c r="F264" s="33">
        <f t="shared" si="9"/>
        <v>3.386994652515241E-3</v>
      </c>
      <c r="I264" s="37"/>
      <c r="J264" s="37"/>
    </row>
    <row r="265" spans="1:10" x14ac:dyDescent="0.35">
      <c r="A265" s="35">
        <v>44817</v>
      </c>
      <c r="B265">
        <v>152.54</v>
      </c>
      <c r="C265" s="33">
        <f t="shared" si="8"/>
        <v>-5.8685590867016468E-2</v>
      </c>
      <c r="E265" s="34">
        <v>3932.69</v>
      </c>
      <c r="F265" s="33">
        <f t="shared" si="9"/>
        <v>-4.3236562775976074E-2</v>
      </c>
      <c r="I265" s="37"/>
      <c r="J265" s="37"/>
    </row>
    <row r="266" spans="1:10" x14ac:dyDescent="0.35">
      <c r="A266" s="35">
        <v>44816</v>
      </c>
      <c r="B266">
        <v>162.05000000000001</v>
      </c>
      <c r="C266" s="33">
        <f t="shared" si="8"/>
        <v>3.8515765188413355E-2</v>
      </c>
      <c r="E266" s="34">
        <v>4110.41</v>
      </c>
      <c r="F266" s="33">
        <f t="shared" si="9"/>
        <v>1.0584261044018658E-2</v>
      </c>
      <c r="I266" s="37"/>
      <c r="J266" s="37"/>
    </row>
    <row r="267" spans="1:10" x14ac:dyDescent="0.35">
      <c r="A267" s="35">
        <v>44813</v>
      </c>
      <c r="B267">
        <v>156.04</v>
      </c>
      <c r="C267" s="33">
        <f t="shared" si="8"/>
        <v>1.8870388507998603E-2</v>
      </c>
      <c r="E267" s="34">
        <v>4067.36</v>
      </c>
      <c r="F267" s="33">
        <f t="shared" si="9"/>
        <v>1.5271405678227212E-2</v>
      </c>
      <c r="I267" s="37"/>
      <c r="J267" s="37"/>
    </row>
    <row r="268" spans="1:10" x14ac:dyDescent="0.35">
      <c r="A268" s="35">
        <v>44812</v>
      </c>
      <c r="B268">
        <v>153.15</v>
      </c>
      <c r="C268" s="33">
        <f t="shared" si="8"/>
        <v>-9.6352819451628342E-3</v>
      </c>
      <c r="E268" s="34">
        <v>4006.18</v>
      </c>
      <c r="F268" s="33">
        <f t="shared" si="9"/>
        <v>6.6107686934497728E-3</v>
      </c>
      <c r="I268" s="37"/>
      <c r="J268" s="37"/>
    </row>
    <row r="269" spans="1:10" x14ac:dyDescent="0.35">
      <c r="A269" s="35">
        <v>44811</v>
      </c>
      <c r="B269">
        <v>154.63999999999999</v>
      </c>
      <c r="C269" s="33">
        <f t="shared" si="8"/>
        <v>9.2677196188486327E-3</v>
      </c>
      <c r="E269" s="34">
        <v>3979.87</v>
      </c>
      <c r="F269" s="33">
        <f t="shared" si="9"/>
        <v>1.8340971140092942E-2</v>
      </c>
      <c r="I269" s="37"/>
      <c r="J269" s="37"/>
    </row>
    <row r="270" spans="1:10" x14ac:dyDescent="0.35">
      <c r="A270" s="35">
        <v>44810</v>
      </c>
      <c r="B270">
        <v>153.22</v>
      </c>
      <c r="C270" s="33">
        <f t="shared" si="8"/>
        <v>-8.2205968023820967E-3</v>
      </c>
      <c r="E270" s="34">
        <v>3908.19</v>
      </c>
      <c r="F270" s="33">
        <f t="shared" si="9"/>
        <v>-4.0950395743401717E-3</v>
      </c>
      <c r="I270" s="37"/>
      <c r="J270" s="37"/>
    </row>
    <row r="271" spans="1:10" x14ac:dyDescent="0.35">
      <c r="A271" s="35">
        <v>44806</v>
      </c>
      <c r="B271">
        <v>154.49</v>
      </c>
      <c r="C271" s="33">
        <f t="shared" si="8"/>
        <v>-1.3599795683820684E-2</v>
      </c>
      <c r="E271" s="34">
        <v>3924.26</v>
      </c>
      <c r="F271" s="33">
        <f t="shared" si="9"/>
        <v>-1.0736478566116614E-2</v>
      </c>
      <c r="I271" s="37"/>
      <c r="J271" s="37"/>
    </row>
    <row r="272" spans="1:10" x14ac:dyDescent="0.35">
      <c r="A272" s="35">
        <v>44805</v>
      </c>
      <c r="B272">
        <v>156.62</v>
      </c>
      <c r="C272" s="33">
        <f t="shared" si="8"/>
        <v>4.6827891461929455E-3</v>
      </c>
      <c r="E272" s="34">
        <v>3966.85</v>
      </c>
      <c r="F272" s="33">
        <f t="shared" si="9"/>
        <v>2.9962073324904955E-3</v>
      </c>
      <c r="I272" s="37"/>
      <c r="J272" s="37"/>
    </row>
    <row r="273" spans="1:10" x14ac:dyDescent="0.35">
      <c r="A273" s="35">
        <v>44804</v>
      </c>
      <c r="B273">
        <v>155.88999999999999</v>
      </c>
      <c r="C273" s="33">
        <f t="shared" si="8"/>
        <v>-1.0599136836760699E-2</v>
      </c>
      <c r="E273" s="34">
        <v>3955</v>
      </c>
      <c r="F273" s="33">
        <f t="shared" si="9"/>
        <v>-7.8170469825596198E-3</v>
      </c>
      <c r="I273" s="37"/>
      <c r="J273" s="37"/>
    </row>
    <row r="274" spans="1:10" x14ac:dyDescent="0.35">
      <c r="A274" s="35">
        <v>44803</v>
      </c>
      <c r="B274">
        <v>157.56</v>
      </c>
      <c r="C274" s="33">
        <f t="shared" si="8"/>
        <v>-1.5311543028560646E-2</v>
      </c>
      <c r="E274" s="34">
        <v>3986.16</v>
      </c>
      <c r="F274" s="33">
        <f t="shared" si="9"/>
        <v>-1.102810740805989E-2</v>
      </c>
      <c r="I274" s="37"/>
      <c r="J274" s="37"/>
    </row>
    <row r="275" spans="1:10" x14ac:dyDescent="0.35">
      <c r="A275" s="35">
        <v>44802</v>
      </c>
      <c r="B275">
        <v>160.01</v>
      </c>
      <c r="C275" s="33">
        <f t="shared" si="8"/>
        <v>-1.3684275411452869E-2</v>
      </c>
      <c r="E275" s="34">
        <v>4030.61</v>
      </c>
      <c r="F275" s="33">
        <f t="shared" si="9"/>
        <v>-6.6664037893760762E-3</v>
      </c>
      <c r="I275" s="37"/>
      <c r="J275" s="37"/>
    </row>
    <row r="276" spans="1:10" x14ac:dyDescent="0.35">
      <c r="A276" s="35">
        <v>44799</v>
      </c>
      <c r="B276">
        <v>162.22999999999999</v>
      </c>
      <c r="C276" s="33">
        <f t="shared" si="8"/>
        <v>-3.7724657452992548E-2</v>
      </c>
      <c r="E276" s="34">
        <v>4057.66</v>
      </c>
      <c r="F276" s="33">
        <f t="shared" si="9"/>
        <v>-3.3688010821314951E-2</v>
      </c>
      <c r="I276" s="37"/>
      <c r="J276" s="37"/>
    </row>
    <row r="277" spans="1:10" x14ac:dyDescent="0.35">
      <c r="A277" s="35">
        <v>44798</v>
      </c>
      <c r="B277">
        <v>168.59</v>
      </c>
      <c r="C277" s="33">
        <f t="shared" si="8"/>
        <v>1.4929865751610316E-2</v>
      </c>
      <c r="E277" s="34">
        <v>4199.12</v>
      </c>
      <c r="F277" s="33">
        <f t="shared" si="9"/>
        <v>1.4091582000449059E-2</v>
      </c>
      <c r="I277" s="37"/>
      <c r="J277" s="37"/>
    </row>
    <row r="278" spans="1:10" x14ac:dyDescent="0.35">
      <c r="A278" s="35">
        <v>44797</v>
      </c>
      <c r="B278">
        <v>166.11</v>
      </c>
      <c r="C278" s="33">
        <f t="shared" si="8"/>
        <v>1.8092998009770905E-3</v>
      </c>
      <c r="E278" s="34">
        <v>4140.7700000000004</v>
      </c>
      <c r="F278" s="33">
        <f t="shared" si="9"/>
        <v>2.9161509713642873E-3</v>
      </c>
      <c r="I278" s="37"/>
      <c r="J278" s="37"/>
    </row>
    <row r="279" spans="1:10" x14ac:dyDescent="0.35">
      <c r="A279" s="35">
        <v>44796</v>
      </c>
      <c r="B279">
        <v>165.81</v>
      </c>
      <c r="C279" s="33">
        <f t="shared" si="8"/>
        <v>-2.0463436653626447E-3</v>
      </c>
      <c r="E279" s="34">
        <v>4128.7299999999996</v>
      </c>
      <c r="F279" s="33">
        <f t="shared" si="9"/>
        <v>-2.2378014446627998E-3</v>
      </c>
      <c r="I279" s="37"/>
      <c r="J279" s="37"/>
    </row>
    <row r="280" spans="1:10" x14ac:dyDescent="0.35">
      <c r="A280" s="35">
        <v>44795</v>
      </c>
      <c r="B280">
        <v>166.15</v>
      </c>
      <c r="C280" s="33">
        <f t="shared" si="8"/>
        <v>-2.3049332627741444E-2</v>
      </c>
      <c r="E280" s="34">
        <v>4137.99</v>
      </c>
      <c r="F280" s="33">
        <f t="shared" si="9"/>
        <v>-2.1400124867564655E-2</v>
      </c>
      <c r="I280" s="37"/>
      <c r="J280" s="37"/>
    </row>
    <row r="281" spans="1:10" x14ac:dyDescent="0.35">
      <c r="A281" s="35">
        <v>44792</v>
      </c>
      <c r="B281">
        <v>170.07</v>
      </c>
      <c r="C281" s="33">
        <f t="shared" si="8"/>
        <v>-1.5057624370185872E-2</v>
      </c>
      <c r="E281" s="34">
        <v>4228.4799999999996</v>
      </c>
      <c r="F281" s="33">
        <f t="shared" si="9"/>
        <v>-1.2899942573545597E-2</v>
      </c>
      <c r="I281" s="37"/>
      <c r="J281" s="37"/>
    </row>
    <row r="282" spans="1:10" x14ac:dyDescent="0.35">
      <c r="A282" s="35">
        <v>44791</v>
      </c>
      <c r="B282">
        <v>172.67</v>
      </c>
      <c r="C282" s="33">
        <f t="shared" si="8"/>
        <v>-2.3112035592535141E-3</v>
      </c>
      <c r="E282" s="34">
        <v>4283.74</v>
      </c>
      <c r="F282" s="33">
        <f t="shared" si="9"/>
        <v>2.2695154935376874E-3</v>
      </c>
      <c r="I282" s="37"/>
      <c r="J282" s="37"/>
    </row>
    <row r="283" spans="1:10" x14ac:dyDescent="0.35">
      <c r="A283" s="35">
        <v>44790</v>
      </c>
      <c r="B283">
        <v>173.07</v>
      </c>
      <c r="C283" s="33">
        <f t="shared" si="8"/>
        <v>8.8015854511540627E-3</v>
      </c>
      <c r="E283" s="34">
        <v>4274.04</v>
      </c>
      <c r="F283" s="33">
        <f t="shared" si="9"/>
        <v>-7.2377589891293916E-3</v>
      </c>
      <c r="I283" s="37"/>
      <c r="J283" s="37"/>
    </row>
    <row r="284" spans="1:10" x14ac:dyDescent="0.35">
      <c r="A284" s="35">
        <v>44789</v>
      </c>
      <c r="B284">
        <v>171.56</v>
      </c>
      <c r="C284" s="33">
        <f t="shared" si="8"/>
        <v>-9.3174935942229558E-4</v>
      </c>
      <c r="E284" s="34">
        <v>4305.2</v>
      </c>
      <c r="F284" s="33">
        <f t="shared" si="9"/>
        <v>1.8756661407353472E-3</v>
      </c>
      <c r="I284" s="37"/>
      <c r="J284" s="37"/>
    </row>
    <row r="285" spans="1:10" x14ac:dyDescent="0.35">
      <c r="A285" s="35">
        <v>44788</v>
      </c>
      <c r="B285">
        <v>171.72</v>
      </c>
      <c r="C285" s="33">
        <f t="shared" si="8"/>
        <v>6.3291139240507065E-3</v>
      </c>
      <c r="E285" s="34">
        <v>4297.1400000000003</v>
      </c>
      <c r="F285" s="33">
        <f t="shared" si="9"/>
        <v>3.969487050687638E-3</v>
      </c>
      <c r="I285" s="37"/>
      <c r="J285" s="37"/>
    </row>
    <row r="286" spans="1:10" x14ac:dyDescent="0.35">
      <c r="A286" s="35">
        <v>44785</v>
      </c>
      <c r="B286">
        <v>170.64</v>
      </c>
      <c r="C286" s="33">
        <f t="shared" si="8"/>
        <v>2.1429426553334036E-2</v>
      </c>
      <c r="E286" s="34">
        <v>4280.1499999999996</v>
      </c>
      <c r="F286" s="33">
        <f t="shared" si="9"/>
        <v>1.7322396708554285E-2</v>
      </c>
      <c r="I286" s="37"/>
      <c r="J286" s="37"/>
    </row>
    <row r="287" spans="1:10" x14ac:dyDescent="0.35">
      <c r="A287" s="35">
        <v>44784</v>
      </c>
      <c r="B287">
        <v>167.06</v>
      </c>
      <c r="C287" s="33">
        <f t="shared" si="8"/>
        <v>-4.4693403253679752E-3</v>
      </c>
      <c r="E287" s="34">
        <v>4207.2700000000004</v>
      </c>
      <c r="F287" s="33">
        <f t="shared" si="9"/>
        <v>-7.0542296876172029E-4</v>
      </c>
      <c r="I287" s="37"/>
      <c r="J287" s="37"/>
    </row>
    <row r="288" spans="1:10" x14ac:dyDescent="0.35">
      <c r="A288" s="35">
        <v>44783</v>
      </c>
      <c r="B288">
        <v>167.81</v>
      </c>
      <c r="C288" s="33">
        <f t="shared" si="8"/>
        <v>2.6235322896281749E-2</v>
      </c>
      <c r="E288" s="34">
        <v>4210.24</v>
      </c>
      <c r="F288" s="33">
        <f t="shared" si="9"/>
        <v>2.1290634013103677E-2</v>
      </c>
      <c r="I288" s="37"/>
      <c r="J288" s="37"/>
    </row>
    <row r="289" spans="1:10" x14ac:dyDescent="0.35">
      <c r="A289" s="35">
        <v>44782</v>
      </c>
      <c r="B289">
        <v>163.52000000000001</v>
      </c>
      <c r="C289" s="33">
        <f t="shared" si="8"/>
        <v>3.0586651985080668E-4</v>
      </c>
      <c r="E289" s="34">
        <v>4122.47</v>
      </c>
      <c r="F289" s="33">
        <f t="shared" si="9"/>
        <v>-4.248730694724266E-3</v>
      </c>
      <c r="I289" s="37"/>
      <c r="J289" s="37"/>
    </row>
    <row r="290" spans="1:10" x14ac:dyDescent="0.35">
      <c r="A290" s="35">
        <v>44781</v>
      </c>
      <c r="B290">
        <v>163.47</v>
      </c>
      <c r="C290" s="33">
        <f t="shared" si="8"/>
        <v>-2.9277218664226275E-3</v>
      </c>
      <c r="E290" s="34">
        <v>4140.0600000000004</v>
      </c>
      <c r="F290" s="33">
        <f t="shared" si="9"/>
        <v>-1.2375789770792654E-3</v>
      </c>
      <c r="I290" s="37"/>
      <c r="J290" s="37"/>
    </row>
    <row r="291" spans="1:10" x14ac:dyDescent="0.35">
      <c r="A291" s="35">
        <v>44778</v>
      </c>
      <c r="B291">
        <v>163.95</v>
      </c>
      <c r="C291" s="33">
        <f t="shared" si="8"/>
        <v>-1.4009014496285672E-3</v>
      </c>
      <c r="E291" s="34">
        <v>4145.1899999999996</v>
      </c>
      <c r="F291" s="33">
        <f t="shared" si="9"/>
        <v>-1.6257460367924393E-3</v>
      </c>
      <c r="I291" s="37"/>
      <c r="J291" s="37"/>
    </row>
    <row r="292" spans="1:10" x14ac:dyDescent="0.35">
      <c r="A292" s="35">
        <v>44777</v>
      </c>
      <c r="B292">
        <v>164.18</v>
      </c>
      <c r="C292" s="33">
        <f t="shared" si="8"/>
        <v>-1.8846130463858123E-3</v>
      </c>
      <c r="E292" s="34">
        <v>4151.9399999999996</v>
      </c>
      <c r="F292" s="33">
        <f t="shared" si="9"/>
        <v>-7.7734484990998507E-4</v>
      </c>
      <c r="I292" s="37"/>
      <c r="J292" s="37"/>
    </row>
    <row r="293" spans="1:10" x14ac:dyDescent="0.35">
      <c r="A293" s="35">
        <v>44776</v>
      </c>
      <c r="B293">
        <v>164.49</v>
      </c>
      <c r="C293" s="33">
        <f t="shared" si="8"/>
        <v>3.8250331376633223E-2</v>
      </c>
      <c r="E293" s="34">
        <v>4155.17</v>
      </c>
      <c r="F293" s="33">
        <f t="shared" si="9"/>
        <v>1.5638481713144591E-2</v>
      </c>
      <c r="I293" s="37"/>
      <c r="J293" s="37"/>
    </row>
    <row r="294" spans="1:10" x14ac:dyDescent="0.35">
      <c r="A294" s="35">
        <v>44775</v>
      </c>
      <c r="B294">
        <v>158.43</v>
      </c>
      <c r="C294" s="33">
        <f t="shared" si="8"/>
        <v>-9.3171585792895251E-3</v>
      </c>
      <c r="E294" s="34">
        <v>4091.19</v>
      </c>
      <c r="F294" s="33">
        <f t="shared" si="9"/>
        <v>-6.6624095876541599E-3</v>
      </c>
      <c r="I294" s="37"/>
      <c r="J294" s="37"/>
    </row>
    <row r="295" spans="1:10" x14ac:dyDescent="0.35">
      <c r="A295" s="35">
        <v>44774</v>
      </c>
      <c r="B295">
        <v>159.91999999999999</v>
      </c>
      <c r="C295" s="33">
        <f t="shared" si="8"/>
        <v>-6.152507612951396E-3</v>
      </c>
      <c r="E295" s="34">
        <v>4118.63</v>
      </c>
      <c r="F295" s="33">
        <f t="shared" si="9"/>
        <v>-2.8230463236237299E-3</v>
      </c>
      <c r="I295" s="37"/>
      <c r="J295" s="37"/>
    </row>
    <row r="296" spans="1:10" x14ac:dyDescent="0.35">
      <c r="A296" s="35">
        <v>44771</v>
      </c>
      <c r="B296">
        <v>160.91</v>
      </c>
      <c r="C296" s="33">
        <f t="shared" si="8"/>
        <v>3.2798459563542909E-2</v>
      </c>
      <c r="E296" s="34">
        <v>4130.29</v>
      </c>
      <c r="F296" s="33">
        <f t="shared" si="9"/>
        <v>1.4207733466259734E-2</v>
      </c>
      <c r="I296" s="37"/>
      <c r="J296" s="37"/>
    </row>
    <row r="297" spans="1:10" x14ac:dyDescent="0.35">
      <c r="A297" s="35">
        <v>44770</v>
      </c>
      <c r="B297">
        <v>155.80000000000001</v>
      </c>
      <c r="C297" s="33">
        <f t="shared" si="8"/>
        <v>3.5426731078905724E-3</v>
      </c>
      <c r="E297" s="34">
        <v>4072.43</v>
      </c>
      <c r="F297" s="33">
        <f t="shared" si="9"/>
        <v>1.2133382708562635E-2</v>
      </c>
      <c r="I297" s="37"/>
      <c r="J297" s="37"/>
    </row>
    <row r="298" spans="1:10" x14ac:dyDescent="0.35">
      <c r="A298" s="35">
        <v>44769</v>
      </c>
      <c r="B298">
        <v>155.25</v>
      </c>
      <c r="C298" s="33">
        <f t="shared" si="8"/>
        <v>3.4241556192125683E-2</v>
      </c>
      <c r="E298" s="34">
        <v>4023.61</v>
      </c>
      <c r="F298" s="33">
        <f t="shared" si="9"/>
        <v>2.6156259165274594E-2</v>
      </c>
      <c r="I298" s="37"/>
      <c r="J298" s="37"/>
    </row>
    <row r="299" spans="1:10" x14ac:dyDescent="0.35">
      <c r="A299" s="35">
        <v>44768</v>
      </c>
      <c r="B299">
        <v>150.11000000000001</v>
      </c>
      <c r="C299" s="33">
        <f t="shared" si="8"/>
        <v>-8.7823560486000006E-3</v>
      </c>
      <c r="E299" s="34">
        <v>3921.05</v>
      </c>
      <c r="F299" s="33">
        <f t="shared" si="9"/>
        <v>-1.154319307055489E-2</v>
      </c>
      <c r="I299" s="37"/>
      <c r="J299" s="37"/>
    </row>
    <row r="300" spans="1:10" x14ac:dyDescent="0.35">
      <c r="A300" s="35">
        <v>44767</v>
      </c>
      <c r="B300">
        <v>151.44</v>
      </c>
      <c r="C300" s="33">
        <f t="shared" si="8"/>
        <v>-7.4064363898538078E-3</v>
      </c>
      <c r="E300" s="34">
        <v>3966.84</v>
      </c>
      <c r="F300" s="33">
        <f t="shared" si="9"/>
        <v>1.3151152429681813E-3</v>
      </c>
      <c r="I300" s="37"/>
      <c r="J300" s="37"/>
    </row>
    <row r="301" spans="1:10" x14ac:dyDescent="0.35">
      <c r="A301" s="35">
        <v>44764</v>
      </c>
      <c r="B301">
        <v>152.57</v>
      </c>
      <c r="C301" s="33">
        <f t="shared" si="8"/>
        <v>-8.1263814848524258E-3</v>
      </c>
      <c r="E301" s="34">
        <v>3961.63</v>
      </c>
      <c r="F301" s="33">
        <f t="shared" si="9"/>
        <v>-9.3324497680640443E-3</v>
      </c>
      <c r="I301" s="37"/>
      <c r="J301" s="37"/>
    </row>
    <row r="302" spans="1:10" x14ac:dyDescent="0.35">
      <c r="A302" s="35">
        <v>44763</v>
      </c>
      <c r="B302">
        <v>153.82</v>
      </c>
      <c r="C302" s="33">
        <f t="shared" si="8"/>
        <v>1.511251897314058E-2</v>
      </c>
      <c r="E302" s="34">
        <v>3998.95</v>
      </c>
      <c r="F302" s="33">
        <f t="shared" si="9"/>
        <v>9.861360135356885E-3</v>
      </c>
      <c r="I302" s="37"/>
      <c r="J302" s="37"/>
    </row>
    <row r="303" spans="1:10" x14ac:dyDescent="0.35">
      <c r="A303" s="35">
        <v>44762</v>
      </c>
      <c r="B303">
        <v>151.53</v>
      </c>
      <c r="C303" s="33">
        <f t="shared" si="8"/>
        <v>1.3510801953046688E-2</v>
      </c>
      <c r="E303" s="34">
        <v>3959.9</v>
      </c>
      <c r="F303" s="33">
        <f t="shared" si="9"/>
        <v>5.8958160281861252E-3</v>
      </c>
      <c r="I303" s="37"/>
      <c r="J303" s="37"/>
    </row>
    <row r="304" spans="1:10" x14ac:dyDescent="0.35">
      <c r="A304" s="35">
        <v>44761</v>
      </c>
      <c r="B304">
        <v>149.51</v>
      </c>
      <c r="C304" s="33">
        <f t="shared" si="8"/>
        <v>2.6713363548962959E-2</v>
      </c>
      <c r="E304" s="34">
        <v>3936.69</v>
      </c>
      <c r="F304" s="33">
        <f t="shared" si="9"/>
        <v>2.7628333137554369E-2</v>
      </c>
      <c r="I304" s="37"/>
      <c r="J304" s="37"/>
    </row>
    <row r="305" spans="1:10" x14ac:dyDescent="0.35">
      <c r="A305" s="35">
        <v>44760</v>
      </c>
      <c r="B305">
        <v>145.62</v>
      </c>
      <c r="C305" s="33">
        <f t="shared" si="8"/>
        <v>-2.0646983657273476E-2</v>
      </c>
      <c r="E305" s="34">
        <v>3830.85</v>
      </c>
      <c r="F305" s="33">
        <f t="shared" si="9"/>
        <v>-8.3636194203708745E-3</v>
      </c>
      <c r="I305" s="37"/>
      <c r="J305" s="37"/>
    </row>
    <row r="306" spans="1:10" x14ac:dyDescent="0.35">
      <c r="A306" s="35">
        <v>44757</v>
      </c>
      <c r="B306">
        <v>148.69</v>
      </c>
      <c r="C306" s="33">
        <f t="shared" si="8"/>
        <v>1.1427794027617216E-2</v>
      </c>
      <c r="E306" s="34">
        <v>3863.16</v>
      </c>
      <c r="F306" s="33">
        <f t="shared" si="9"/>
        <v>1.9201241036518699E-2</v>
      </c>
      <c r="I306" s="37"/>
      <c r="J306" s="37"/>
    </row>
    <row r="307" spans="1:10" x14ac:dyDescent="0.35">
      <c r="A307" s="35">
        <v>44756</v>
      </c>
      <c r="B307">
        <v>147.01</v>
      </c>
      <c r="C307" s="33">
        <f t="shared" si="8"/>
        <v>2.0477578786616608E-2</v>
      </c>
      <c r="E307" s="34">
        <v>3790.38</v>
      </c>
      <c r="F307" s="33">
        <f t="shared" si="9"/>
        <v>-2.9985953947887808E-3</v>
      </c>
      <c r="I307" s="37"/>
      <c r="J307" s="37"/>
    </row>
    <row r="308" spans="1:10" x14ac:dyDescent="0.35">
      <c r="A308" s="35">
        <v>44755</v>
      </c>
      <c r="B308">
        <v>144.06</v>
      </c>
      <c r="C308" s="33">
        <f t="shared" si="8"/>
        <v>-2.492729538844933E-3</v>
      </c>
      <c r="E308" s="34">
        <v>3801.78</v>
      </c>
      <c r="F308" s="33">
        <f t="shared" si="9"/>
        <v>-4.4568974546978059E-3</v>
      </c>
      <c r="I308" s="37"/>
      <c r="J308" s="37"/>
    </row>
    <row r="309" spans="1:10" x14ac:dyDescent="0.35">
      <c r="A309" s="35">
        <v>44754</v>
      </c>
      <c r="B309">
        <v>144.41999999999999</v>
      </c>
      <c r="C309" s="33">
        <f t="shared" si="8"/>
        <v>6.832124930284368E-3</v>
      </c>
      <c r="E309" s="34">
        <v>3818.8</v>
      </c>
      <c r="F309" s="33">
        <f t="shared" si="9"/>
        <v>-9.2439089567068686E-3</v>
      </c>
      <c r="I309" s="37"/>
      <c r="J309" s="37"/>
    </row>
    <row r="310" spans="1:10" x14ac:dyDescent="0.35">
      <c r="A310" s="35">
        <v>44753</v>
      </c>
      <c r="B310">
        <v>143.44</v>
      </c>
      <c r="C310" s="33">
        <f t="shared" si="8"/>
        <v>-1.4767497767703865E-2</v>
      </c>
      <c r="E310" s="34">
        <v>3854.43</v>
      </c>
      <c r="F310" s="33">
        <f t="shared" si="9"/>
        <v>-1.152747359836699E-2</v>
      </c>
      <c r="I310" s="37"/>
      <c r="J310" s="37"/>
    </row>
    <row r="311" spans="1:10" x14ac:dyDescent="0.35">
      <c r="A311" s="35">
        <v>44750</v>
      </c>
      <c r="B311">
        <v>145.59</v>
      </c>
      <c r="C311" s="33">
        <f t="shared" si="8"/>
        <v>4.6925678007039328E-3</v>
      </c>
      <c r="E311" s="34">
        <v>3899.38</v>
      </c>
      <c r="F311" s="33">
        <f t="shared" si="9"/>
        <v>-8.3021149894168069E-4</v>
      </c>
      <c r="I311" s="37"/>
      <c r="J311" s="37"/>
    </row>
    <row r="312" spans="1:10" x14ac:dyDescent="0.35">
      <c r="A312" s="35">
        <v>44749</v>
      </c>
      <c r="B312">
        <v>144.91</v>
      </c>
      <c r="C312" s="33">
        <f t="shared" si="8"/>
        <v>2.4026570560384469E-2</v>
      </c>
      <c r="E312" s="34">
        <v>3902.62</v>
      </c>
      <c r="F312" s="33">
        <f t="shared" si="9"/>
        <v>1.4964578110208361E-2</v>
      </c>
      <c r="I312" s="37"/>
      <c r="J312" s="37"/>
    </row>
    <row r="313" spans="1:10" x14ac:dyDescent="0.35">
      <c r="A313" s="35">
        <v>44748</v>
      </c>
      <c r="B313">
        <v>141.51</v>
      </c>
      <c r="C313" s="33">
        <f t="shared" si="8"/>
        <v>9.5598202183063679E-3</v>
      </c>
      <c r="E313" s="34">
        <v>3845.08</v>
      </c>
      <c r="F313" s="33">
        <f t="shared" si="9"/>
        <v>3.5731157621646595E-3</v>
      </c>
      <c r="I313" s="37"/>
      <c r="J313" s="37"/>
    </row>
    <row r="314" spans="1:10" x14ac:dyDescent="0.35">
      <c r="A314" s="35">
        <v>44747</v>
      </c>
      <c r="B314">
        <v>140.16999999999999</v>
      </c>
      <c r="C314" s="33">
        <f t="shared" si="8"/>
        <v>1.8973538819424145E-2</v>
      </c>
      <c r="E314" s="34">
        <v>3831.39</v>
      </c>
      <c r="F314" s="33">
        <f t="shared" si="9"/>
        <v>1.5841770513916305E-3</v>
      </c>
      <c r="I314" s="37"/>
      <c r="J314" s="37"/>
    </row>
    <row r="315" spans="1:10" x14ac:dyDescent="0.35">
      <c r="A315" s="35">
        <v>44743</v>
      </c>
      <c r="B315">
        <v>137.56</v>
      </c>
      <c r="C315" s="33">
        <f t="shared" si="8"/>
        <v>1.6177882839624715E-2</v>
      </c>
      <c r="E315" s="34">
        <v>3825.33</v>
      </c>
      <c r="F315" s="33">
        <f t="shared" si="9"/>
        <v>1.0553762105785897E-2</v>
      </c>
      <c r="I315" s="37"/>
      <c r="J315" s="37"/>
    </row>
    <row r="316" spans="1:10" x14ac:dyDescent="0.35">
      <c r="A316" s="35">
        <v>44742</v>
      </c>
      <c r="B316">
        <v>135.37</v>
      </c>
      <c r="C316" s="33">
        <f t="shared" si="8"/>
        <v>-1.8061801827941454E-2</v>
      </c>
      <c r="E316" s="34">
        <v>3785.38</v>
      </c>
      <c r="F316" s="33">
        <f t="shared" si="9"/>
        <v>-8.7592273026031054E-3</v>
      </c>
      <c r="I316" s="37"/>
      <c r="J316" s="37"/>
    </row>
    <row r="317" spans="1:10" x14ac:dyDescent="0.35">
      <c r="A317" s="35">
        <v>44741</v>
      </c>
      <c r="B317">
        <v>137.86000000000001</v>
      </c>
      <c r="C317" s="33">
        <f t="shared" si="8"/>
        <v>1.3006098905136381E-2</v>
      </c>
      <c r="E317" s="34">
        <v>3818.83</v>
      </c>
      <c r="F317" s="33">
        <f t="shared" si="9"/>
        <v>-7.1175308448149426E-4</v>
      </c>
      <c r="I317" s="37"/>
      <c r="J317" s="37"/>
    </row>
    <row r="318" spans="1:10" x14ac:dyDescent="0.35">
      <c r="A318" s="35">
        <v>44740</v>
      </c>
      <c r="B318">
        <v>136.09</v>
      </c>
      <c r="C318" s="33">
        <f t="shared" si="8"/>
        <v>-2.9799672061025212E-2</v>
      </c>
      <c r="E318" s="34">
        <v>3821.55</v>
      </c>
      <c r="F318" s="33">
        <f t="shared" si="9"/>
        <v>-2.0143021607082864E-2</v>
      </c>
      <c r="I318" s="37"/>
      <c r="J318" s="37"/>
    </row>
    <row r="319" spans="1:10" x14ac:dyDescent="0.35">
      <c r="A319" s="35">
        <v>44739</v>
      </c>
      <c r="B319">
        <v>140.27000000000001</v>
      </c>
      <c r="C319" s="33">
        <f t="shared" si="8"/>
        <v>0</v>
      </c>
      <c r="E319" s="34">
        <v>3900.11</v>
      </c>
      <c r="F319" s="33">
        <f t="shared" si="9"/>
        <v>-2.9731014842498877E-3</v>
      </c>
      <c r="I319" s="37"/>
      <c r="J319" s="37"/>
    </row>
    <row r="320" spans="1:10" x14ac:dyDescent="0.35">
      <c r="A320" s="35">
        <v>44736</v>
      </c>
      <c r="B320">
        <v>140.27000000000001</v>
      </c>
      <c r="C320" s="33">
        <f t="shared" si="8"/>
        <v>2.4541669710028587E-2</v>
      </c>
      <c r="E320" s="34">
        <v>3911.74</v>
      </c>
      <c r="F320" s="33">
        <f t="shared" si="9"/>
        <v>3.0563290855777352E-2</v>
      </c>
      <c r="I320" s="37"/>
      <c r="J320" s="37"/>
    </row>
    <row r="321" spans="1:10" x14ac:dyDescent="0.35">
      <c r="A321" s="35">
        <v>44735</v>
      </c>
      <c r="B321">
        <v>136.91</v>
      </c>
      <c r="C321" s="33">
        <f t="shared" si="8"/>
        <v>2.1563945679749189E-2</v>
      </c>
      <c r="E321" s="34">
        <v>3795.73</v>
      </c>
      <c r="F321" s="33">
        <f t="shared" si="9"/>
        <v>9.5321937609877273E-3</v>
      </c>
      <c r="I321" s="37"/>
      <c r="J321" s="37"/>
    </row>
    <row r="322" spans="1:10" x14ac:dyDescent="0.35">
      <c r="A322" s="35">
        <v>44734</v>
      </c>
      <c r="B322">
        <v>134.02000000000001</v>
      </c>
      <c r="C322" s="33">
        <f t="shared" ref="C322:C385" si="10">(B322-B323)/B323</f>
        <v>-3.7909759904853259E-3</v>
      </c>
      <c r="E322" s="34">
        <v>3759.89</v>
      </c>
      <c r="F322" s="33">
        <f t="shared" ref="F322:F385" si="11">(E322-E323)/E323</f>
        <v>-1.3015334188626964E-3</v>
      </c>
      <c r="I322" s="37"/>
      <c r="J322" s="37"/>
    </row>
    <row r="323" spans="1:10" x14ac:dyDescent="0.35">
      <c r="A323" s="35">
        <v>44733</v>
      </c>
      <c r="B323">
        <v>134.53</v>
      </c>
      <c r="C323" s="33">
        <f t="shared" si="10"/>
        <v>3.2780592660832261E-2</v>
      </c>
      <c r="E323" s="34">
        <v>3764.79</v>
      </c>
      <c r="F323" s="33">
        <f t="shared" si="11"/>
        <v>2.4477256152648771E-2</v>
      </c>
      <c r="I323" s="37"/>
      <c r="J323" s="37"/>
    </row>
    <row r="324" spans="1:10" x14ac:dyDescent="0.35">
      <c r="A324" s="35">
        <v>44729</v>
      </c>
      <c r="B324">
        <v>130.26</v>
      </c>
      <c r="C324" s="33">
        <f t="shared" si="10"/>
        <v>1.1492467774499067E-2</v>
      </c>
      <c r="E324" s="34">
        <v>3674.84</v>
      </c>
      <c r="F324" s="33">
        <f t="shared" si="11"/>
        <v>2.2008470670372465E-3</v>
      </c>
      <c r="I324" s="37"/>
      <c r="J324" s="37"/>
    </row>
    <row r="325" spans="1:10" x14ac:dyDescent="0.35">
      <c r="A325" s="35">
        <v>44728</v>
      </c>
      <c r="B325">
        <v>128.78</v>
      </c>
      <c r="C325" s="33">
        <f t="shared" si="10"/>
        <v>-3.9671886651752378E-2</v>
      </c>
      <c r="E325" s="34">
        <v>3666.77</v>
      </c>
      <c r="F325" s="33">
        <f t="shared" si="11"/>
        <v>-3.2511959134456765E-2</v>
      </c>
      <c r="I325" s="37"/>
      <c r="J325" s="37"/>
    </row>
    <row r="326" spans="1:10" x14ac:dyDescent="0.35">
      <c r="A326" s="35">
        <v>44727</v>
      </c>
      <c r="B326">
        <v>134.1</v>
      </c>
      <c r="C326" s="33">
        <f t="shared" si="10"/>
        <v>2.0159756561430247E-2</v>
      </c>
      <c r="E326" s="34">
        <v>3789.99</v>
      </c>
      <c r="F326" s="33">
        <f t="shared" si="11"/>
        <v>1.4592502168395966E-2</v>
      </c>
      <c r="I326" s="37"/>
      <c r="J326" s="37"/>
    </row>
    <row r="327" spans="1:10" x14ac:dyDescent="0.35">
      <c r="A327" s="35">
        <v>44726</v>
      </c>
      <c r="B327">
        <v>131.44999999999999</v>
      </c>
      <c r="C327" s="33">
        <f t="shared" si="10"/>
        <v>6.6625823250113037E-3</v>
      </c>
      <c r="E327" s="34">
        <v>3735.48</v>
      </c>
      <c r="F327" s="33">
        <f t="shared" si="11"/>
        <v>-3.7737056722930238E-3</v>
      </c>
      <c r="I327" s="37"/>
      <c r="J327" s="37"/>
    </row>
    <row r="328" spans="1:10" x14ac:dyDescent="0.35">
      <c r="A328" s="35">
        <v>44725</v>
      </c>
      <c r="B328">
        <v>130.58000000000001</v>
      </c>
      <c r="C328" s="33">
        <f t="shared" si="10"/>
        <v>-3.8297245544262691E-2</v>
      </c>
      <c r="E328" s="34">
        <v>3749.63</v>
      </c>
      <c r="F328" s="33">
        <f t="shared" si="11"/>
        <v>-3.8768374153391821E-2</v>
      </c>
      <c r="I328" s="37"/>
      <c r="J328" s="37"/>
    </row>
    <row r="329" spans="1:10" x14ac:dyDescent="0.35">
      <c r="A329" s="35">
        <v>44722</v>
      </c>
      <c r="B329">
        <v>135.78</v>
      </c>
      <c r="C329" s="33">
        <f t="shared" si="10"/>
        <v>-3.8657604078164882E-2</v>
      </c>
      <c r="E329" s="34">
        <v>3900.86</v>
      </c>
      <c r="F329" s="33">
        <f t="shared" si="11"/>
        <v>-2.9110313553120853E-2</v>
      </c>
      <c r="I329" s="37"/>
      <c r="J329" s="37"/>
    </row>
    <row r="330" spans="1:10" x14ac:dyDescent="0.35">
      <c r="A330" s="35">
        <v>44721</v>
      </c>
      <c r="B330">
        <v>141.24</v>
      </c>
      <c r="C330" s="33">
        <f t="shared" si="10"/>
        <v>-3.5904436860068195E-2</v>
      </c>
      <c r="E330" s="34">
        <v>4017.82</v>
      </c>
      <c r="F330" s="33">
        <f t="shared" si="11"/>
        <v>-2.379870595295662E-2</v>
      </c>
      <c r="I330" s="37"/>
      <c r="J330" s="37"/>
    </row>
    <row r="331" spans="1:10" x14ac:dyDescent="0.35">
      <c r="A331" s="35">
        <v>44720</v>
      </c>
      <c r="B331">
        <v>146.5</v>
      </c>
      <c r="C331" s="33">
        <f t="shared" si="10"/>
        <v>-5.0933786078098476E-3</v>
      </c>
      <c r="E331" s="34">
        <v>4115.7700000000004</v>
      </c>
      <c r="F331" s="33">
        <f t="shared" si="11"/>
        <v>-1.0793908688002887E-2</v>
      </c>
      <c r="I331" s="37"/>
      <c r="J331" s="37"/>
    </row>
    <row r="332" spans="1:10" x14ac:dyDescent="0.35">
      <c r="A332" s="35">
        <v>44719</v>
      </c>
      <c r="B332">
        <v>147.25</v>
      </c>
      <c r="C332" s="33">
        <f t="shared" si="10"/>
        <v>1.7622667588113417E-2</v>
      </c>
      <c r="E332" s="34">
        <v>4160.68</v>
      </c>
      <c r="F332" s="33">
        <f t="shared" si="11"/>
        <v>9.5233935794129705E-3</v>
      </c>
      <c r="I332" s="37"/>
      <c r="J332" s="37"/>
    </row>
    <row r="333" spans="1:10" x14ac:dyDescent="0.35">
      <c r="A333" s="35">
        <v>44718</v>
      </c>
      <c r="B333">
        <v>144.69999999999999</v>
      </c>
      <c r="C333" s="33">
        <f t="shared" si="10"/>
        <v>5.2101424105592221E-3</v>
      </c>
      <c r="E333" s="34">
        <v>4121.43</v>
      </c>
      <c r="F333" s="33">
        <f t="shared" si="11"/>
        <v>3.1373675320187531E-3</v>
      </c>
      <c r="I333" s="37"/>
      <c r="J333" s="37"/>
    </row>
    <row r="334" spans="1:10" x14ac:dyDescent="0.35">
      <c r="A334" s="35">
        <v>44715</v>
      </c>
      <c r="B334">
        <v>143.94999999999999</v>
      </c>
      <c r="C334" s="33">
        <f t="shared" si="10"/>
        <v>-3.8538605396740651E-2</v>
      </c>
      <c r="E334" s="34">
        <v>4108.54</v>
      </c>
      <c r="F334" s="33">
        <f t="shared" si="11"/>
        <v>-1.6347364741597616E-2</v>
      </c>
      <c r="I334" s="37"/>
      <c r="J334" s="37"/>
    </row>
    <row r="335" spans="1:10" x14ac:dyDescent="0.35">
      <c r="A335" s="35">
        <v>44714</v>
      </c>
      <c r="B335">
        <v>149.72</v>
      </c>
      <c r="C335" s="33">
        <f t="shared" si="10"/>
        <v>1.6774193548387089E-2</v>
      </c>
      <c r="E335" s="34">
        <v>4176.82</v>
      </c>
      <c r="F335" s="33">
        <f t="shared" si="11"/>
        <v>1.8431056049038986E-2</v>
      </c>
      <c r="I335" s="37"/>
      <c r="J335" s="37"/>
    </row>
    <row r="336" spans="1:10" x14ac:dyDescent="0.35">
      <c r="A336" s="35">
        <v>44713</v>
      </c>
      <c r="B336">
        <v>147.25</v>
      </c>
      <c r="C336" s="33">
        <f t="shared" si="10"/>
        <v>-8.1427698988942483E-4</v>
      </c>
      <c r="E336" s="34">
        <v>4101.2299999999996</v>
      </c>
      <c r="F336" s="33">
        <f t="shared" si="11"/>
        <v>-7.482787410912013E-3</v>
      </c>
      <c r="I336" s="37"/>
      <c r="J336" s="37"/>
    </row>
    <row r="337" spans="1:10" x14ac:dyDescent="0.35">
      <c r="A337" s="35">
        <v>44712</v>
      </c>
      <c r="B337">
        <v>147.37</v>
      </c>
      <c r="C337" s="33">
        <f t="shared" si="10"/>
        <v>-5.399203617466309E-3</v>
      </c>
      <c r="E337" s="34">
        <v>4132.1499999999996</v>
      </c>
      <c r="F337" s="33">
        <f t="shared" si="11"/>
        <v>-6.2742891223210176E-3</v>
      </c>
      <c r="I337" s="37"/>
      <c r="J337" s="37"/>
    </row>
    <row r="338" spans="1:10" x14ac:dyDescent="0.35">
      <c r="A338" s="35">
        <v>44708</v>
      </c>
      <c r="B338">
        <v>148.16999999999999</v>
      </c>
      <c r="C338" s="33">
        <f t="shared" si="10"/>
        <v>4.0812025849957669E-2</v>
      </c>
      <c r="E338" s="34">
        <v>4158.24</v>
      </c>
      <c r="F338" s="33">
        <f t="shared" si="11"/>
        <v>2.4742227391912848E-2</v>
      </c>
      <c r="I338" s="37"/>
      <c r="J338" s="37"/>
    </row>
    <row r="339" spans="1:10" x14ac:dyDescent="0.35">
      <c r="A339" s="35">
        <v>44707</v>
      </c>
      <c r="B339">
        <v>142.36000000000001</v>
      </c>
      <c r="C339" s="33">
        <f t="shared" si="10"/>
        <v>2.314215897657056E-2</v>
      </c>
      <c r="E339" s="34">
        <v>4057.84</v>
      </c>
      <c r="F339" s="33">
        <f t="shared" si="11"/>
        <v>1.9883229070582858E-2</v>
      </c>
      <c r="I339" s="37"/>
      <c r="J339" s="37"/>
    </row>
    <row r="340" spans="1:10" x14ac:dyDescent="0.35">
      <c r="A340" s="35">
        <v>44706</v>
      </c>
      <c r="B340">
        <v>139.13999999999999</v>
      </c>
      <c r="C340" s="33">
        <f t="shared" si="10"/>
        <v>1.1512447834220506E-3</v>
      </c>
      <c r="E340" s="34">
        <v>3978.73</v>
      </c>
      <c r="F340" s="33">
        <f t="shared" si="11"/>
        <v>9.450764687376316E-3</v>
      </c>
      <c r="I340" s="37"/>
      <c r="J340" s="37"/>
    </row>
    <row r="341" spans="1:10" x14ac:dyDescent="0.35">
      <c r="A341" s="35">
        <v>44705</v>
      </c>
      <c r="B341">
        <v>138.97999999999999</v>
      </c>
      <c r="C341" s="33">
        <f t="shared" si="10"/>
        <v>-1.9195483415666896E-2</v>
      </c>
      <c r="E341" s="34">
        <v>3941.48</v>
      </c>
      <c r="F341" s="33">
        <f t="shared" si="11"/>
        <v>-8.1207927021075769E-3</v>
      </c>
      <c r="I341" s="37"/>
      <c r="J341" s="37"/>
    </row>
    <row r="342" spans="1:10" x14ac:dyDescent="0.35">
      <c r="A342" s="35">
        <v>44704</v>
      </c>
      <c r="B342">
        <v>141.69999999999999</v>
      </c>
      <c r="C342" s="33">
        <f t="shared" si="10"/>
        <v>4.007633587786244E-2</v>
      </c>
      <c r="E342" s="34">
        <v>3973.75</v>
      </c>
      <c r="F342" s="33">
        <f t="shared" si="11"/>
        <v>1.8555067976295414E-2</v>
      </c>
      <c r="I342" s="37"/>
      <c r="J342" s="37"/>
    </row>
    <row r="343" spans="1:10" x14ac:dyDescent="0.35">
      <c r="A343" s="35">
        <v>44701</v>
      </c>
      <c r="B343">
        <v>136.24</v>
      </c>
      <c r="C343" s="33">
        <f t="shared" si="10"/>
        <v>1.764705882353008E-3</v>
      </c>
      <c r="E343" s="34">
        <v>3901.36</v>
      </c>
      <c r="F343" s="33">
        <f t="shared" si="11"/>
        <v>1.4612424662700728E-4</v>
      </c>
      <c r="I343" s="37"/>
      <c r="J343" s="37"/>
    </row>
    <row r="344" spans="1:10" x14ac:dyDescent="0.35">
      <c r="A344" s="35">
        <v>44700</v>
      </c>
      <c r="B344">
        <v>136</v>
      </c>
      <c r="C344" s="33">
        <f t="shared" si="10"/>
        <v>-2.4600157785268643E-2</v>
      </c>
      <c r="E344" s="34">
        <v>3900.79</v>
      </c>
      <c r="F344" s="33">
        <f t="shared" si="11"/>
        <v>-5.8338090771928074E-3</v>
      </c>
      <c r="I344" s="37"/>
      <c r="J344" s="37"/>
    </row>
    <row r="345" spans="1:10" x14ac:dyDescent="0.35">
      <c r="A345" s="35">
        <v>44699</v>
      </c>
      <c r="B345">
        <v>139.43</v>
      </c>
      <c r="C345" s="33">
        <f t="shared" si="10"/>
        <v>-5.6439060702443006E-2</v>
      </c>
      <c r="E345" s="34">
        <v>3923.68</v>
      </c>
      <c r="F345" s="33">
        <f t="shared" si="11"/>
        <v>-4.0395221150201173E-2</v>
      </c>
      <c r="I345" s="37"/>
      <c r="J345" s="37"/>
    </row>
    <row r="346" spans="1:10" x14ac:dyDescent="0.35">
      <c r="A346" s="35">
        <v>44698</v>
      </c>
      <c r="B346">
        <v>147.77000000000001</v>
      </c>
      <c r="C346" s="33">
        <f t="shared" si="10"/>
        <v>2.5397265977378364E-2</v>
      </c>
      <c r="E346" s="34">
        <v>4088.85</v>
      </c>
      <c r="F346" s="33">
        <f t="shared" si="11"/>
        <v>2.0169610355263507E-2</v>
      </c>
      <c r="I346" s="37"/>
      <c r="J346" s="37"/>
    </row>
    <row r="347" spans="1:10" x14ac:dyDescent="0.35">
      <c r="A347" s="35">
        <v>44697</v>
      </c>
      <c r="B347">
        <v>144.11000000000001</v>
      </c>
      <c r="C347" s="33">
        <f t="shared" si="10"/>
        <v>-1.0641219277770033E-2</v>
      </c>
      <c r="E347" s="34">
        <v>4008.01</v>
      </c>
      <c r="F347" s="33">
        <f t="shared" si="11"/>
        <v>-3.9464299471406164E-3</v>
      </c>
      <c r="I347" s="37"/>
      <c r="J347" s="37"/>
    </row>
    <row r="348" spans="1:10" x14ac:dyDescent="0.35">
      <c r="A348" s="35">
        <v>44694</v>
      </c>
      <c r="B348">
        <v>145.66</v>
      </c>
      <c r="C348" s="33">
        <f t="shared" si="10"/>
        <v>3.1878719183904787E-2</v>
      </c>
      <c r="E348" s="34">
        <v>4023.89</v>
      </c>
      <c r="F348" s="33">
        <f t="shared" si="11"/>
        <v>2.386974310955501E-2</v>
      </c>
      <c r="I348" s="37"/>
      <c r="J348" s="37"/>
    </row>
    <row r="349" spans="1:10" x14ac:dyDescent="0.35">
      <c r="A349" s="35">
        <v>44693</v>
      </c>
      <c r="B349">
        <v>141.16</v>
      </c>
      <c r="C349" s="33">
        <f t="shared" si="10"/>
        <v>-2.688542671997798E-2</v>
      </c>
      <c r="E349" s="34">
        <v>3930.08</v>
      </c>
      <c r="F349" s="33">
        <f t="shared" si="11"/>
        <v>-1.2960017076728153E-3</v>
      </c>
      <c r="I349" s="37"/>
      <c r="J349" s="37"/>
    </row>
    <row r="350" spans="1:10" x14ac:dyDescent="0.35">
      <c r="A350" s="35">
        <v>44692</v>
      </c>
      <c r="B350">
        <v>145.06</v>
      </c>
      <c r="C350" s="33">
        <f t="shared" si="10"/>
        <v>-5.183345316687369E-2</v>
      </c>
      <c r="E350" s="34">
        <v>3935.18</v>
      </c>
      <c r="F350" s="33">
        <f t="shared" si="11"/>
        <v>-1.6463178415665972E-2</v>
      </c>
      <c r="I350" s="37"/>
      <c r="J350" s="37"/>
    </row>
    <row r="351" spans="1:10" x14ac:dyDescent="0.35">
      <c r="A351" s="35">
        <v>44691</v>
      </c>
      <c r="B351">
        <v>152.99</v>
      </c>
      <c r="C351" s="33">
        <f t="shared" si="10"/>
        <v>1.613974495217858E-2</v>
      </c>
      <c r="E351" s="34">
        <v>4001.05</v>
      </c>
      <c r="F351" s="33">
        <f t="shared" si="11"/>
        <v>2.4578827632516214E-3</v>
      </c>
      <c r="I351" s="37"/>
      <c r="J351" s="37"/>
    </row>
    <row r="352" spans="1:10" x14ac:dyDescent="0.35">
      <c r="A352" s="35">
        <v>44690</v>
      </c>
      <c r="B352">
        <v>150.56</v>
      </c>
      <c r="C352" s="33">
        <f t="shared" si="10"/>
        <v>-3.3198484556604305E-2</v>
      </c>
      <c r="E352" s="34">
        <v>3991.24</v>
      </c>
      <c r="F352" s="33">
        <f t="shared" si="11"/>
        <v>-3.2037134944001795E-2</v>
      </c>
      <c r="I352" s="37"/>
      <c r="J352" s="37"/>
    </row>
    <row r="353" spans="1:10" x14ac:dyDescent="0.35">
      <c r="A353" s="35">
        <v>44687</v>
      </c>
      <c r="B353">
        <v>155.72999999999999</v>
      </c>
      <c r="C353" s="33">
        <f t="shared" si="10"/>
        <v>4.7096774193547729E-3</v>
      </c>
      <c r="E353" s="34">
        <v>4123.34</v>
      </c>
      <c r="F353" s="33">
        <f t="shared" si="11"/>
        <v>-5.6741590645474167E-3</v>
      </c>
      <c r="I353" s="37"/>
      <c r="J353" s="37"/>
    </row>
    <row r="354" spans="1:10" x14ac:dyDescent="0.35">
      <c r="A354" s="35">
        <v>44686</v>
      </c>
      <c r="B354">
        <v>155</v>
      </c>
      <c r="C354" s="33">
        <f t="shared" si="10"/>
        <v>-5.5684172048251414E-2</v>
      </c>
      <c r="E354" s="34">
        <v>4146.87</v>
      </c>
      <c r="F354" s="33">
        <f t="shared" si="11"/>
        <v>-3.5649753381843084E-2</v>
      </c>
      <c r="I354" s="37"/>
      <c r="J354" s="37"/>
    </row>
    <row r="355" spans="1:10" x14ac:dyDescent="0.35">
      <c r="A355" s="35">
        <v>44685</v>
      </c>
      <c r="B355">
        <v>164.14</v>
      </c>
      <c r="C355" s="33">
        <f t="shared" si="10"/>
        <v>4.0969051243023712E-2</v>
      </c>
      <c r="E355" s="34">
        <v>4300.17</v>
      </c>
      <c r="F355" s="33">
        <f t="shared" si="11"/>
        <v>2.9862434977535643E-2</v>
      </c>
      <c r="I355" s="37"/>
      <c r="J355" s="37"/>
    </row>
    <row r="356" spans="1:10" x14ac:dyDescent="0.35">
      <c r="A356" s="35">
        <v>44684</v>
      </c>
      <c r="B356">
        <v>157.68</v>
      </c>
      <c r="C356" s="33">
        <f t="shared" si="10"/>
        <v>9.6043027276219734E-3</v>
      </c>
      <c r="E356" s="34">
        <v>4175.4799999999996</v>
      </c>
      <c r="F356" s="33">
        <f t="shared" si="11"/>
        <v>4.8371027439125793E-3</v>
      </c>
      <c r="I356" s="37"/>
      <c r="J356" s="37"/>
    </row>
    <row r="357" spans="1:10" x14ac:dyDescent="0.35">
      <c r="A357" s="35">
        <v>44683</v>
      </c>
      <c r="B357">
        <v>156.18</v>
      </c>
      <c r="C357" s="33">
        <f t="shared" si="10"/>
        <v>1.9888368512221868E-3</v>
      </c>
      <c r="E357" s="34">
        <v>4155.38</v>
      </c>
      <c r="F357" s="33">
        <f t="shared" si="11"/>
        <v>5.6753139574000086E-3</v>
      </c>
      <c r="I357" s="37"/>
      <c r="J357" s="37"/>
    </row>
    <row r="358" spans="1:10" x14ac:dyDescent="0.35">
      <c r="A358" s="35">
        <v>44680</v>
      </c>
      <c r="B358">
        <v>155.87</v>
      </c>
      <c r="C358" s="33">
        <f t="shared" si="10"/>
        <v>-3.6590642190493773E-2</v>
      </c>
      <c r="E358" s="34">
        <v>4131.93</v>
      </c>
      <c r="F358" s="33">
        <f t="shared" si="11"/>
        <v>-3.6284548104956203E-2</v>
      </c>
      <c r="I358" s="37"/>
      <c r="J358" s="37"/>
    </row>
    <row r="359" spans="1:10" x14ac:dyDescent="0.35">
      <c r="A359" s="35">
        <v>44679</v>
      </c>
      <c r="B359">
        <v>161.79</v>
      </c>
      <c r="C359" s="33">
        <f t="shared" si="10"/>
        <v>4.5155038759689792E-2</v>
      </c>
      <c r="E359" s="34">
        <v>4287.5</v>
      </c>
      <c r="F359" s="33">
        <f t="shared" si="11"/>
        <v>2.4746890505645359E-2</v>
      </c>
      <c r="I359" s="37"/>
      <c r="J359" s="37"/>
    </row>
    <row r="360" spans="1:10" x14ac:dyDescent="0.35">
      <c r="A360" s="35">
        <v>44678</v>
      </c>
      <c r="B360">
        <v>154.80000000000001</v>
      </c>
      <c r="C360" s="33">
        <f t="shared" si="10"/>
        <v>-1.4835838224859044E-3</v>
      </c>
      <c r="E360" s="34">
        <v>4183.96</v>
      </c>
      <c r="F360" s="33">
        <f t="shared" si="11"/>
        <v>2.0981030848822137E-3</v>
      </c>
      <c r="I360" s="37"/>
      <c r="J360" s="37"/>
    </row>
    <row r="361" spans="1:10" x14ac:dyDescent="0.35">
      <c r="A361" s="35">
        <v>44677</v>
      </c>
      <c r="B361">
        <v>155.03</v>
      </c>
      <c r="C361" s="33">
        <f t="shared" si="10"/>
        <v>-3.7319920516641771E-2</v>
      </c>
      <c r="E361" s="34">
        <v>4175.2</v>
      </c>
      <c r="F361" s="33">
        <f t="shared" si="11"/>
        <v>-2.8146327383778869E-2</v>
      </c>
      <c r="I361" s="37"/>
      <c r="J361" s="37"/>
    </row>
    <row r="362" spans="1:10" x14ac:dyDescent="0.35">
      <c r="A362" s="35">
        <v>44676</v>
      </c>
      <c r="B362">
        <v>161.04</v>
      </c>
      <c r="C362" s="33">
        <f t="shared" si="10"/>
        <v>6.7516879219803949E-3</v>
      </c>
      <c r="E362" s="34">
        <v>4296.12</v>
      </c>
      <c r="F362" s="33">
        <f t="shared" si="11"/>
        <v>5.6978589721381123E-3</v>
      </c>
      <c r="I362" s="37"/>
      <c r="J362" s="37"/>
    </row>
    <row r="363" spans="1:10" x14ac:dyDescent="0.35">
      <c r="A363" s="35">
        <v>44673</v>
      </c>
      <c r="B363">
        <v>159.96</v>
      </c>
      <c r="C363" s="33">
        <f t="shared" si="10"/>
        <v>-2.7835176856691287E-2</v>
      </c>
      <c r="E363" s="34">
        <v>4271.78</v>
      </c>
      <c r="F363" s="33">
        <f t="shared" si="11"/>
        <v>-2.7739970776072823E-2</v>
      </c>
      <c r="I363" s="37"/>
      <c r="J363" s="37"/>
    </row>
    <row r="364" spans="1:10" x14ac:dyDescent="0.35">
      <c r="A364" s="35">
        <v>44672</v>
      </c>
      <c r="B364">
        <v>164.54</v>
      </c>
      <c r="C364" s="33">
        <f t="shared" si="10"/>
        <v>-4.8385145760252287E-3</v>
      </c>
      <c r="E364" s="34">
        <v>4393.66</v>
      </c>
      <c r="F364" s="33">
        <f t="shared" si="11"/>
        <v>-1.4752940385025051E-2</v>
      </c>
      <c r="I364" s="37"/>
      <c r="J364" s="37"/>
    </row>
    <row r="365" spans="1:10" x14ac:dyDescent="0.35">
      <c r="A365" s="35">
        <v>44671</v>
      </c>
      <c r="B365">
        <v>165.34</v>
      </c>
      <c r="C365" s="33">
        <f t="shared" si="10"/>
        <v>-1.027128270195079E-3</v>
      </c>
      <c r="E365" s="34">
        <v>4459.45</v>
      </c>
      <c r="F365" s="33">
        <f t="shared" si="11"/>
        <v>-6.1852759058856894E-4</v>
      </c>
      <c r="I365" s="37"/>
      <c r="J365" s="37"/>
    </row>
    <row r="366" spans="1:10" x14ac:dyDescent="0.35">
      <c r="A366" s="35">
        <v>44670</v>
      </c>
      <c r="B366">
        <v>165.51</v>
      </c>
      <c r="C366" s="33">
        <f t="shared" si="10"/>
        <v>1.4154411764705898E-2</v>
      </c>
      <c r="E366" s="34">
        <v>4462.21</v>
      </c>
      <c r="F366" s="33">
        <f t="shared" si="11"/>
        <v>1.605759969396757E-2</v>
      </c>
      <c r="I366" s="37"/>
      <c r="J366" s="37"/>
    </row>
    <row r="367" spans="1:10" x14ac:dyDescent="0.35">
      <c r="A367" s="35">
        <v>44669</v>
      </c>
      <c r="B367">
        <v>163.19999999999999</v>
      </c>
      <c r="C367" s="33">
        <f t="shared" si="10"/>
        <v>-1.3462244523314091E-3</v>
      </c>
      <c r="E367" s="34">
        <v>4391.6899999999996</v>
      </c>
      <c r="F367" s="33">
        <f t="shared" si="11"/>
        <v>-2.0489050878878877E-4</v>
      </c>
      <c r="I367" s="37"/>
      <c r="J367" s="37"/>
    </row>
    <row r="368" spans="1:10" x14ac:dyDescent="0.35">
      <c r="A368" s="35">
        <v>44665</v>
      </c>
      <c r="B368">
        <v>163.41999999999999</v>
      </c>
      <c r="C368" s="33">
        <f t="shared" si="10"/>
        <v>-2.9975663322846867E-2</v>
      </c>
      <c r="E368" s="34">
        <v>4392.59</v>
      </c>
      <c r="F368" s="33">
        <f t="shared" si="11"/>
        <v>-1.2144137417661623E-2</v>
      </c>
      <c r="I368" s="37"/>
      <c r="J368" s="37"/>
    </row>
    <row r="369" spans="1:10" x14ac:dyDescent="0.35">
      <c r="A369" s="35">
        <v>44664</v>
      </c>
      <c r="B369">
        <v>168.47</v>
      </c>
      <c r="C369" s="33">
        <f t="shared" si="10"/>
        <v>1.6287627435603476E-2</v>
      </c>
      <c r="E369" s="34">
        <v>4446.59</v>
      </c>
      <c r="F369" s="33">
        <f t="shared" si="11"/>
        <v>1.1174658040455339E-2</v>
      </c>
      <c r="I369" s="37"/>
      <c r="J369" s="37"/>
    </row>
    <row r="370" spans="1:10" x14ac:dyDescent="0.35">
      <c r="A370" s="35">
        <v>44663</v>
      </c>
      <c r="B370">
        <v>165.77</v>
      </c>
      <c r="C370" s="33">
        <f t="shared" si="10"/>
        <v>1.1532828899194623E-2</v>
      </c>
      <c r="E370" s="34">
        <v>4397.45</v>
      </c>
      <c r="F370" s="33">
        <f t="shared" si="11"/>
        <v>-3.4175405039738945E-3</v>
      </c>
      <c r="I370" s="37"/>
      <c r="J370" s="37"/>
    </row>
    <row r="371" spans="1:10" x14ac:dyDescent="0.35">
      <c r="A371" s="35">
        <v>44662</v>
      </c>
      <c r="B371">
        <v>163.88</v>
      </c>
      <c r="C371" s="33">
        <f t="shared" si="10"/>
        <v>-2.5509900695724518E-2</v>
      </c>
      <c r="E371" s="34">
        <v>4412.53</v>
      </c>
      <c r="F371" s="33">
        <f t="shared" si="11"/>
        <v>-1.687728929567674E-2</v>
      </c>
      <c r="I371" s="37"/>
      <c r="J371" s="37"/>
    </row>
    <row r="372" spans="1:10" x14ac:dyDescent="0.35">
      <c r="A372" s="35">
        <v>44659</v>
      </c>
      <c r="B372">
        <v>168.17</v>
      </c>
      <c r="C372" s="33">
        <f t="shared" si="10"/>
        <v>-1.1927144535840196E-2</v>
      </c>
      <c r="E372" s="34">
        <v>4488.28</v>
      </c>
      <c r="F372" s="33">
        <f t="shared" si="11"/>
        <v>-2.6509873983659189E-3</v>
      </c>
      <c r="I372" s="37"/>
      <c r="J372" s="37"/>
    </row>
    <row r="373" spans="1:10" x14ac:dyDescent="0.35">
      <c r="A373" s="35">
        <v>44658</v>
      </c>
      <c r="B373">
        <v>170.2</v>
      </c>
      <c r="C373" s="33">
        <f t="shared" si="10"/>
        <v>1.8247101065395391E-3</v>
      </c>
      <c r="E373" s="34">
        <v>4500.21</v>
      </c>
      <c r="F373" s="33">
        <f t="shared" si="11"/>
        <v>4.253372460194459E-3</v>
      </c>
      <c r="I373" s="37"/>
      <c r="J373" s="37"/>
    </row>
    <row r="374" spans="1:10" x14ac:dyDescent="0.35">
      <c r="A374" s="35">
        <v>44657</v>
      </c>
      <c r="B374">
        <v>169.89</v>
      </c>
      <c r="C374" s="33">
        <f t="shared" si="10"/>
        <v>-1.8430783452738769E-2</v>
      </c>
      <c r="E374" s="34">
        <v>4481.1499999999996</v>
      </c>
      <c r="F374" s="33">
        <f t="shared" si="11"/>
        <v>-9.7168693868892441E-3</v>
      </c>
      <c r="I374" s="37"/>
      <c r="J374" s="37"/>
    </row>
    <row r="375" spans="1:10" x14ac:dyDescent="0.35">
      <c r="A375" s="35">
        <v>44656</v>
      </c>
      <c r="B375">
        <v>173.08</v>
      </c>
      <c r="C375" s="33">
        <f t="shared" si="10"/>
        <v>-1.8932093866908372E-2</v>
      </c>
      <c r="E375" s="34">
        <v>4525.12</v>
      </c>
      <c r="F375" s="33">
        <f t="shared" si="11"/>
        <v>-1.2551716914267853E-2</v>
      </c>
      <c r="I375" s="37"/>
      <c r="J375" s="37"/>
    </row>
    <row r="376" spans="1:10" x14ac:dyDescent="0.35">
      <c r="A376" s="35">
        <v>44655</v>
      </c>
      <c r="B376">
        <v>176.42</v>
      </c>
      <c r="C376" s="33">
        <f t="shared" si="10"/>
        <v>2.3674132528722202E-2</v>
      </c>
      <c r="E376" s="34">
        <v>4582.6400000000003</v>
      </c>
      <c r="F376" s="33">
        <f t="shared" si="11"/>
        <v>8.0908782936563502E-3</v>
      </c>
      <c r="I376" s="37"/>
      <c r="J376" s="37"/>
    </row>
    <row r="377" spans="1:10" x14ac:dyDescent="0.35">
      <c r="A377" s="35">
        <v>44652</v>
      </c>
      <c r="B377">
        <v>172.34</v>
      </c>
      <c r="C377" s="33">
        <f t="shared" si="10"/>
        <v>-1.7377201112139884E-3</v>
      </c>
      <c r="E377" s="34">
        <v>4545.8599999999997</v>
      </c>
      <c r="F377" s="33">
        <f t="shared" si="11"/>
        <v>3.4102873691343209E-3</v>
      </c>
      <c r="I377" s="37"/>
      <c r="J377" s="37"/>
    </row>
    <row r="378" spans="1:10" x14ac:dyDescent="0.35">
      <c r="A378" s="35">
        <v>44651</v>
      </c>
      <c r="B378">
        <v>172.64</v>
      </c>
      <c r="C378" s="33">
        <f t="shared" si="10"/>
        <v>-1.7751479289940857E-2</v>
      </c>
      <c r="E378" s="34">
        <v>4530.41</v>
      </c>
      <c r="F378" s="33">
        <f t="shared" si="11"/>
        <v>-1.565253289009114E-2</v>
      </c>
      <c r="I378" s="37"/>
      <c r="J378" s="37"/>
    </row>
    <row r="379" spans="1:10" x14ac:dyDescent="0.35">
      <c r="A379" s="35">
        <v>44650</v>
      </c>
      <c r="B379">
        <v>175.76</v>
      </c>
      <c r="C379" s="33">
        <f t="shared" si="10"/>
        <v>-6.6689273199955169E-3</v>
      </c>
      <c r="E379" s="34">
        <v>4602.45</v>
      </c>
      <c r="F379" s="33">
        <f t="shared" si="11"/>
        <v>-6.2937213921756075E-3</v>
      </c>
      <c r="I379" s="37"/>
      <c r="J379" s="37"/>
    </row>
    <row r="380" spans="1:10" x14ac:dyDescent="0.35">
      <c r="A380" s="35">
        <v>44649</v>
      </c>
      <c r="B380">
        <v>176.94</v>
      </c>
      <c r="C380" s="33">
        <f t="shared" si="10"/>
        <v>1.9122220942287715E-2</v>
      </c>
      <c r="E380" s="34">
        <v>4631.6000000000004</v>
      </c>
      <c r="F380" s="33">
        <f t="shared" si="11"/>
        <v>1.2256530405287252E-2</v>
      </c>
      <c r="I380" s="37"/>
      <c r="J380" s="37"/>
    </row>
    <row r="381" spans="1:10" x14ac:dyDescent="0.35">
      <c r="A381" s="35">
        <v>44648</v>
      </c>
      <c r="B381">
        <v>173.62</v>
      </c>
      <c r="C381" s="33">
        <f t="shared" si="10"/>
        <v>5.0361794500723856E-3</v>
      </c>
      <c r="E381" s="34">
        <v>4575.5200000000004</v>
      </c>
      <c r="F381" s="33">
        <f t="shared" si="11"/>
        <v>7.144963967017832E-3</v>
      </c>
      <c r="I381" s="37"/>
      <c r="J381" s="37"/>
    </row>
    <row r="382" spans="1:10" x14ac:dyDescent="0.35">
      <c r="A382" s="35">
        <v>44645</v>
      </c>
      <c r="B382">
        <v>172.75</v>
      </c>
      <c r="C382" s="33">
        <f t="shared" si="10"/>
        <v>3.7768739105171743E-3</v>
      </c>
      <c r="E382" s="34">
        <v>4543.0600000000004</v>
      </c>
      <c r="F382" s="33">
        <f t="shared" si="11"/>
        <v>5.0661923471736724E-3</v>
      </c>
      <c r="I382" s="37"/>
      <c r="J382" s="37"/>
    </row>
    <row r="383" spans="1:10" x14ac:dyDescent="0.35">
      <c r="A383" s="35">
        <v>44644</v>
      </c>
      <c r="B383">
        <v>172.1</v>
      </c>
      <c r="C383" s="33">
        <f t="shared" si="10"/>
        <v>2.263949135421001E-2</v>
      </c>
      <c r="E383" s="34">
        <v>4520.16</v>
      </c>
      <c r="F383" s="33">
        <f t="shared" si="11"/>
        <v>1.4343931206577759E-2</v>
      </c>
      <c r="I383" s="37"/>
      <c r="J383" s="37"/>
    </row>
    <row r="384" spans="1:10" x14ac:dyDescent="0.35">
      <c r="A384" s="35">
        <v>44643</v>
      </c>
      <c r="B384">
        <v>168.29</v>
      </c>
      <c r="C384" s="33">
        <f t="shared" si="10"/>
        <v>8.2679288239170534E-3</v>
      </c>
      <c r="E384" s="34">
        <v>4456.24</v>
      </c>
      <c r="F384" s="33">
        <f t="shared" si="11"/>
        <v>-1.2272780670315009E-2</v>
      </c>
      <c r="I384" s="37"/>
      <c r="J384" s="37"/>
    </row>
    <row r="385" spans="1:10" x14ac:dyDescent="0.35">
      <c r="A385" s="35">
        <v>44642</v>
      </c>
      <c r="B385">
        <v>166.91</v>
      </c>
      <c r="C385" s="33">
        <f t="shared" si="10"/>
        <v>2.0793835239434934E-2</v>
      </c>
      <c r="E385" s="34">
        <v>4511.6099999999997</v>
      </c>
      <c r="F385" s="33">
        <f t="shared" si="11"/>
        <v>1.1304184094790925E-2</v>
      </c>
      <c r="I385" s="37"/>
      <c r="J385" s="37"/>
    </row>
    <row r="386" spans="1:10" x14ac:dyDescent="0.35">
      <c r="A386" s="35">
        <v>44641</v>
      </c>
      <c r="B386">
        <v>163.51</v>
      </c>
      <c r="C386" s="33">
        <f t="shared" ref="C386:C449" si="12">(B386-B387)/B387</f>
        <v>8.5116881514833501E-3</v>
      </c>
      <c r="E386" s="34">
        <v>4461.18</v>
      </c>
      <c r="F386" s="33">
        <f t="shared" ref="F386:F449" si="13">(E386-E387)/E387</f>
        <v>-4.3467350194473816E-4</v>
      </c>
      <c r="I386" s="37"/>
      <c r="J386" s="37"/>
    </row>
    <row r="387" spans="1:10" x14ac:dyDescent="0.35">
      <c r="A387" s="35">
        <v>44638</v>
      </c>
      <c r="B387">
        <v>162.13</v>
      </c>
      <c r="C387" s="33">
        <f t="shared" si="12"/>
        <v>2.0905484541275696E-2</v>
      </c>
      <c r="E387" s="34">
        <v>4463.12</v>
      </c>
      <c r="F387" s="33">
        <f t="shared" si="13"/>
        <v>1.1662250349640798E-2</v>
      </c>
      <c r="I387" s="37"/>
      <c r="J387" s="37"/>
    </row>
    <row r="388" spans="1:10" x14ac:dyDescent="0.35">
      <c r="A388" s="35">
        <v>44637</v>
      </c>
      <c r="B388">
        <v>158.81</v>
      </c>
      <c r="C388" s="33">
        <f t="shared" si="12"/>
        <v>6.4642879776919343E-3</v>
      </c>
      <c r="E388" s="34">
        <v>4411.67</v>
      </c>
      <c r="F388" s="33">
        <f t="shared" si="13"/>
        <v>1.2347803738532307E-2</v>
      </c>
      <c r="I388" s="37"/>
      <c r="J388" s="37"/>
    </row>
    <row r="389" spans="1:10" x14ac:dyDescent="0.35">
      <c r="A389" s="35">
        <v>44636</v>
      </c>
      <c r="B389">
        <v>157.79</v>
      </c>
      <c r="C389" s="33">
        <f t="shared" si="12"/>
        <v>2.9020477370549032E-2</v>
      </c>
      <c r="E389" s="34">
        <v>4357.8599999999997</v>
      </c>
      <c r="F389" s="33">
        <f t="shared" si="13"/>
        <v>2.2383840279651342E-2</v>
      </c>
      <c r="I389" s="37"/>
      <c r="J389" s="37"/>
    </row>
    <row r="390" spans="1:10" x14ac:dyDescent="0.35">
      <c r="A390" s="35">
        <v>44635</v>
      </c>
      <c r="B390">
        <v>153.34</v>
      </c>
      <c r="C390" s="33">
        <f t="shared" si="12"/>
        <v>2.9680365296803762E-2</v>
      </c>
      <c r="E390" s="34">
        <v>4262.45</v>
      </c>
      <c r="F390" s="33">
        <f t="shared" si="13"/>
        <v>2.1408493905025305E-2</v>
      </c>
      <c r="I390" s="37"/>
      <c r="J390" s="37"/>
    </row>
    <row r="391" spans="1:10" x14ac:dyDescent="0.35">
      <c r="A391" s="35">
        <v>44634</v>
      </c>
      <c r="B391">
        <v>148.91999999999999</v>
      </c>
      <c r="C391" s="33">
        <f t="shared" si="12"/>
        <v>-2.65394169172441E-2</v>
      </c>
      <c r="E391" s="34">
        <v>4173.1099999999997</v>
      </c>
      <c r="F391" s="33">
        <f t="shared" si="13"/>
        <v>-7.4209561140831017E-3</v>
      </c>
      <c r="I391" s="37"/>
      <c r="J391" s="37"/>
    </row>
    <row r="392" spans="1:10" x14ac:dyDescent="0.35">
      <c r="A392" s="35">
        <v>44631</v>
      </c>
      <c r="B392">
        <v>152.97999999999999</v>
      </c>
      <c r="C392" s="33">
        <f t="shared" si="12"/>
        <v>-2.3926497798762204E-2</v>
      </c>
      <c r="E392" s="34">
        <v>4204.3100000000004</v>
      </c>
      <c r="F392" s="33">
        <f t="shared" si="13"/>
        <v>-1.296155435354219E-2</v>
      </c>
      <c r="I392" s="37"/>
      <c r="J392" s="37"/>
    </row>
    <row r="393" spans="1:10" x14ac:dyDescent="0.35">
      <c r="A393" s="35">
        <v>44630</v>
      </c>
      <c r="B393">
        <v>156.72999999999999</v>
      </c>
      <c r="C393" s="33">
        <f t="shared" si="12"/>
        <v>-2.7186394388926966E-2</v>
      </c>
      <c r="E393" s="34">
        <v>4259.5200000000004</v>
      </c>
      <c r="F393" s="33">
        <f t="shared" si="13"/>
        <v>-4.2918454935621554E-3</v>
      </c>
      <c r="I393" s="37"/>
      <c r="J393" s="37"/>
    </row>
    <row r="394" spans="1:10" x14ac:dyDescent="0.35">
      <c r="A394" s="35">
        <v>44629</v>
      </c>
      <c r="B394">
        <v>161.11000000000001</v>
      </c>
      <c r="C394" s="33">
        <f t="shared" si="12"/>
        <v>3.5012206090196694E-2</v>
      </c>
      <c r="E394" s="34">
        <v>4277.88</v>
      </c>
      <c r="F394" s="33">
        <f t="shared" si="13"/>
        <v>2.5698324022346439E-2</v>
      </c>
      <c r="I394" s="37"/>
      <c r="J394" s="37"/>
    </row>
    <row r="395" spans="1:10" x14ac:dyDescent="0.35">
      <c r="A395" s="35">
        <v>44628</v>
      </c>
      <c r="B395">
        <v>155.66</v>
      </c>
      <c r="C395" s="33">
        <f t="shared" si="12"/>
        <v>-1.1682539682539704E-2</v>
      </c>
      <c r="E395" s="34">
        <v>4170.7</v>
      </c>
      <c r="F395" s="33">
        <f t="shared" si="13"/>
        <v>-7.2338369327960899E-3</v>
      </c>
      <c r="I395" s="37"/>
      <c r="J395" s="37"/>
    </row>
    <row r="396" spans="1:10" x14ac:dyDescent="0.35">
      <c r="A396" s="35">
        <v>44627</v>
      </c>
      <c r="B396">
        <v>157.5</v>
      </c>
      <c r="C396" s="33">
        <f t="shared" si="12"/>
        <v>-2.3740159920659594E-2</v>
      </c>
      <c r="E396" s="34">
        <v>4201.09</v>
      </c>
      <c r="F396" s="33">
        <f t="shared" si="13"/>
        <v>-2.9518095946517161E-2</v>
      </c>
      <c r="I396" s="37"/>
      <c r="J396" s="37"/>
    </row>
    <row r="397" spans="1:10" x14ac:dyDescent="0.35">
      <c r="A397" s="35">
        <v>44624</v>
      </c>
      <c r="B397">
        <v>161.33000000000001</v>
      </c>
      <c r="C397" s="33">
        <f t="shared" si="12"/>
        <v>-1.8375418314572449E-2</v>
      </c>
      <c r="E397" s="34">
        <v>4328.87</v>
      </c>
      <c r="F397" s="33">
        <f t="shared" si="13"/>
        <v>-7.9340161201240048E-3</v>
      </c>
      <c r="I397" s="37"/>
      <c r="J397" s="37"/>
    </row>
    <row r="398" spans="1:10" x14ac:dyDescent="0.35">
      <c r="A398" s="35">
        <v>44623</v>
      </c>
      <c r="B398">
        <v>164.35</v>
      </c>
      <c r="C398" s="33">
        <f t="shared" si="12"/>
        <v>-2.0038863249940034E-3</v>
      </c>
      <c r="E398" s="34">
        <v>4363.49</v>
      </c>
      <c r="F398" s="33">
        <f t="shared" si="13"/>
        <v>-5.2547110022934211E-3</v>
      </c>
      <c r="I398" s="37"/>
      <c r="J398" s="37"/>
    </row>
    <row r="399" spans="1:10" x14ac:dyDescent="0.35">
      <c r="A399" s="35">
        <v>44622</v>
      </c>
      <c r="B399">
        <v>164.68</v>
      </c>
      <c r="C399" s="33">
        <f t="shared" si="12"/>
        <v>2.0575111551809574E-2</v>
      </c>
      <c r="E399" s="34">
        <v>4386.54</v>
      </c>
      <c r="F399" s="33">
        <f t="shared" si="13"/>
        <v>1.864262724498747E-2</v>
      </c>
      <c r="I399" s="37"/>
      <c r="J399" s="37"/>
    </row>
    <row r="400" spans="1:10" x14ac:dyDescent="0.35">
      <c r="A400" s="35">
        <v>44621</v>
      </c>
      <c r="B400">
        <v>161.36000000000001</v>
      </c>
      <c r="C400" s="33">
        <f t="shared" si="12"/>
        <v>-1.1577335375191341E-2</v>
      </c>
      <c r="E400" s="34">
        <v>4306.26</v>
      </c>
      <c r="F400" s="33">
        <f t="shared" si="13"/>
        <v>-1.5473463284818582E-2</v>
      </c>
      <c r="I400" s="37"/>
      <c r="J400" s="37"/>
    </row>
    <row r="401" spans="1:10" x14ac:dyDescent="0.35">
      <c r="A401" s="35">
        <v>44620</v>
      </c>
      <c r="B401">
        <v>163.25</v>
      </c>
      <c r="C401" s="33">
        <f t="shared" si="12"/>
        <v>1.5951898889501864E-3</v>
      </c>
      <c r="E401" s="34">
        <v>4373.9399999999996</v>
      </c>
      <c r="F401" s="33">
        <f t="shared" si="13"/>
        <v>-2.4426122951660993E-3</v>
      </c>
      <c r="I401" s="37"/>
      <c r="J401" s="37"/>
    </row>
    <row r="402" spans="1:10" x14ac:dyDescent="0.35">
      <c r="A402" s="35">
        <v>44617</v>
      </c>
      <c r="B402">
        <v>162.99</v>
      </c>
      <c r="C402" s="33">
        <f t="shared" si="12"/>
        <v>1.2989434431323825E-2</v>
      </c>
      <c r="E402" s="34">
        <v>4384.6499999999996</v>
      </c>
      <c r="F402" s="33">
        <f t="shared" si="13"/>
        <v>2.2372746986266193E-2</v>
      </c>
      <c r="I402" s="37"/>
      <c r="J402" s="37"/>
    </row>
    <row r="403" spans="1:10" x14ac:dyDescent="0.35">
      <c r="A403" s="35">
        <v>44616</v>
      </c>
      <c r="B403">
        <v>160.9</v>
      </c>
      <c r="C403" s="33">
        <f t="shared" si="12"/>
        <v>1.668141033741953E-2</v>
      </c>
      <c r="E403" s="34">
        <v>4288.7</v>
      </c>
      <c r="F403" s="33">
        <f t="shared" si="13"/>
        <v>1.4956809844988716E-2</v>
      </c>
      <c r="I403" s="37"/>
      <c r="J403" s="37"/>
    </row>
    <row r="404" spans="1:10" x14ac:dyDescent="0.35">
      <c r="A404" s="35">
        <v>44615</v>
      </c>
      <c r="B404">
        <v>158.26</v>
      </c>
      <c r="C404" s="33">
        <f t="shared" si="12"/>
        <v>-2.5852517542779865E-2</v>
      </c>
      <c r="E404" s="34">
        <v>4225.5</v>
      </c>
      <c r="F404" s="33">
        <f t="shared" si="13"/>
        <v>-1.8412176288573629E-2</v>
      </c>
      <c r="I404" s="37"/>
      <c r="J404" s="37"/>
    </row>
    <row r="405" spans="1:10" x14ac:dyDescent="0.35">
      <c r="A405" s="35">
        <v>44614</v>
      </c>
      <c r="B405">
        <v>162.46</v>
      </c>
      <c r="C405" s="33">
        <f t="shared" si="12"/>
        <v>-1.783447191826364E-2</v>
      </c>
      <c r="E405" s="34">
        <v>4304.76</v>
      </c>
      <c r="F405" s="33">
        <f t="shared" si="13"/>
        <v>-1.0142864698185891E-2</v>
      </c>
      <c r="I405" s="37"/>
      <c r="J405" s="37"/>
    </row>
    <row r="406" spans="1:10" x14ac:dyDescent="0.35">
      <c r="A406" s="35">
        <v>44610</v>
      </c>
      <c r="B406">
        <v>165.41</v>
      </c>
      <c r="C406" s="33">
        <f t="shared" si="12"/>
        <v>-9.3429957477391291E-3</v>
      </c>
      <c r="E406" s="34">
        <v>4348.87</v>
      </c>
      <c r="F406" s="33">
        <f t="shared" si="13"/>
        <v>-7.1662412733491448E-3</v>
      </c>
      <c r="I406" s="37"/>
      <c r="J406" s="37"/>
    </row>
    <row r="407" spans="1:10" x14ac:dyDescent="0.35">
      <c r="A407" s="35">
        <v>44609</v>
      </c>
      <c r="B407">
        <v>166.97</v>
      </c>
      <c r="C407" s="33">
        <f t="shared" si="12"/>
        <v>-2.1277842907385672E-2</v>
      </c>
      <c r="E407" s="34">
        <v>4380.26</v>
      </c>
      <c r="F407" s="33">
        <f t="shared" si="13"/>
        <v>-2.1173137043269175E-2</v>
      </c>
      <c r="I407" s="37"/>
      <c r="J407" s="37"/>
    </row>
    <row r="408" spans="1:10" x14ac:dyDescent="0.35">
      <c r="A408" s="35">
        <v>44608</v>
      </c>
      <c r="B408">
        <v>170.6</v>
      </c>
      <c r="C408" s="33">
        <f t="shared" si="12"/>
        <v>-1.4048232264107299E-3</v>
      </c>
      <c r="E408" s="34">
        <v>4475.01</v>
      </c>
      <c r="F408" s="33">
        <f t="shared" si="13"/>
        <v>8.812208263347497E-4</v>
      </c>
      <c r="I408" s="37"/>
      <c r="J408" s="37"/>
    </row>
    <row r="409" spans="1:10" x14ac:dyDescent="0.35">
      <c r="A409" s="35">
        <v>44607</v>
      </c>
      <c r="B409">
        <v>170.84</v>
      </c>
      <c r="C409" s="33">
        <f t="shared" si="12"/>
        <v>2.3177816374198985E-2</v>
      </c>
      <c r="E409" s="34">
        <v>4471.07</v>
      </c>
      <c r="F409" s="33">
        <f t="shared" si="13"/>
        <v>1.5766743077059307E-2</v>
      </c>
      <c r="I409" s="37"/>
      <c r="J409" s="37"/>
    </row>
    <row r="410" spans="1:10" x14ac:dyDescent="0.35">
      <c r="A410" s="35">
        <v>44606</v>
      </c>
      <c r="B410">
        <v>166.97</v>
      </c>
      <c r="C410" s="33">
        <f t="shared" si="12"/>
        <v>1.439453007857069E-3</v>
      </c>
      <c r="E410" s="34">
        <v>4401.67</v>
      </c>
      <c r="F410" s="33">
        <f t="shared" si="13"/>
        <v>-3.8405482229826944E-3</v>
      </c>
      <c r="I410" s="37"/>
      <c r="J410" s="37"/>
    </row>
    <row r="411" spans="1:10" x14ac:dyDescent="0.35">
      <c r="A411" s="35">
        <v>44603</v>
      </c>
      <c r="B411">
        <v>166.73</v>
      </c>
      <c r="C411" s="33">
        <f t="shared" si="12"/>
        <v>-2.0272652485603577E-2</v>
      </c>
      <c r="E411" s="34">
        <v>4418.6400000000003</v>
      </c>
      <c r="F411" s="33">
        <f t="shared" si="13"/>
        <v>-1.8969467682634324E-2</v>
      </c>
      <c r="I411" s="37"/>
      <c r="J411" s="37"/>
    </row>
    <row r="412" spans="1:10" x14ac:dyDescent="0.35">
      <c r="A412" s="35">
        <v>44602</v>
      </c>
      <c r="B412">
        <v>170.18</v>
      </c>
      <c r="C412" s="33">
        <f t="shared" si="12"/>
        <v>-2.3581387342934107E-2</v>
      </c>
      <c r="E412" s="34">
        <v>4504.08</v>
      </c>
      <c r="F412" s="33">
        <f t="shared" si="13"/>
        <v>-1.8115705073705492E-2</v>
      </c>
      <c r="I412" s="37"/>
      <c r="J412" s="37"/>
    </row>
    <row r="413" spans="1:10" x14ac:dyDescent="0.35">
      <c r="A413" s="35">
        <v>44601</v>
      </c>
      <c r="B413">
        <v>174.29</v>
      </c>
      <c r="C413" s="33">
        <f t="shared" si="12"/>
        <v>8.3309227654035159E-3</v>
      </c>
      <c r="E413" s="34">
        <v>4587.18</v>
      </c>
      <c r="F413" s="33">
        <f t="shared" si="13"/>
        <v>1.4517177775713657E-2</v>
      </c>
      <c r="I413" s="37"/>
      <c r="J413" s="37"/>
    </row>
    <row r="414" spans="1:10" x14ac:dyDescent="0.35">
      <c r="A414" s="35">
        <v>44600</v>
      </c>
      <c r="B414">
        <v>172.85</v>
      </c>
      <c r="C414" s="33">
        <f t="shared" si="12"/>
        <v>1.8442139995286329E-2</v>
      </c>
      <c r="E414" s="34">
        <v>4521.54</v>
      </c>
      <c r="F414" s="33">
        <f t="shared" si="13"/>
        <v>8.4012248347967427E-3</v>
      </c>
      <c r="I414" s="37"/>
      <c r="J414" s="37"/>
    </row>
    <row r="415" spans="1:10" x14ac:dyDescent="0.35">
      <c r="A415" s="35">
        <v>44599</v>
      </c>
      <c r="B415">
        <v>169.72</v>
      </c>
      <c r="C415" s="33">
        <f t="shared" si="12"/>
        <v>-4.2243604787608477E-3</v>
      </c>
      <c r="E415" s="34">
        <v>4483.87</v>
      </c>
      <c r="F415" s="33">
        <f t="shared" si="13"/>
        <v>-3.7017862340657333E-3</v>
      </c>
      <c r="I415" s="37"/>
      <c r="J415" s="37"/>
    </row>
    <row r="416" spans="1:10" x14ac:dyDescent="0.35">
      <c r="A416" s="35">
        <v>44596</v>
      </c>
      <c r="B416">
        <v>170.44</v>
      </c>
      <c r="C416" s="33">
        <f t="shared" si="12"/>
        <v>-1.6985884144555265E-3</v>
      </c>
      <c r="E416" s="34">
        <v>4500.53</v>
      </c>
      <c r="F416" s="33">
        <f t="shared" si="13"/>
        <v>5.1569646941109536E-3</v>
      </c>
      <c r="I416" s="37"/>
      <c r="J416" s="37"/>
    </row>
    <row r="417" spans="1:10" x14ac:dyDescent="0.35">
      <c r="A417" s="35">
        <v>44595</v>
      </c>
      <c r="B417">
        <v>170.73</v>
      </c>
      <c r="C417" s="33">
        <f t="shared" si="12"/>
        <v>-1.670218280251112E-2</v>
      </c>
      <c r="E417" s="34">
        <v>4477.4399999999996</v>
      </c>
      <c r="F417" s="33">
        <f t="shared" si="13"/>
        <v>-2.4391094221877574E-2</v>
      </c>
      <c r="I417" s="37"/>
      <c r="J417" s="37"/>
    </row>
    <row r="418" spans="1:10" x14ac:dyDescent="0.35">
      <c r="A418" s="35">
        <v>44594</v>
      </c>
      <c r="B418">
        <v>173.63</v>
      </c>
      <c r="C418" s="33">
        <f t="shared" si="12"/>
        <v>7.0177473610950475E-3</v>
      </c>
      <c r="E418" s="34">
        <v>4589.38</v>
      </c>
      <c r="F418" s="33">
        <f t="shared" si="13"/>
        <v>9.4225498950850865E-3</v>
      </c>
      <c r="I418" s="37"/>
      <c r="J418" s="37"/>
    </row>
    <row r="419" spans="1:10" x14ac:dyDescent="0.35">
      <c r="A419" s="35">
        <v>44593</v>
      </c>
      <c r="B419">
        <v>172.42</v>
      </c>
      <c r="C419" s="33">
        <f t="shared" si="12"/>
        <v>-9.8499333680987251E-4</v>
      </c>
      <c r="E419" s="34">
        <v>4546.54</v>
      </c>
      <c r="F419" s="33">
        <f t="shared" si="13"/>
        <v>6.8629513569775065E-3</v>
      </c>
      <c r="I419" s="37"/>
      <c r="J419" s="37"/>
    </row>
    <row r="420" spans="1:10" x14ac:dyDescent="0.35">
      <c r="A420" s="35">
        <v>44592</v>
      </c>
      <c r="B420">
        <v>172.59</v>
      </c>
      <c r="C420" s="33">
        <f t="shared" si="12"/>
        <v>2.6160889470242022E-2</v>
      </c>
      <c r="E420" s="34">
        <v>4515.55</v>
      </c>
      <c r="F420" s="33">
        <f t="shared" si="13"/>
        <v>1.8886018254227876E-2</v>
      </c>
      <c r="I420" s="37"/>
      <c r="J420" s="37"/>
    </row>
    <row r="421" spans="1:10" x14ac:dyDescent="0.35">
      <c r="A421" s="35">
        <v>44589</v>
      </c>
      <c r="B421">
        <v>168.19</v>
      </c>
      <c r="C421" s="33">
        <f t="shared" si="12"/>
        <v>6.9774837806894793E-2</v>
      </c>
      <c r="E421" s="34">
        <v>4431.8500000000004</v>
      </c>
      <c r="F421" s="33">
        <f t="shared" si="13"/>
        <v>2.4347568825681704E-2</v>
      </c>
      <c r="I421" s="37"/>
      <c r="J421" s="37"/>
    </row>
    <row r="422" spans="1:10" x14ac:dyDescent="0.35">
      <c r="A422" s="35">
        <v>44588</v>
      </c>
      <c r="B422">
        <v>157.22</v>
      </c>
      <c r="C422" s="33">
        <f t="shared" si="12"/>
        <v>-2.9173008625063921E-3</v>
      </c>
      <c r="E422" s="34">
        <v>4326.51</v>
      </c>
      <c r="F422" s="33">
        <f t="shared" si="13"/>
        <v>-5.3839946849719581E-3</v>
      </c>
      <c r="I422" s="37"/>
      <c r="J422" s="37"/>
    </row>
    <row r="423" spans="1:10" x14ac:dyDescent="0.35">
      <c r="A423" s="35">
        <v>44587</v>
      </c>
      <c r="B423">
        <v>157.68</v>
      </c>
      <c r="C423" s="33">
        <f t="shared" si="12"/>
        <v>-5.7045065601827596E-4</v>
      </c>
      <c r="E423" s="34">
        <v>4349.93</v>
      </c>
      <c r="F423" s="33">
        <f t="shared" si="13"/>
        <v>-1.4966314315554012E-3</v>
      </c>
      <c r="I423" s="37"/>
      <c r="J423" s="37"/>
    </row>
    <row r="424" spans="1:10" x14ac:dyDescent="0.35">
      <c r="A424" s="35">
        <v>44586</v>
      </c>
      <c r="B424">
        <v>157.77000000000001</v>
      </c>
      <c r="C424" s="33">
        <f t="shared" si="12"/>
        <v>-1.1404223322263258E-2</v>
      </c>
      <c r="E424" s="34">
        <v>4356.45</v>
      </c>
      <c r="F424" s="33">
        <f t="shared" si="13"/>
        <v>-1.2171976789799912E-2</v>
      </c>
      <c r="I424" s="37"/>
      <c r="J424" s="37"/>
    </row>
    <row r="425" spans="1:10" x14ac:dyDescent="0.35">
      <c r="A425" s="35">
        <v>44585</v>
      </c>
      <c r="B425">
        <v>159.59</v>
      </c>
      <c r="C425" s="33">
        <f t="shared" si="12"/>
        <v>-4.8637525721768483E-3</v>
      </c>
      <c r="E425" s="34">
        <v>4410.13</v>
      </c>
      <c r="F425" s="33">
        <f t="shared" si="13"/>
        <v>2.7717522294529963E-3</v>
      </c>
      <c r="I425" s="37"/>
      <c r="J425" s="37"/>
    </row>
    <row r="426" spans="1:10" x14ac:dyDescent="0.35">
      <c r="A426" s="35">
        <v>44582</v>
      </c>
      <c r="B426">
        <v>160.37</v>
      </c>
      <c r="C426" s="33">
        <f t="shared" si="12"/>
        <v>-1.2743166707707419E-2</v>
      </c>
      <c r="E426" s="34">
        <v>4397.9399999999996</v>
      </c>
      <c r="F426" s="33">
        <f t="shared" si="13"/>
        <v>-1.8914813071498834E-2</v>
      </c>
      <c r="I426" s="37"/>
      <c r="J426" s="37"/>
    </row>
    <row r="427" spans="1:10" x14ac:dyDescent="0.35">
      <c r="A427" s="35">
        <v>44581</v>
      </c>
      <c r="B427">
        <v>162.44</v>
      </c>
      <c r="C427" s="33">
        <f t="shared" si="12"/>
        <v>-1.0357012306567496E-2</v>
      </c>
      <c r="E427" s="34">
        <v>4482.7299999999996</v>
      </c>
      <c r="F427" s="33">
        <f t="shared" si="13"/>
        <v>-1.1037425321437856E-2</v>
      </c>
      <c r="I427" s="37"/>
      <c r="J427" s="37"/>
    </row>
    <row r="428" spans="1:10" x14ac:dyDescent="0.35">
      <c r="A428" s="35">
        <v>44580</v>
      </c>
      <c r="B428">
        <v>164.14</v>
      </c>
      <c r="C428" s="33">
        <f t="shared" si="12"/>
        <v>-2.1053259378541189E-2</v>
      </c>
      <c r="E428" s="34">
        <v>4532.76</v>
      </c>
      <c r="F428" s="33">
        <f t="shared" si="13"/>
        <v>-9.6895202431227252E-3</v>
      </c>
      <c r="I428" s="37"/>
      <c r="J428" s="37"/>
    </row>
    <row r="429" spans="1:10" x14ac:dyDescent="0.35">
      <c r="A429" s="35">
        <v>44579</v>
      </c>
      <c r="B429">
        <v>167.67</v>
      </c>
      <c r="C429" s="33">
        <f t="shared" si="12"/>
        <v>-1.8899941486249374E-2</v>
      </c>
      <c r="E429" s="34">
        <v>4577.1099999999997</v>
      </c>
      <c r="F429" s="33">
        <f t="shared" si="13"/>
        <v>-1.8387895814791531E-2</v>
      </c>
      <c r="I429" s="37"/>
      <c r="J429" s="37"/>
    </row>
    <row r="430" spans="1:10" x14ac:dyDescent="0.35">
      <c r="A430" s="35">
        <v>44575</v>
      </c>
      <c r="B430">
        <v>170.9</v>
      </c>
      <c r="C430" s="33">
        <f t="shared" si="12"/>
        <v>5.1167441039816769E-3</v>
      </c>
      <c r="E430" s="34">
        <v>4662.8500000000004</v>
      </c>
      <c r="F430" s="33">
        <f t="shared" si="13"/>
        <v>8.1991315788922125E-4</v>
      </c>
      <c r="I430" s="37"/>
      <c r="J430" s="37"/>
    </row>
    <row r="431" spans="1:10" x14ac:dyDescent="0.35">
      <c r="A431" s="35">
        <v>44574</v>
      </c>
      <c r="B431">
        <v>170.03</v>
      </c>
      <c r="C431" s="33">
        <f t="shared" si="12"/>
        <v>-1.9038827669762944E-2</v>
      </c>
      <c r="E431" s="34">
        <v>4659.03</v>
      </c>
      <c r="F431" s="33">
        <f t="shared" si="13"/>
        <v>-1.4243549462058589E-2</v>
      </c>
      <c r="I431" s="37"/>
      <c r="J431" s="37"/>
    </row>
    <row r="432" spans="1:10" x14ac:dyDescent="0.35">
      <c r="A432" s="35">
        <v>44573</v>
      </c>
      <c r="B432">
        <v>173.33</v>
      </c>
      <c r="C432" s="33">
        <f t="shared" si="12"/>
        <v>2.6029615918557211E-3</v>
      </c>
      <c r="E432" s="34">
        <v>4726.3500000000004</v>
      </c>
      <c r="F432" s="33">
        <f t="shared" si="13"/>
        <v>2.8176963210817269E-3</v>
      </c>
      <c r="I432" s="37"/>
      <c r="J432" s="37"/>
    </row>
    <row r="433" spans="1:10" x14ac:dyDescent="0.35">
      <c r="A433" s="35">
        <v>44572</v>
      </c>
      <c r="B433">
        <v>172.88</v>
      </c>
      <c r="C433" s="33">
        <f t="shared" si="12"/>
        <v>1.6761747926836407E-2</v>
      </c>
      <c r="E433" s="34">
        <v>4713.07</v>
      </c>
      <c r="F433" s="33">
        <f t="shared" si="13"/>
        <v>9.160030747555236E-3</v>
      </c>
      <c r="I433" s="37"/>
      <c r="J433" s="37"/>
    </row>
    <row r="434" spans="1:10" x14ac:dyDescent="0.35">
      <c r="A434" s="35">
        <v>44571</v>
      </c>
      <c r="B434">
        <v>170.03</v>
      </c>
      <c r="C434" s="33">
        <f t="shared" si="12"/>
        <v>1.1764013881542399E-4</v>
      </c>
      <c r="E434" s="34">
        <v>4670.29</v>
      </c>
      <c r="F434" s="33">
        <f t="shared" si="13"/>
        <v>-1.441085475183991E-3</v>
      </c>
      <c r="I434" s="37"/>
      <c r="J434" s="37"/>
    </row>
    <row r="435" spans="1:10" x14ac:dyDescent="0.35">
      <c r="A435" s="35">
        <v>44568</v>
      </c>
      <c r="B435">
        <v>170.01</v>
      </c>
      <c r="C435" s="33">
        <f t="shared" si="12"/>
        <v>1.0009420631181553E-3</v>
      </c>
      <c r="E435" s="34">
        <v>4677.03</v>
      </c>
      <c r="F435" s="33">
        <f t="shared" si="13"/>
        <v>-4.0502124125595847E-3</v>
      </c>
      <c r="I435" s="37"/>
      <c r="J435" s="37"/>
    </row>
    <row r="436" spans="1:10" x14ac:dyDescent="0.35">
      <c r="A436" s="35">
        <v>44567</v>
      </c>
      <c r="B436">
        <v>169.84</v>
      </c>
      <c r="C436" s="33">
        <f t="shared" si="12"/>
        <v>-1.6674386289949026E-2</v>
      </c>
      <c r="E436" s="34">
        <v>4696.05</v>
      </c>
      <c r="F436" s="33">
        <f t="shared" si="13"/>
        <v>-9.6371086121281742E-4</v>
      </c>
      <c r="I436" s="37"/>
      <c r="J436" s="37"/>
    </row>
    <row r="437" spans="1:10" x14ac:dyDescent="0.35">
      <c r="A437" s="35">
        <v>44566</v>
      </c>
      <c r="B437">
        <v>172.72</v>
      </c>
      <c r="C437" s="33">
        <f t="shared" si="12"/>
        <v>-2.6600541027953103E-2</v>
      </c>
      <c r="E437" s="34">
        <v>4700.58</v>
      </c>
      <c r="F437" s="33">
        <f t="shared" si="13"/>
        <v>-1.9392766097706505E-2</v>
      </c>
      <c r="I437" s="37"/>
      <c r="J437" s="37"/>
    </row>
    <row r="438" spans="1:10" x14ac:dyDescent="0.35">
      <c r="A438" s="35">
        <v>44565</v>
      </c>
      <c r="B438">
        <v>177.44</v>
      </c>
      <c r="C438" s="33">
        <f t="shared" si="12"/>
        <v>-1.2686401068328518E-2</v>
      </c>
      <c r="E438" s="34">
        <v>4793.54</v>
      </c>
      <c r="F438" s="33">
        <f t="shared" si="13"/>
        <v>-6.2961789282328087E-4</v>
      </c>
      <c r="I438" s="37"/>
      <c r="J438" s="37"/>
    </row>
    <row r="439" spans="1:10" x14ac:dyDescent="0.35">
      <c r="A439" s="35">
        <v>44564</v>
      </c>
      <c r="B439">
        <v>179.72</v>
      </c>
      <c r="C439" s="33">
        <f t="shared" si="12"/>
        <v>2.4980038781795343E-2</v>
      </c>
      <c r="E439" s="34">
        <v>4796.5600000000004</v>
      </c>
      <c r="F439" s="33">
        <f t="shared" si="13"/>
        <v>6.3740773533521831E-3</v>
      </c>
      <c r="I439" s="37"/>
      <c r="J439" s="37"/>
    </row>
    <row r="440" spans="1:10" x14ac:dyDescent="0.35">
      <c r="A440" s="35">
        <v>44561</v>
      </c>
      <c r="B440">
        <v>175.34</v>
      </c>
      <c r="C440" s="33">
        <f t="shared" si="12"/>
        <v>-3.5235280745624263E-3</v>
      </c>
      <c r="E440" s="34">
        <v>4766.18</v>
      </c>
      <c r="F440" s="33">
        <f t="shared" si="13"/>
        <v>-2.6262207741385834E-3</v>
      </c>
      <c r="I440" s="37"/>
      <c r="J440" s="37"/>
    </row>
    <row r="441" spans="1:10" x14ac:dyDescent="0.35">
      <c r="A441" s="35">
        <v>44560</v>
      </c>
      <c r="B441">
        <v>175.96</v>
      </c>
      <c r="C441" s="33">
        <f t="shared" si="12"/>
        <v>-6.6053181279285694E-3</v>
      </c>
      <c r="E441" s="34">
        <v>4778.7299999999996</v>
      </c>
      <c r="F441" s="33">
        <f t="shared" si="13"/>
        <v>-2.9897393314502292E-3</v>
      </c>
      <c r="I441" s="37"/>
      <c r="J441" s="37"/>
    </row>
    <row r="442" spans="1:10" x14ac:dyDescent="0.35">
      <c r="A442" s="35">
        <v>44559</v>
      </c>
      <c r="B442">
        <v>177.13</v>
      </c>
      <c r="C442" s="33">
        <f t="shared" si="12"/>
        <v>5.0835969272482726E-4</v>
      </c>
      <c r="E442" s="34">
        <v>4793.0600000000004</v>
      </c>
      <c r="F442" s="33">
        <f t="shared" si="13"/>
        <v>1.4019033292592552E-3</v>
      </c>
      <c r="I442" s="37"/>
      <c r="J442" s="37"/>
    </row>
    <row r="443" spans="1:10" x14ac:dyDescent="0.35">
      <c r="A443" s="35">
        <v>44558</v>
      </c>
      <c r="B443">
        <v>177.04</v>
      </c>
      <c r="C443" s="33">
        <f t="shared" si="12"/>
        <v>-5.7842421519627178E-3</v>
      </c>
      <c r="E443" s="34">
        <v>4786.3500000000004</v>
      </c>
      <c r="F443" s="33">
        <f t="shared" si="13"/>
        <v>-1.0101874482120801E-3</v>
      </c>
      <c r="I443" s="37"/>
      <c r="J443" s="37"/>
    </row>
    <row r="444" spans="1:10" x14ac:dyDescent="0.35">
      <c r="A444" s="35">
        <v>44557</v>
      </c>
      <c r="B444">
        <v>178.07</v>
      </c>
      <c r="C444" s="33">
        <f t="shared" si="12"/>
        <v>2.2979261216751881E-2</v>
      </c>
      <c r="E444" s="34">
        <v>4791.1899999999996</v>
      </c>
      <c r="F444" s="33">
        <f t="shared" si="13"/>
        <v>1.3838956026399741E-2</v>
      </c>
      <c r="I444" s="37"/>
      <c r="J444" s="37"/>
    </row>
    <row r="445" spans="1:10" x14ac:dyDescent="0.35">
      <c r="A445" s="35">
        <v>44553</v>
      </c>
      <c r="B445">
        <v>174.07</v>
      </c>
      <c r="C445" s="33">
        <f t="shared" si="12"/>
        <v>3.6902496684540526E-3</v>
      </c>
      <c r="E445" s="34">
        <v>4725.79</v>
      </c>
      <c r="F445" s="33">
        <f t="shared" si="13"/>
        <v>6.2237041579367791E-3</v>
      </c>
      <c r="I445" s="37"/>
      <c r="J445" s="37"/>
    </row>
    <row r="446" spans="1:10" x14ac:dyDescent="0.35">
      <c r="A446" s="35">
        <v>44552</v>
      </c>
      <c r="B446">
        <v>173.43</v>
      </c>
      <c r="C446" s="33">
        <f t="shared" si="12"/>
        <v>1.5279241306638647E-2</v>
      </c>
      <c r="E446" s="34">
        <v>4696.5600000000004</v>
      </c>
      <c r="F446" s="33">
        <f t="shared" si="13"/>
        <v>1.0180180373954578E-2</v>
      </c>
      <c r="I446" s="37"/>
      <c r="J446" s="37"/>
    </row>
    <row r="447" spans="1:10" x14ac:dyDescent="0.35">
      <c r="A447" s="35">
        <v>44551</v>
      </c>
      <c r="B447">
        <v>170.82</v>
      </c>
      <c r="C447" s="33">
        <f t="shared" si="12"/>
        <v>1.9090800620450953E-2</v>
      </c>
      <c r="E447" s="34">
        <v>4649.2299999999996</v>
      </c>
      <c r="F447" s="33">
        <f t="shared" si="13"/>
        <v>1.7777943178882562E-2</v>
      </c>
      <c r="I447" s="37"/>
      <c r="J447" s="37"/>
    </row>
    <row r="448" spans="1:10" x14ac:dyDescent="0.35">
      <c r="A448" s="35">
        <v>44550</v>
      </c>
      <c r="B448">
        <v>167.62</v>
      </c>
      <c r="C448" s="33">
        <f t="shared" si="12"/>
        <v>-8.1069885792058958E-3</v>
      </c>
      <c r="E448" s="34">
        <v>4568.0200000000004</v>
      </c>
      <c r="F448" s="33">
        <f t="shared" si="13"/>
        <v>-1.1388032826621396E-2</v>
      </c>
      <c r="I448" s="37"/>
      <c r="J448" s="37"/>
    </row>
    <row r="449" spans="1:10" x14ac:dyDescent="0.35">
      <c r="A449" s="35">
        <v>44547</v>
      </c>
      <c r="B449">
        <v>168.99</v>
      </c>
      <c r="C449" s="33">
        <f t="shared" si="12"/>
        <v>-6.5255731922397725E-3</v>
      </c>
      <c r="E449" s="34">
        <v>4620.6400000000003</v>
      </c>
      <c r="F449" s="33">
        <f t="shared" si="13"/>
        <v>-1.0287726483131115E-2</v>
      </c>
      <c r="I449" s="37"/>
      <c r="J449" s="37"/>
    </row>
    <row r="450" spans="1:10" x14ac:dyDescent="0.35">
      <c r="A450" s="35">
        <v>44546</v>
      </c>
      <c r="B450">
        <v>170.1</v>
      </c>
      <c r="C450" s="33">
        <f t="shared" ref="C450:C513" si="14">(B450-B451)/B451</f>
        <v>-3.925444789607465E-2</v>
      </c>
      <c r="E450" s="34">
        <v>4668.67</v>
      </c>
      <c r="F450" s="33">
        <f t="shared" ref="F450:F513" si="15">(E450-E451)/E451</f>
        <v>-8.7433782392221174E-3</v>
      </c>
      <c r="I450" s="37"/>
      <c r="J450" s="37"/>
    </row>
    <row r="451" spans="1:10" x14ac:dyDescent="0.35">
      <c r="A451" s="35">
        <v>44545</v>
      </c>
      <c r="B451">
        <v>177.05</v>
      </c>
      <c r="C451" s="33">
        <f t="shared" si="14"/>
        <v>2.8523294992448156E-2</v>
      </c>
      <c r="E451" s="34">
        <v>4709.8500000000004</v>
      </c>
      <c r="F451" s="33">
        <f t="shared" si="15"/>
        <v>1.634840928855508E-2</v>
      </c>
      <c r="I451" s="37"/>
      <c r="J451" s="37"/>
    </row>
    <row r="452" spans="1:10" x14ac:dyDescent="0.35">
      <c r="A452" s="35">
        <v>44544</v>
      </c>
      <c r="B452">
        <v>172.14</v>
      </c>
      <c r="C452" s="33">
        <f t="shared" si="14"/>
        <v>-8.0101423385006334E-3</v>
      </c>
      <c r="E452" s="34">
        <v>4634.09</v>
      </c>
      <c r="F452" s="33">
        <f t="shared" si="15"/>
        <v>-7.4705984403412549E-3</v>
      </c>
      <c r="I452" s="37"/>
      <c r="J452" s="37"/>
    </row>
    <row r="453" spans="1:10" x14ac:dyDescent="0.35">
      <c r="A453" s="35">
        <v>44543</v>
      </c>
      <c r="B453">
        <v>173.53</v>
      </c>
      <c r="C453" s="33">
        <f t="shared" si="14"/>
        <v>-2.0711060948081193E-2</v>
      </c>
      <c r="E453" s="34">
        <v>4668.97</v>
      </c>
      <c r="F453" s="33">
        <f t="shared" si="15"/>
        <v>-9.1362090992822987E-3</v>
      </c>
      <c r="I453" s="37"/>
      <c r="J453" s="37"/>
    </row>
    <row r="454" spans="1:10" x14ac:dyDescent="0.35">
      <c r="A454" s="35">
        <v>44540</v>
      </c>
      <c r="B454">
        <v>177.2</v>
      </c>
      <c r="C454" s="33">
        <f t="shared" si="14"/>
        <v>2.8021117363810313E-2</v>
      </c>
      <c r="E454" s="34">
        <v>4712.0200000000004</v>
      </c>
      <c r="F454" s="33">
        <f t="shared" si="15"/>
        <v>9.5491113991581309E-3</v>
      </c>
      <c r="I454" s="37"/>
      <c r="J454" s="37"/>
    </row>
    <row r="455" spans="1:10" x14ac:dyDescent="0.35">
      <c r="A455" s="35">
        <v>44539</v>
      </c>
      <c r="B455">
        <v>172.37</v>
      </c>
      <c r="C455" s="33">
        <f t="shared" si="14"/>
        <v>-2.9500231374363197E-3</v>
      </c>
      <c r="E455" s="34">
        <v>4667.45</v>
      </c>
      <c r="F455" s="33">
        <f t="shared" si="15"/>
        <v>-7.1811299644134637E-3</v>
      </c>
      <c r="I455" s="37"/>
      <c r="J455" s="37"/>
    </row>
    <row r="456" spans="1:10" x14ac:dyDescent="0.35">
      <c r="A456" s="35">
        <v>44538</v>
      </c>
      <c r="B456">
        <v>172.88</v>
      </c>
      <c r="C456" s="33">
        <f t="shared" si="14"/>
        <v>2.2777021830444267E-2</v>
      </c>
      <c r="E456" s="34">
        <v>4701.21</v>
      </c>
      <c r="F456" s="33">
        <f t="shared" si="15"/>
        <v>3.0852936469835252E-3</v>
      </c>
      <c r="I456" s="37"/>
      <c r="J456" s="37"/>
    </row>
    <row r="457" spans="1:10" x14ac:dyDescent="0.35">
      <c r="A457" s="35">
        <v>44537</v>
      </c>
      <c r="B457">
        <v>169.03</v>
      </c>
      <c r="C457" s="33">
        <f t="shared" si="14"/>
        <v>3.5469247733398629E-2</v>
      </c>
      <c r="E457" s="34">
        <v>4686.75</v>
      </c>
      <c r="F457" s="33">
        <f t="shared" si="15"/>
        <v>2.070706300757675E-2</v>
      </c>
      <c r="I457" s="37"/>
      <c r="J457" s="37"/>
    </row>
    <row r="458" spans="1:10" x14ac:dyDescent="0.35">
      <c r="A458" s="35">
        <v>44536</v>
      </c>
      <c r="B458">
        <v>163.24</v>
      </c>
      <c r="C458" s="33">
        <f t="shared" si="14"/>
        <v>2.1462987297415723E-2</v>
      </c>
      <c r="E458" s="34">
        <v>4591.67</v>
      </c>
      <c r="F458" s="33">
        <f t="shared" si="15"/>
        <v>1.1730928977641998E-2</v>
      </c>
      <c r="I458" s="37"/>
      <c r="J458" s="37"/>
    </row>
    <row r="459" spans="1:10" x14ac:dyDescent="0.35">
      <c r="A459" s="35">
        <v>44533</v>
      </c>
      <c r="B459">
        <v>159.81</v>
      </c>
      <c r="C459" s="33">
        <f t="shared" si="14"/>
        <v>-1.1688311688311605E-2</v>
      </c>
      <c r="E459" s="34">
        <v>4538.43</v>
      </c>
      <c r="F459" s="33">
        <f t="shared" si="15"/>
        <v>-8.4485809792226672E-3</v>
      </c>
      <c r="I459" s="37"/>
      <c r="J459" s="37"/>
    </row>
    <row r="460" spans="1:10" x14ac:dyDescent="0.35">
      <c r="A460" s="35">
        <v>44532</v>
      </c>
      <c r="B460">
        <v>161.69999999999999</v>
      </c>
      <c r="C460" s="33">
        <f t="shared" si="14"/>
        <v>-6.1462814996926865E-3</v>
      </c>
      <c r="E460" s="34">
        <v>4577.1000000000004</v>
      </c>
      <c r="F460" s="33">
        <f t="shared" si="15"/>
        <v>1.4194423271231897E-2</v>
      </c>
      <c r="I460" s="37"/>
      <c r="J460" s="37"/>
    </row>
    <row r="461" spans="1:10" x14ac:dyDescent="0.35">
      <c r="A461" s="35">
        <v>44531</v>
      </c>
      <c r="B461">
        <v>162.69999999999999</v>
      </c>
      <c r="C461" s="33">
        <f t="shared" si="14"/>
        <v>-3.185884082833049E-3</v>
      </c>
      <c r="E461" s="34">
        <v>4513.04</v>
      </c>
      <c r="F461" s="33">
        <f t="shared" si="15"/>
        <v>-1.1815195971097009E-2</v>
      </c>
      <c r="I461" s="37"/>
      <c r="J461" s="37"/>
    </row>
    <row r="462" spans="1:10" x14ac:dyDescent="0.35">
      <c r="A462" s="35">
        <v>44530</v>
      </c>
      <c r="B462">
        <v>163.22</v>
      </c>
      <c r="C462" s="33">
        <f t="shared" si="14"/>
        <v>3.1536371105353025E-2</v>
      </c>
      <c r="E462" s="34">
        <v>4567</v>
      </c>
      <c r="F462" s="33">
        <f t="shared" si="15"/>
        <v>-1.8961306218543805E-2</v>
      </c>
      <c r="I462" s="37"/>
      <c r="J462" s="37"/>
    </row>
    <row r="463" spans="1:10" x14ac:dyDescent="0.35">
      <c r="A463" s="35">
        <v>44529</v>
      </c>
      <c r="B463">
        <v>158.22999999999999</v>
      </c>
      <c r="C463" s="33">
        <f t="shared" si="14"/>
        <v>2.1893567553603631E-2</v>
      </c>
      <c r="E463" s="34">
        <v>4655.2700000000004</v>
      </c>
      <c r="F463" s="33">
        <f t="shared" si="15"/>
        <v>1.3200221128189174E-2</v>
      </c>
      <c r="I463" s="37"/>
      <c r="J463" s="37"/>
    </row>
    <row r="464" spans="1:10" x14ac:dyDescent="0.35">
      <c r="A464" s="35">
        <v>44526</v>
      </c>
      <c r="B464">
        <v>154.84</v>
      </c>
      <c r="C464" s="33">
        <f t="shared" si="14"/>
        <v>-3.1705334250515874E-2</v>
      </c>
      <c r="E464" s="34">
        <v>4594.62</v>
      </c>
      <c r="F464" s="33">
        <f t="shared" si="15"/>
        <v>-2.2724855683128251E-2</v>
      </c>
      <c r="I464" s="37"/>
      <c r="J464" s="37"/>
    </row>
    <row r="465" spans="1:10" x14ac:dyDescent="0.35">
      <c r="A465" s="35">
        <v>44524</v>
      </c>
      <c r="B465">
        <v>159.91</v>
      </c>
      <c r="C465" s="33">
        <f t="shared" si="14"/>
        <v>3.3253858702472151E-3</v>
      </c>
      <c r="E465" s="34">
        <v>4701.46</v>
      </c>
      <c r="F465" s="33">
        <f t="shared" si="15"/>
        <v>2.2939006971241433E-3</v>
      </c>
      <c r="I465" s="37"/>
      <c r="J465" s="37"/>
    </row>
    <row r="466" spans="1:10" x14ac:dyDescent="0.35">
      <c r="A466" s="35">
        <v>44523</v>
      </c>
      <c r="B466">
        <v>159.38</v>
      </c>
      <c r="C466" s="33">
        <f t="shared" si="14"/>
        <v>2.3899371069182104E-3</v>
      </c>
      <c r="E466" s="34">
        <v>4690.7</v>
      </c>
      <c r="F466" s="33">
        <f t="shared" si="15"/>
        <v>1.6570786727996129E-3</v>
      </c>
      <c r="I466" s="37"/>
      <c r="J466" s="37"/>
    </row>
    <row r="467" spans="1:10" x14ac:dyDescent="0.35">
      <c r="A467" s="35">
        <v>44522</v>
      </c>
      <c r="B467">
        <v>159</v>
      </c>
      <c r="C467" s="33">
        <f t="shared" si="14"/>
        <v>2.9647385352929972E-3</v>
      </c>
      <c r="E467" s="34">
        <v>4682.9399999999996</v>
      </c>
      <c r="F467" s="33">
        <f t="shared" si="15"/>
        <v>-3.1971323723489421E-3</v>
      </c>
      <c r="I467" s="37"/>
      <c r="J467" s="37"/>
    </row>
    <row r="468" spans="1:10" x14ac:dyDescent="0.35">
      <c r="A468" s="35">
        <v>44519</v>
      </c>
      <c r="B468">
        <v>158.53</v>
      </c>
      <c r="C468" s="33">
        <f t="shared" si="14"/>
        <v>1.6935018282122107E-2</v>
      </c>
      <c r="E468" s="34">
        <v>4697.96</v>
      </c>
      <c r="F468" s="33">
        <f t="shared" si="15"/>
        <v>-1.3986489646171415E-3</v>
      </c>
      <c r="I468" s="37"/>
      <c r="J468" s="37"/>
    </row>
    <row r="469" spans="1:10" x14ac:dyDescent="0.35">
      <c r="A469" s="35">
        <v>44518</v>
      </c>
      <c r="B469">
        <v>155.88999999999999</v>
      </c>
      <c r="C469" s="33">
        <f t="shared" si="14"/>
        <v>2.8569543415149012E-2</v>
      </c>
      <c r="E469" s="34">
        <v>4704.54</v>
      </c>
      <c r="F469" s="33">
        <f t="shared" si="15"/>
        <v>3.384755165110765E-3</v>
      </c>
      <c r="I469" s="37"/>
      <c r="J469" s="37"/>
    </row>
    <row r="470" spans="1:10" x14ac:dyDescent="0.35">
      <c r="A470" s="35">
        <v>44517</v>
      </c>
      <c r="B470">
        <v>151.56</v>
      </c>
      <c r="C470" s="33">
        <f t="shared" si="14"/>
        <v>1.6498993963782752E-2</v>
      </c>
      <c r="E470" s="34">
        <v>4688.67</v>
      </c>
      <c r="F470" s="33">
        <f t="shared" si="15"/>
        <v>-2.6016294752067826E-3</v>
      </c>
      <c r="I470" s="37"/>
      <c r="J470" s="37"/>
    </row>
    <row r="471" spans="1:10" x14ac:dyDescent="0.35">
      <c r="A471" s="35">
        <v>44516</v>
      </c>
      <c r="B471">
        <v>149.1</v>
      </c>
      <c r="C471" s="33">
        <f t="shared" si="14"/>
        <v>6.6162570888468114E-3</v>
      </c>
      <c r="E471" s="34">
        <v>4700.8999999999996</v>
      </c>
      <c r="F471" s="33">
        <f t="shared" si="15"/>
        <v>3.8652088494062213E-3</v>
      </c>
      <c r="I471" s="37"/>
      <c r="J471" s="37"/>
    </row>
    <row r="472" spans="1:10" x14ac:dyDescent="0.35">
      <c r="A472" s="35">
        <v>44515</v>
      </c>
      <c r="B472">
        <v>148.12</v>
      </c>
      <c r="C472" s="33">
        <f t="shared" si="14"/>
        <v>6.7517385726763245E-5</v>
      </c>
      <c r="E472" s="34">
        <v>4682.8</v>
      </c>
      <c r="F472" s="33">
        <f t="shared" si="15"/>
        <v>-1.0677258507144559E-5</v>
      </c>
      <c r="I472" s="37"/>
      <c r="J472" s="37"/>
    </row>
    <row r="473" spans="1:10" x14ac:dyDescent="0.35">
      <c r="A473" s="35">
        <v>44512</v>
      </c>
      <c r="B473">
        <v>148.11000000000001</v>
      </c>
      <c r="C473" s="33">
        <f t="shared" si="14"/>
        <v>1.4382576535853866E-2</v>
      </c>
      <c r="E473" s="34">
        <v>4682.8500000000004</v>
      </c>
      <c r="F473" s="33">
        <f t="shared" si="15"/>
        <v>7.2226392530440097E-3</v>
      </c>
      <c r="I473" s="37"/>
      <c r="J473" s="37"/>
    </row>
    <row r="474" spans="1:10" x14ac:dyDescent="0.35">
      <c r="A474" s="35">
        <v>44511</v>
      </c>
      <c r="B474">
        <v>146.01</v>
      </c>
      <c r="C474" s="33">
        <f t="shared" si="14"/>
        <v>-3.4232507188834292E-4</v>
      </c>
      <c r="E474" s="34">
        <v>4649.2700000000004</v>
      </c>
      <c r="F474" s="33">
        <f t="shared" si="15"/>
        <v>5.5092743037555604E-4</v>
      </c>
      <c r="I474" s="37"/>
      <c r="J474" s="37"/>
    </row>
    <row r="475" spans="1:10" x14ac:dyDescent="0.35">
      <c r="A475" s="35">
        <v>44510</v>
      </c>
      <c r="B475">
        <v>146.06</v>
      </c>
      <c r="C475" s="33">
        <f t="shared" si="14"/>
        <v>-1.9204942250872853E-2</v>
      </c>
      <c r="E475" s="34">
        <v>4646.71</v>
      </c>
      <c r="F475" s="33">
        <f t="shared" si="15"/>
        <v>-8.2258150578944488E-3</v>
      </c>
      <c r="I475" s="37"/>
      <c r="J475" s="37"/>
    </row>
    <row r="476" spans="1:10" x14ac:dyDescent="0.35">
      <c r="A476" s="35">
        <v>44509</v>
      </c>
      <c r="B476">
        <v>148.91999999999999</v>
      </c>
      <c r="C476" s="33">
        <f t="shared" si="14"/>
        <v>2.4907438572869477E-3</v>
      </c>
      <c r="E476" s="34">
        <v>4685.25</v>
      </c>
      <c r="F476" s="33">
        <f t="shared" si="15"/>
        <v>-3.4987345002870916E-3</v>
      </c>
      <c r="I476" s="37"/>
      <c r="J476" s="37"/>
    </row>
    <row r="477" spans="1:10" x14ac:dyDescent="0.35">
      <c r="A477" s="35">
        <v>44508</v>
      </c>
      <c r="B477">
        <v>148.55000000000001</v>
      </c>
      <c r="C477" s="33">
        <f t="shared" si="14"/>
        <v>-5.5562993707322537E-3</v>
      </c>
      <c r="E477" s="34">
        <v>4701.7</v>
      </c>
      <c r="F477" s="33">
        <f t="shared" si="15"/>
        <v>8.8770055752705637E-4</v>
      </c>
      <c r="I477" s="37"/>
      <c r="J477" s="37"/>
    </row>
    <row r="478" spans="1:10" x14ac:dyDescent="0.35">
      <c r="A478" s="35">
        <v>44505</v>
      </c>
      <c r="B478">
        <v>149.38</v>
      </c>
      <c r="C478" s="33">
        <f t="shared" si="14"/>
        <v>3.5606315082297693E-3</v>
      </c>
      <c r="E478" s="34">
        <v>4697.53</v>
      </c>
      <c r="F478" s="33">
        <f t="shared" si="15"/>
        <v>3.7328581257503844E-3</v>
      </c>
      <c r="I478" s="37"/>
      <c r="J478" s="37"/>
    </row>
    <row r="479" spans="1:10" x14ac:dyDescent="0.35">
      <c r="A479" s="35">
        <v>44504</v>
      </c>
      <c r="B479">
        <v>148.85</v>
      </c>
      <c r="C479" s="33">
        <f t="shared" si="14"/>
        <v>-3.4812880765884061E-3</v>
      </c>
      <c r="E479" s="34">
        <v>4680.0600000000004</v>
      </c>
      <c r="F479" s="33">
        <f t="shared" si="15"/>
        <v>4.1818919145084595E-3</v>
      </c>
      <c r="I479" s="37"/>
      <c r="J479" s="37"/>
    </row>
    <row r="480" spans="1:10" x14ac:dyDescent="0.35">
      <c r="A480" s="35">
        <v>44503</v>
      </c>
      <c r="B480">
        <v>149.37</v>
      </c>
      <c r="C480" s="33">
        <f t="shared" si="14"/>
        <v>9.8025959978367844E-3</v>
      </c>
      <c r="E480" s="34">
        <v>4660.57</v>
      </c>
      <c r="F480" s="33">
        <f t="shared" si="15"/>
        <v>6.4612959303769609E-3</v>
      </c>
      <c r="I480" s="37"/>
      <c r="J480" s="37"/>
    </row>
    <row r="481" spans="1:10" x14ac:dyDescent="0.35">
      <c r="A481" s="35">
        <v>44502</v>
      </c>
      <c r="B481">
        <v>147.91999999999999</v>
      </c>
      <c r="C481" s="33">
        <f t="shared" si="14"/>
        <v>7.0806100217864383E-3</v>
      </c>
      <c r="E481" s="34">
        <v>4630.6499999999996</v>
      </c>
      <c r="F481" s="33">
        <f t="shared" si="15"/>
        <v>3.6803672564356712E-3</v>
      </c>
      <c r="I481" s="37"/>
      <c r="J481" s="37"/>
    </row>
    <row r="482" spans="1:10" x14ac:dyDescent="0.35">
      <c r="A482" s="35">
        <v>44501</v>
      </c>
      <c r="B482">
        <v>146.88</v>
      </c>
      <c r="C482" s="33">
        <f t="shared" si="14"/>
        <v>-5.5517941773865487E-3</v>
      </c>
      <c r="E482" s="34">
        <v>4613.67</v>
      </c>
      <c r="F482" s="33">
        <f t="shared" si="15"/>
        <v>1.8000686154019784E-3</v>
      </c>
      <c r="I482" s="37"/>
      <c r="J482" s="37"/>
    </row>
    <row r="483" spans="1:10" x14ac:dyDescent="0.35">
      <c r="A483" s="35">
        <v>44498</v>
      </c>
      <c r="B483">
        <v>147.69999999999999</v>
      </c>
      <c r="C483" s="33">
        <f t="shared" si="14"/>
        <v>-1.814797580269905E-2</v>
      </c>
      <c r="E483" s="34">
        <v>4605.38</v>
      </c>
      <c r="F483" s="33">
        <f t="shared" si="15"/>
        <v>1.9493431844783628E-3</v>
      </c>
      <c r="I483" s="37"/>
      <c r="J483" s="37"/>
    </row>
    <row r="484" spans="1:10" x14ac:dyDescent="0.35">
      <c r="A484" s="35">
        <v>44497</v>
      </c>
      <c r="B484">
        <v>150.43</v>
      </c>
      <c r="C484" s="33">
        <f t="shared" si="14"/>
        <v>2.4936976221298604E-2</v>
      </c>
      <c r="E484" s="34">
        <v>4596.42</v>
      </c>
      <c r="F484" s="33">
        <f t="shared" si="15"/>
        <v>9.8293377390325717E-3</v>
      </c>
      <c r="I484" s="37"/>
      <c r="J484" s="37"/>
    </row>
    <row r="485" spans="1:10" x14ac:dyDescent="0.35">
      <c r="A485" s="35">
        <v>44496</v>
      </c>
      <c r="B485">
        <v>146.77000000000001</v>
      </c>
      <c r="C485" s="33">
        <f t="shared" si="14"/>
        <v>-3.1243632411871191E-3</v>
      </c>
      <c r="E485" s="34">
        <v>4551.68</v>
      </c>
      <c r="F485" s="33">
        <f t="shared" si="15"/>
        <v>-5.0515979968478713E-3</v>
      </c>
      <c r="I485" s="37"/>
      <c r="J485" s="37"/>
    </row>
    <row r="486" spans="1:10" x14ac:dyDescent="0.35">
      <c r="A486" s="35">
        <v>44495</v>
      </c>
      <c r="B486">
        <v>147.22999999999999</v>
      </c>
      <c r="C486" s="33">
        <f t="shared" si="14"/>
        <v>4.571506550218255E-3</v>
      </c>
      <c r="E486" s="34">
        <v>4574.79</v>
      </c>
      <c r="F486" s="33">
        <f t="shared" si="15"/>
        <v>1.8197824144637446E-3</v>
      </c>
      <c r="I486" s="37"/>
      <c r="J486" s="37"/>
    </row>
    <row r="487" spans="1:10" x14ac:dyDescent="0.35">
      <c r="A487" s="35">
        <v>44494</v>
      </c>
      <c r="B487">
        <v>146.56</v>
      </c>
      <c r="C487" s="33">
        <f t="shared" si="14"/>
        <v>-3.410408566947095E-4</v>
      </c>
      <c r="E487" s="34">
        <v>4566.4799999999996</v>
      </c>
      <c r="F487" s="33">
        <f t="shared" si="15"/>
        <v>4.7481792778718852E-3</v>
      </c>
      <c r="I487" s="37"/>
      <c r="J487" s="37"/>
    </row>
    <row r="488" spans="1:10" x14ac:dyDescent="0.35">
      <c r="A488" s="35">
        <v>44491</v>
      </c>
      <c r="B488">
        <v>146.61000000000001</v>
      </c>
      <c r="C488" s="33">
        <f t="shared" si="14"/>
        <v>-5.2920822308160174E-3</v>
      </c>
      <c r="E488" s="34">
        <v>4544.8999999999996</v>
      </c>
      <c r="F488" s="33">
        <f t="shared" si="15"/>
        <v>-1.0725793335062594E-3</v>
      </c>
      <c r="I488" s="37"/>
      <c r="J488" s="37"/>
    </row>
    <row r="489" spans="1:10" x14ac:dyDescent="0.35">
      <c r="A489" s="35">
        <v>44490</v>
      </c>
      <c r="B489">
        <v>147.38999999999999</v>
      </c>
      <c r="C489" s="33">
        <f t="shared" si="14"/>
        <v>1.4948698783719431E-3</v>
      </c>
      <c r="E489" s="34">
        <v>4549.78</v>
      </c>
      <c r="F489" s="33">
        <f t="shared" si="15"/>
        <v>2.9959062561312789E-3</v>
      </c>
      <c r="I489" s="37"/>
      <c r="J489" s="37"/>
    </row>
    <row r="490" spans="1:10" x14ac:dyDescent="0.35">
      <c r="A490" s="35">
        <v>44489</v>
      </c>
      <c r="B490">
        <v>147.16999999999999</v>
      </c>
      <c r="C490" s="33">
        <f t="shared" si="14"/>
        <v>3.3406053995090035E-3</v>
      </c>
      <c r="E490" s="34">
        <v>4536.1899999999996</v>
      </c>
      <c r="F490" s="33">
        <f t="shared" si="15"/>
        <v>3.6640167447334164E-3</v>
      </c>
      <c r="I490" s="37"/>
      <c r="J490" s="37"/>
    </row>
    <row r="491" spans="1:10" x14ac:dyDescent="0.35">
      <c r="A491" s="35">
        <v>44488</v>
      </c>
      <c r="B491">
        <v>146.68</v>
      </c>
      <c r="C491" s="33">
        <f t="shared" si="14"/>
        <v>1.5086505190311466E-2</v>
      </c>
      <c r="E491" s="34">
        <v>4519.63</v>
      </c>
      <c r="F491" s="33">
        <f t="shared" si="15"/>
        <v>7.3933569005407542E-3</v>
      </c>
      <c r="I491" s="37"/>
      <c r="J491" s="37"/>
    </row>
    <row r="492" spans="1:10" x14ac:dyDescent="0.35">
      <c r="A492" s="35">
        <v>44487</v>
      </c>
      <c r="B492">
        <v>144.5</v>
      </c>
      <c r="C492" s="33">
        <f t="shared" si="14"/>
        <v>1.1833905188712258E-2</v>
      </c>
      <c r="E492" s="34">
        <v>4486.46</v>
      </c>
      <c r="F492" s="33">
        <f t="shared" si="15"/>
        <v>3.3748045900921075E-3</v>
      </c>
      <c r="I492" s="37"/>
      <c r="J492" s="37"/>
    </row>
    <row r="493" spans="1:10" x14ac:dyDescent="0.35">
      <c r="A493" s="35">
        <v>44484</v>
      </c>
      <c r="B493">
        <v>142.81</v>
      </c>
      <c r="C493" s="33">
        <f t="shared" si="14"/>
        <v>7.4779541446208277E-3</v>
      </c>
      <c r="E493" s="34">
        <v>4471.37</v>
      </c>
      <c r="F493" s="33">
        <f t="shared" si="15"/>
        <v>7.4601307719691212E-3</v>
      </c>
      <c r="I493" s="37"/>
      <c r="J493" s="37"/>
    </row>
    <row r="494" spans="1:10" x14ac:dyDescent="0.35">
      <c r="A494" s="35">
        <v>44483</v>
      </c>
      <c r="B494">
        <v>141.75</v>
      </c>
      <c r="C494" s="33">
        <f t="shared" si="14"/>
        <v>2.0224557362890472E-2</v>
      </c>
      <c r="E494" s="34">
        <v>4438.26</v>
      </c>
      <c r="F494" s="33">
        <f t="shared" si="15"/>
        <v>1.7063110133370005E-2</v>
      </c>
      <c r="I494" s="37"/>
      <c r="J494" s="37"/>
    </row>
    <row r="495" spans="1:10" x14ac:dyDescent="0.35">
      <c r="A495" s="35">
        <v>44482</v>
      </c>
      <c r="B495">
        <v>138.94</v>
      </c>
      <c r="C495" s="33">
        <f t="shared" si="14"/>
        <v>-4.2284813301799139E-3</v>
      </c>
      <c r="E495" s="34">
        <v>4363.8</v>
      </c>
      <c r="F495" s="33">
        <f t="shared" si="15"/>
        <v>3.0225368623080567E-3</v>
      </c>
      <c r="I495" s="37"/>
      <c r="J495" s="37"/>
    </row>
    <row r="496" spans="1:10" x14ac:dyDescent="0.35">
      <c r="A496" s="35">
        <v>44481</v>
      </c>
      <c r="B496">
        <v>139.53</v>
      </c>
      <c r="C496" s="33">
        <f t="shared" si="14"/>
        <v>-9.090263475605433E-3</v>
      </c>
      <c r="E496" s="34">
        <v>4350.6499999999996</v>
      </c>
      <c r="F496" s="33">
        <f t="shared" si="15"/>
        <v>-2.4167715692276566E-3</v>
      </c>
      <c r="I496" s="37"/>
      <c r="J496" s="37"/>
    </row>
    <row r="497" spans="1:10" x14ac:dyDescent="0.35">
      <c r="A497" s="35">
        <v>44480</v>
      </c>
      <c r="B497">
        <v>140.81</v>
      </c>
      <c r="C497" s="33">
        <f t="shared" si="14"/>
        <v>-6.3875088715403415E-4</v>
      </c>
      <c r="E497" s="34">
        <v>4361.1899999999996</v>
      </c>
      <c r="F497" s="33">
        <f t="shared" si="15"/>
        <v>-6.8657858421348706E-3</v>
      </c>
      <c r="I497" s="37"/>
      <c r="J497" s="37"/>
    </row>
    <row r="498" spans="1:10" x14ac:dyDescent="0.35">
      <c r="A498" s="35">
        <v>44477</v>
      </c>
      <c r="B498">
        <v>140.9</v>
      </c>
      <c r="C498" s="33">
        <f t="shared" si="14"/>
        <v>-2.6896942242355284E-3</v>
      </c>
      <c r="E498" s="34">
        <v>4391.34</v>
      </c>
      <c r="F498" s="33">
        <f t="shared" si="15"/>
        <v>-1.9137407494954435E-3</v>
      </c>
      <c r="I498" s="37"/>
      <c r="J498" s="37"/>
    </row>
    <row r="499" spans="1:10" x14ac:dyDescent="0.35">
      <c r="A499" s="35">
        <v>44476</v>
      </c>
      <c r="B499">
        <v>141.28</v>
      </c>
      <c r="C499" s="33">
        <f t="shared" si="14"/>
        <v>9.0707806585244646E-3</v>
      </c>
      <c r="E499" s="34">
        <v>4399.76</v>
      </c>
      <c r="F499" s="33">
        <f t="shared" si="15"/>
        <v>8.298289236974489E-3</v>
      </c>
      <c r="I499" s="37"/>
      <c r="J499" s="37"/>
    </row>
    <row r="500" spans="1:10" x14ac:dyDescent="0.35">
      <c r="A500" s="35">
        <v>44475</v>
      </c>
      <c r="B500">
        <v>140.01</v>
      </c>
      <c r="C500" s="33">
        <f t="shared" si="14"/>
        <v>6.2526951272100376E-3</v>
      </c>
      <c r="E500" s="34">
        <v>4363.55</v>
      </c>
      <c r="F500" s="33">
        <f t="shared" si="15"/>
        <v>4.102887438675277E-3</v>
      </c>
      <c r="I500" s="37"/>
      <c r="J500" s="37"/>
    </row>
    <row r="501" spans="1:10" x14ac:dyDescent="0.35">
      <c r="A501" s="35">
        <v>44474</v>
      </c>
      <c r="B501">
        <v>139.13999999999999</v>
      </c>
      <c r="C501" s="33">
        <f t="shared" si="14"/>
        <v>1.421386398425533E-2</v>
      </c>
      <c r="E501" s="34">
        <v>4345.72</v>
      </c>
      <c r="F501" s="33">
        <f t="shared" si="15"/>
        <v>1.0524455523362668E-2</v>
      </c>
      <c r="I501" s="37"/>
      <c r="J501" s="37"/>
    </row>
    <row r="502" spans="1:10" x14ac:dyDescent="0.35">
      <c r="A502" s="35">
        <v>44473</v>
      </c>
      <c r="B502">
        <v>137.19</v>
      </c>
      <c r="C502" s="33">
        <f t="shared" si="14"/>
        <v>-2.4600071098471437E-2</v>
      </c>
      <c r="E502" s="34">
        <v>4300.46</v>
      </c>
      <c r="F502" s="33">
        <f t="shared" si="15"/>
        <v>-1.298588032242071E-2</v>
      </c>
      <c r="I502" s="37"/>
      <c r="J502" s="37"/>
    </row>
    <row r="503" spans="1:10" x14ac:dyDescent="0.35">
      <c r="A503" s="35">
        <v>44470</v>
      </c>
      <c r="B503">
        <v>140.65</v>
      </c>
      <c r="C503" s="33">
        <f t="shared" si="14"/>
        <v>8.0991972477063891E-3</v>
      </c>
      <c r="E503" s="34">
        <v>4357.04</v>
      </c>
      <c r="F503" s="33">
        <f t="shared" si="15"/>
        <v>1.1491477734391324E-2</v>
      </c>
      <c r="I503" s="37"/>
      <c r="J503" s="37"/>
    </row>
    <row r="504" spans="1:10" x14ac:dyDescent="0.35">
      <c r="A504" s="35">
        <v>44469</v>
      </c>
      <c r="B504">
        <v>139.52000000000001</v>
      </c>
      <c r="C504" s="33">
        <f t="shared" si="14"/>
        <v>-9.3019953134985591E-3</v>
      </c>
      <c r="E504" s="34">
        <v>4307.54</v>
      </c>
      <c r="F504" s="33">
        <f t="shared" si="15"/>
        <v>-1.1909731939276899E-2</v>
      </c>
      <c r="I504" s="37"/>
      <c r="J504" s="37"/>
    </row>
    <row r="505" spans="1:10" x14ac:dyDescent="0.35">
      <c r="A505" s="35">
        <v>44468</v>
      </c>
      <c r="B505">
        <v>140.83000000000001</v>
      </c>
      <c r="C505" s="33">
        <f t="shared" si="14"/>
        <v>6.503716409376966E-3</v>
      </c>
      <c r="E505" s="34">
        <v>4359.46</v>
      </c>
      <c r="F505" s="33">
        <f t="shared" si="15"/>
        <v>1.5691662282344069E-3</v>
      </c>
      <c r="I505" s="37"/>
      <c r="J505" s="37"/>
    </row>
    <row r="506" spans="1:10" x14ac:dyDescent="0.35">
      <c r="A506" s="35">
        <v>44467</v>
      </c>
      <c r="B506">
        <v>139.91999999999999</v>
      </c>
      <c r="C506" s="33">
        <f t="shared" si="14"/>
        <v>-2.38593553788197E-2</v>
      </c>
      <c r="E506" s="34">
        <v>4352.63</v>
      </c>
      <c r="F506" s="33">
        <f t="shared" si="15"/>
        <v>-2.0364114325326081E-2</v>
      </c>
      <c r="I506" s="37"/>
      <c r="J506" s="37"/>
    </row>
    <row r="507" spans="1:10" x14ac:dyDescent="0.35">
      <c r="A507" s="35">
        <v>44466</v>
      </c>
      <c r="B507">
        <v>143.34</v>
      </c>
      <c r="C507" s="33">
        <f t="shared" si="14"/>
        <v>-1.0492889686594023E-2</v>
      </c>
      <c r="E507" s="34">
        <v>4443.1099999999997</v>
      </c>
      <c r="F507" s="33">
        <f t="shared" si="15"/>
        <v>-2.776356307288977E-3</v>
      </c>
      <c r="I507" s="37"/>
      <c r="J507" s="37"/>
    </row>
    <row r="508" spans="1:10" x14ac:dyDescent="0.35">
      <c r="A508" s="35">
        <v>44463</v>
      </c>
      <c r="B508">
        <v>144.86000000000001</v>
      </c>
      <c r="C508" s="33">
        <f t="shared" si="14"/>
        <v>5.5256250863387562E-4</v>
      </c>
      <c r="E508" s="34">
        <v>4455.4799999999996</v>
      </c>
      <c r="F508" s="33">
        <f t="shared" si="15"/>
        <v>1.4610090402744002E-3</v>
      </c>
      <c r="I508" s="37"/>
      <c r="J508" s="37"/>
    </row>
    <row r="509" spans="1:10" x14ac:dyDescent="0.35">
      <c r="A509" s="35">
        <v>44462</v>
      </c>
      <c r="B509">
        <v>144.78</v>
      </c>
      <c r="C509" s="33">
        <f t="shared" si="14"/>
        <v>6.7450107781099984E-3</v>
      </c>
      <c r="E509" s="34">
        <v>4448.9799999999996</v>
      </c>
      <c r="F509" s="33">
        <f t="shared" si="15"/>
        <v>1.2134751708510987E-2</v>
      </c>
      <c r="I509" s="37"/>
      <c r="J509" s="37"/>
    </row>
    <row r="510" spans="1:10" x14ac:dyDescent="0.35">
      <c r="A510" s="35">
        <v>44461</v>
      </c>
      <c r="B510">
        <v>143.81</v>
      </c>
      <c r="C510" s="33">
        <f t="shared" si="14"/>
        <v>1.6900014142271356E-2</v>
      </c>
      <c r="E510" s="34">
        <v>4395.6400000000003</v>
      </c>
      <c r="F510" s="33">
        <f t="shared" si="15"/>
        <v>9.5195662109372192E-3</v>
      </c>
      <c r="I510" s="37"/>
      <c r="J510" s="37"/>
    </row>
    <row r="511" spans="1:10" x14ac:dyDescent="0.35">
      <c r="A511" s="35">
        <v>44460</v>
      </c>
      <c r="B511">
        <v>141.41999999999999</v>
      </c>
      <c r="C511" s="33">
        <f t="shared" si="14"/>
        <v>3.4057045551297701E-3</v>
      </c>
      <c r="E511" s="34">
        <v>4354.1899999999996</v>
      </c>
      <c r="F511" s="33">
        <f t="shared" si="15"/>
        <v>-8.1234954896241022E-4</v>
      </c>
      <c r="I511" s="37"/>
      <c r="J511" s="37"/>
    </row>
    <row r="512" spans="1:10" x14ac:dyDescent="0.35">
      <c r="A512" s="35">
        <v>44459</v>
      </c>
      <c r="B512">
        <v>140.94</v>
      </c>
      <c r="C512" s="33">
        <f t="shared" si="14"/>
        <v>-2.1385918622413638E-2</v>
      </c>
      <c r="E512" s="34">
        <v>4357.7299999999996</v>
      </c>
      <c r="F512" s="33">
        <f t="shared" si="15"/>
        <v>-1.6977254629493913E-2</v>
      </c>
      <c r="I512" s="37"/>
      <c r="J512" s="37"/>
    </row>
    <row r="513" spans="1:10" x14ac:dyDescent="0.35">
      <c r="A513" s="35">
        <v>44456</v>
      </c>
      <c r="B513">
        <v>144.02000000000001</v>
      </c>
      <c r="C513" s="33">
        <f t="shared" si="14"/>
        <v>-1.8335491786517603E-2</v>
      </c>
      <c r="E513" s="34">
        <v>4432.99</v>
      </c>
      <c r="F513" s="33">
        <f t="shared" si="15"/>
        <v>-9.1109248393406467E-3</v>
      </c>
      <c r="I513" s="37"/>
      <c r="J513" s="37"/>
    </row>
    <row r="514" spans="1:10" x14ac:dyDescent="0.35">
      <c r="A514" s="35">
        <v>44455</v>
      </c>
      <c r="B514">
        <v>146.71</v>
      </c>
      <c r="C514" s="33">
        <f t="shared" ref="C514:C577" si="16">(B514-B515)/B515</f>
        <v>-1.5652647339049256E-3</v>
      </c>
      <c r="E514" s="34">
        <v>4473.75</v>
      </c>
      <c r="F514" s="33">
        <f t="shared" ref="F514:F577" si="17">(E514-E515)/E515</f>
        <v>-1.5510969268194297E-3</v>
      </c>
      <c r="I514" s="37"/>
      <c r="J514" s="37"/>
    </row>
    <row r="515" spans="1:10" x14ac:dyDescent="0.35">
      <c r="A515" s="35">
        <v>44454</v>
      </c>
      <c r="B515">
        <v>146.94</v>
      </c>
      <c r="C515" s="33">
        <f t="shared" si="16"/>
        <v>6.0938034919547157E-3</v>
      </c>
      <c r="E515" s="34">
        <v>4480.7</v>
      </c>
      <c r="F515" s="33">
        <f t="shared" si="17"/>
        <v>8.4739086888510444E-3</v>
      </c>
      <c r="I515" s="37"/>
      <c r="J515" s="37"/>
    </row>
    <row r="516" spans="1:10" x14ac:dyDescent="0.35">
      <c r="A516" s="35">
        <v>44453</v>
      </c>
      <c r="B516">
        <v>146.05000000000001</v>
      </c>
      <c r="C516" s="33">
        <f t="shared" si="16"/>
        <v>-9.5619150956191279E-3</v>
      </c>
      <c r="E516" s="34">
        <v>4443.05</v>
      </c>
      <c r="F516" s="33">
        <f t="shared" si="17"/>
        <v>-5.7465991456184156E-3</v>
      </c>
      <c r="I516" s="37"/>
      <c r="J516" s="37"/>
    </row>
    <row r="517" spans="1:10" x14ac:dyDescent="0.35">
      <c r="A517" s="35">
        <v>44452</v>
      </c>
      <c r="B517">
        <v>147.46</v>
      </c>
      <c r="C517" s="33">
        <f t="shared" si="16"/>
        <v>3.880454762067E-3</v>
      </c>
      <c r="E517" s="34">
        <v>4468.7299999999996</v>
      </c>
      <c r="F517" s="33">
        <f t="shared" si="17"/>
        <v>2.2765095613400759E-3</v>
      </c>
      <c r="I517" s="37"/>
      <c r="J517" s="37"/>
    </row>
    <row r="518" spans="1:10" x14ac:dyDescent="0.35">
      <c r="A518" s="35">
        <v>44449</v>
      </c>
      <c r="B518">
        <v>146.88999999999999</v>
      </c>
      <c r="C518" s="33">
        <f t="shared" si="16"/>
        <v>-3.3045882430386482E-2</v>
      </c>
      <c r="E518" s="34">
        <v>4458.58</v>
      </c>
      <c r="F518" s="33">
        <f t="shared" si="17"/>
        <v>-7.7226435922087694E-3</v>
      </c>
      <c r="I518" s="37"/>
      <c r="J518" s="37"/>
    </row>
    <row r="519" spans="1:10" x14ac:dyDescent="0.35">
      <c r="A519" s="35">
        <v>44448</v>
      </c>
      <c r="B519">
        <v>151.91</v>
      </c>
      <c r="C519" s="33">
        <f t="shared" si="16"/>
        <v>-6.734667189747621E-3</v>
      </c>
      <c r="E519" s="34">
        <v>4493.28</v>
      </c>
      <c r="F519" s="33">
        <f t="shared" si="17"/>
        <v>-4.6055998245485702E-3</v>
      </c>
      <c r="I519" s="37"/>
      <c r="J519" s="37"/>
    </row>
    <row r="520" spans="1:10" x14ac:dyDescent="0.35">
      <c r="A520" s="35">
        <v>44447</v>
      </c>
      <c r="B520">
        <v>152.94</v>
      </c>
      <c r="C520" s="33">
        <f t="shared" si="16"/>
        <v>-1.0097087378640792E-2</v>
      </c>
      <c r="E520" s="34">
        <v>4514.07</v>
      </c>
      <c r="F520" s="33">
        <f t="shared" si="17"/>
        <v>-1.3185753191903675E-3</v>
      </c>
      <c r="I520" s="37"/>
      <c r="J520" s="37"/>
    </row>
    <row r="521" spans="1:10" x14ac:dyDescent="0.35">
      <c r="A521" s="35">
        <v>44446</v>
      </c>
      <c r="B521">
        <v>154.5</v>
      </c>
      <c r="C521" s="33">
        <f t="shared" si="16"/>
        <v>1.5512028394899525E-2</v>
      </c>
      <c r="E521" s="34">
        <v>4520.03</v>
      </c>
      <c r="F521" s="33">
        <f t="shared" si="17"/>
        <v>-3.3954884101398421E-3</v>
      </c>
      <c r="I521" s="37"/>
      <c r="J521" s="37"/>
    </row>
    <row r="522" spans="1:10" x14ac:dyDescent="0.35">
      <c r="A522" s="35">
        <v>44442</v>
      </c>
      <c r="B522">
        <v>152.13999999999999</v>
      </c>
      <c r="C522" s="33">
        <f t="shared" si="16"/>
        <v>4.2244224422441348E-3</v>
      </c>
      <c r="E522" s="34">
        <v>4535.43</v>
      </c>
      <c r="F522" s="33">
        <f t="shared" si="17"/>
        <v>-3.3502683520857118E-4</v>
      </c>
      <c r="I522" s="37"/>
      <c r="J522" s="37"/>
    </row>
    <row r="523" spans="1:10" x14ac:dyDescent="0.35">
      <c r="A523" s="35">
        <v>44441</v>
      </c>
      <c r="B523">
        <v>151.5</v>
      </c>
      <c r="C523" s="33">
        <f t="shared" si="16"/>
        <v>7.4477989094294756E-3</v>
      </c>
      <c r="E523" s="34">
        <v>4536.95</v>
      </c>
      <c r="F523" s="33">
        <f t="shared" si="17"/>
        <v>2.8425606033477832E-3</v>
      </c>
      <c r="I523" s="37"/>
      <c r="J523" s="37"/>
    </row>
    <row r="524" spans="1:10" x14ac:dyDescent="0.35">
      <c r="A524" s="35">
        <v>44440</v>
      </c>
      <c r="B524">
        <v>150.38</v>
      </c>
      <c r="C524" s="33">
        <f t="shared" si="16"/>
        <v>4.4753189499698578E-3</v>
      </c>
      <c r="E524" s="34">
        <v>4524.09</v>
      </c>
      <c r="F524" s="33">
        <f t="shared" si="17"/>
        <v>3.1176205258825617E-4</v>
      </c>
      <c r="I524" s="37"/>
      <c r="J524" s="37"/>
    </row>
    <row r="525" spans="1:10" x14ac:dyDescent="0.35">
      <c r="A525" s="35">
        <v>44439</v>
      </c>
      <c r="B525">
        <v>149.71</v>
      </c>
      <c r="C525" s="33">
        <f t="shared" si="16"/>
        <v>-8.4117101602860112E-3</v>
      </c>
      <c r="E525" s="34">
        <v>4522.68</v>
      </c>
      <c r="F525" s="33">
        <f t="shared" si="17"/>
        <v>-1.3491462399448137E-3</v>
      </c>
      <c r="I525" s="37"/>
      <c r="J525" s="37"/>
    </row>
    <row r="526" spans="1:10" x14ac:dyDescent="0.35">
      <c r="A526" s="35">
        <v>44438</v>
      </c>
      <c r="B526">
        <v>150.97999999999999</v>
      </c>
      <c r="C526" s="33">
        <f t="shared" si="16"/>
        <v>3.0439530439530297E-2</v>
      </c>
      <c r="E526" s="34">
        <v>4528.79</v>
      </c>
      <c r="F526" s="33">
        <f t="shared" si="17"/>
        <v>4.306588281733385E-3</v>
      </c>
      <c r="I526" s="37"/>
      <c r="J526" s="37"/>
    </row>
    <row r="527" spans="1:10" x14ac:dyDescent="0.35">
      <c r="A527" s="35">
        <v>44435</v>
      </c>
      <c r="B527">
        <v>146.52000000000001</v>
      </c>
      <c r="C527" s="33">
        <f t="shared" si="16"/>
        <v>7.148748968930578E-3</v>
      </c>
      <c r="E527" s="34">
        <v>4509.37</v>
      </c>
      <c r="F527" s="33">
        <f t="shared" si="17"/>
        <v>8.8076062639820783E-3</v>
      </c>
      <c r="I527" s="37"/>
      <c r="J527" s="37"/>
    </row>
    <row r="528" spans="1:10" x14ac:dyDescent="0.35">
      <c r="A528" s="35">
        <v>44434</v>
      </c>
      <c r="B528">
        <v>145.47999999999999</v>
      </c>
      <c r="C528" s="33">
        <f t="shared" si="16"/>
        <v>-5.4689636313919286E-3</v>
      </c>
      <c r="E528" s="34">
        <v>4470</v>
      </c>
      <c r="F528" s="33">
        <f t="shared" si="17"/>
        <v>-5.8249317755698941E-3</v>
      </c>
      <c r="I528" s="37"/>
      <c r="J528" s="37"/>
    </row>
    <row r="529" spans="1:10" x14ac:dyDescent="0.35">
      <c r="A529" s="35">
        <v>44433</v>
      </c>
      <c r="B529">
        <v>146.28</v>
      </c>
      <c r="C529" s="33">
        <f t="shared" si="16"/>
        <v>-8.4728529790551073E-3</v>
      </c>
      <c r="E529" s="34">
        <v>4496.1899999999996</v>
      </c>
      <c r="F529" s="33">
        <f t="shared" si="17"/>
        <v>2.2201269217137858E-3</v>
      </c>
      <c r="I529" s="37"/>
      <c r="J529" s="37"/>
    </row>
    <row r="530" spans="1:10" x14ac:dyDescent="0.35">
      <c r="A530" s="35">
        <v>44432</v>
      </c>
      <c r="B530">
        <v>147.53</v>
      </c>
      <c r="C530" s="33">
        <f t="shared" si="16"/>
        <v>-5.4196870130758415E-4</v>
      </c>
      <c r="E530" s="34">
        <v>4486.2299999999996</v>
      </c>
      <c r="F530" s="33">
        <f t="shared" si="17"/>
        <v>1.4956926284676781E-3</v>
      </c>
      <c r="I530" s="37"/>
      <c r="J530" s="37"/>
    </row>
    <row r="531" spans="1:10" x14ac:dyDescent="0.35">
      <c r="A531" s="35">
        <v>44431</v>
      </c>
      <c r="B531">
        <v>147.61000000000001</v>
      </c>
      <c r="C531" s="33">
        <f t="shared" si="16"/>
        <v>1.0197098275390152E-2</v>
      </c>
      <c r="E531" s="34">
        <v>4479.53</v>
      </c>
      <c r="F531" s="33">
        <f t="shared" si="17"/>
        <v>8.5238209952562156E-3</v>
      </c>
      <c r="I531" s="37"/>
      <c r="J531" s="37"/>
    </row>
    <row r="532" spans="1:10" x14ac:dyDescent="0.35">
      <c r="A532" s="35">
        <v>44428</v>
      </c>
      <c r="B532">
        <v>146.12</v>
      </c>
      <c r="C532" s="33">
        <f t="shared" si="16"/>
        <v>1.0162461113031446E-2</v>
      </c>
      <c r="E532" s="34">
        <v>4441.67</v>
      </c>
      <c r="F532" s="33">
        <f t="shared" si="17"/>
        <v>8.1415406963547803E-3</v>
      </c>
      <c r="I532" s="37"/>
      <c r="J532" s="37"/>
    </row>
    <row r="533" spans="1:10" x14ac:dyDescent="0.35">
      <c r="A533" s="35">
        <v>44427</v>
      </c>
      <c r="B533">
        <v>144.65</v>
      </c>
      <c r="C533" s="33">
        <f t="shared" si="16"/>
        <v>2.3560390825306866E-3</v>
      </c>
      <c r="E533" s="34">
        <v>4405.8</v>
      </c>
      <c r="F533" s="33">
        <f t="shared" si="17"/>
        <v>1.2567410636164927E-3</v>
      </c>
      <c r="I533" s="37"/>
      <c r="J533" s="37"/>
    </row>
    <row r="534" spans="1:10" x14ac:dyDescent="0.35">
      <c r="A534" s="35">
        <v>44426</v>
      </c>
      <c r="B534">
        <v>144.31</v>
      </c>
      <c r="C534" s="33">
        <f t="shared" si="16"/>
        <v>-2.552501856978865E-2</v>
      </c>
      <c r="E534" s="34">
        <v>4400.2700000000004</v>
      </c>
      <c r="F534" s="33">
        <f t="shared" si="17"/>
        <v>-1.0748457761550936E-2</v>
      </c>
      <c r="I534" s="37"/>
      <c r="J534" s="37"/>
    </row>
    <row r="535" spans="1:10" x14ac:dyDescent="0.35">
      <c r="A535" s="35">
        <v>44425</v>
      </c>
      <c r="B535">
        <v>148.09</v>
      </c>
      <c r="C535" s="33">
        <f t="shared" si="16"/>
        <v>-6.1073825503355477E-3</v>
      </c>
      <c r="E535" s="34">
        <v>4448.08</v>
      </c>
      <c r="F535" s="33">
        <f t="shared" si="17"/>
        <v>-7.0607249129966245E-3</v>
      </c>
      <c r="I535" s="37"/>
      <c r="J535" s="37"/>
    </row>
    <row r="536" spans="1:10" x14ac:dyDescent="0.35">
      <c r="A536" s="35">
        <v>44424</v>
      </c>
      <c r="B536">
        <v>149</v>
      </c>
      <c r="C536" s="33">
        <f t="shared" si="16"/>
        <v>1.353649411604659E-2</v>
      </c>
      <c r="E536" s="34">
        <v>4479.71</v>
      </c>
      <c r="F536" s="33">
        <f t="shared" si="17"/>
        <v>2.6208594449418166E-3</v>
      </c>
      <c r="I536" s="37"/>
      <c r="J536" s="37"/>
    </row>
    <row r="537" spans="1:10" x14ac:dyDescent="0.35">
      <c r="A537" s="35">
        <v>44421</v>
      </c>
      <c r="B537">
        <v>147.01</v>
      </c>
      <c r="C537" s="33">
        <f t="shared" si="16"/>
        <v>1.3623050200939216E-3</v>
      </c>
      <c r="E537" s="34">
        <v>4468</v>
      </c>
      <c r="F537" s="33">
        <f t="shared" si="17"/>
        <v>1.6073241975148285E-3</v>
      </c>
      <c r="I537" s="37"/>
      <c r="J537" s="37"/>
    </row>
    <row r="538" spans="1:10" x14ac:dyDescent="0.35">
      <c r="A538" s="35">
        <v>44420</v>
      </c>
      <c r="B538">
        <v>146.81</v>
      </c>
      <c r="C538" s="33">
        <f t="shared" si="16"/>
        <v>2.078987623418168E-2</v>
      </c>
      <c r="E538" s="34">
        <v>4460.83</v>
      </c>
      <c r="F538" s="33">
        <f t="shared" si="17"/>
        <v>4.1463980136907837E-3</v>
      </c>
      <c r="I538" s="37"/>
      <c r="J538" s="37"/>
    </row>
    <row r="539" spans="1:10" x14ac:dyDescent="0.35">
      <c r="A539" s="35">
        <v>44419</v>
      </c>
      <c r="B539">
        <v>143.82</v>
      </c>
      <c r="C539" s="33">
        <f t="shared" si="16"/>
        <v>1.8110894399553559E-3</v>
      </c>
      <c r="E539" s="34">
        <v>4442.41</v>
      </c>
      <c r="F539" s="33">
        <f t="shared" si="17"/>
        <v>1.2757085704625806E-3</v>
      </c>
      <c r="I539" s="37"/>
      <c r="J539" s="37"/>
    </row>
    <row r="540" spans="1:10" x14ac:dyDescent="0.35">
      <c r="A540" s="35">
        <v>44418</v>
      </c>
      <c r="B540">
        <v>143.56</v>
      </c>
      <c r="C540" s="33">
        <f t="shared" si="16"/>
        <v>-3.4015966678237353E-3</v>
      </c>
      <c r="E540" s="34">
        <v>4436.75</v>
      </c>
      <c r="F540" s="33">
        <f t="shared" si="17"/>
        <v>9.9270138865379222E-4</v>
      </c>
      <c r="I540" s="37"/>
      <c r="J540" s="37"/>
    </row>
    <row r="541" spans="1:10" x14ac:dyDescent="0.35">
      <c r="A541" s="35">
        <v>44417</v>
      </c>
      <c r="B541">
        <v>144.05000000000001</v>
      </c>
      <c r="C541" s="33">
        <f t="shared" si="16"/>
        <v>-2.776042751057814E-4</v>
      </c>
      <c r="E541" s="34">
        <v>4432.3500000000004</v>
      </c>
      <c r="F541" s="33">
        <f t="shared" si="17"/>
        <v>-9.3992588785806722E-4</v>
      </c>
      <c r="I541" s="37"/>
      <c r="J541" s="37"/>
    </row>
    <row r="542" spans="1:10" x14ac:dyDescent="0.35">
      <c r="A542" s="35">
        <v>44414</v>
      </c>
      <c r="B542">
        <v>144.09</v>
      </c>
      <c r="C542" s="33">
        <f t="shared" si="16"/>
        <v>-4.765851636966416E-3</v>
      </c>
      <c r="E542" s="34">
        <v>4436.5200000000004</v>
      </c>
      <c r="F542" s="33">
        <f t="shared" si="17"/>
        <v>1.6752839177259652E-3</v>
      </c>
      <c r="I542" s="37"/>
      <c r="J542" s="37"/>
    </row>
    <row r="543" spans="1:10" x14ac:dyDescent="0.35">
      <c r="A543" s="35">
        <v>44413</v>
      </c>
      <c r="B543">
        <v>144.78</v>
      </c>
      <c r="C543" s="33">
        <f t="shared" si="16"/>
        <v>6.9118053635605691E-4</v>
      </c>
      <c r="E543" s="34">
        <v>4429.1000000000004</v>
      </c>
      <c r="F543" s="33">
        <f t="shared" si="17"/>
        <v>6.0054603353428401E-3</v>
      </c>
      <c r="I543" s="37"/>
      <c r="J543" s="37"/>
    </row>
    <row r="544" spans="1:10" x14ac:dyDescent="0.35">
      <c r="A544" s="35">
        <v>44412</v>
      </c>
      <c r="B544">
        <v>144.68</v>
      </c>
      <c r="C544" s="33">
        <f t="shared" si="16"/>
        <v>-2.7570995312931187E-3</v>
      </c>
      <c r="E544" s="34">
        <v>4402.66</v>
      </c>
      <c r="F544" s="33">
        <f t="shared" si="17"/>
        <v>-4.6324452030792043E-3</v>
      </c>
      <c r="I544" s="37"/>
      <c r="J544" s="37"/>
    </row>
    <row r="545" spans="1:10" x14ac:dyDescent="0.35">
      <c r="A545" s="35">
        <v>44411</v>
      </c>
      <c r="B545">
        <v>145.08000000000001</v>
      </c>
      <c r="C545" s="33">
        <f t="shared" si="16"/>
        <v>1.2633489216165297E-2</v>
      </c>
      <c r="E545" s="34">
        <v>4423.1499999999996</v>
      </c>
      <c r="F545" s="33">
        <f t="shared" si="17"/>
        <v>8.2034847144849474E-3</v>
      </c>
      <c r="I545" s="37"/>
      <c r="J545" s="37"/>
    </row>
    <row r="546" spans="1:10" x14ac:dyDescent="0.35">
      <c r="A546" s="35">
        <v>44410</v>
      </c>
      <c r="B546">
        <v>143.27000000000001</v>
      </c>
      <c r="C546" s="33">
        <f t="shared" si="16"/>
        <v>-2.2980501392756551E-3</v>
      </c>
      <c r="E546" s="34">
        <v>4387.16</v>
      </c>
      <c r="F546" s="33">
        <f t="shared" si="17"/>
        <v>-1.8428943907755999E-3</v>
      </c>
      <c r="I546" s="37"/>
      <c r="J546" s="37"/>
    </row>
    <row r="547" spans="1:10" x14ac:dyDescent="0.35">
      <c r="A547" s="35">
        <v>44407</v>
      </c>
      <c r="B547">
        <v>143.6</v>
      </c>
      <c r="C547" s="33">
        <f t="shared" si="16"/>
        <v>1.4645372759607223E-3</v>
      </c>
      <c r="E547" s="34">
        <v>4395.26</v>
      </c>
      <c r="F547" s="33">
        <f t="shared" si="17"/>
        <v>-5.4060169942182143E-3</v>
      </c>
      <c r="I547" s="37"/>
      <c r="J547" s="37"/>
    </row>
    <row r="548" spans="1:10" x14ac:dyDescent="0.35">
      <c r="A548" s="35">
        <v>44406</v>
      </c>
      <c r="B548">
        <v>143.38999999999999</v>
      </c>
      <c r="C548" s="33">
        <f t="shared" si="16"/>
        <v>4.5537340619306241E-3</v>
      </c>
      <c r="E548" s="34">
        <v>4419.1499999999996</v>
      </c>
      <c r="F548" s="33">
        <f t="shared" si="17"/>
        <v>4.2062063699823907E-3</v>
      </c>
      <c r="I548" s="37"/>
      <c r="J548" s="37"/>
    </row>
    <row r="549" spans="1:10" x14ac:dyDescent="0.35">
      <c r="A549" s="35">
        <v>44405</v>
      </c>
      <c r="B549">
        <v>142.74</v>
      </c>
      <c r="C549" s="33">
        <f t="shared" si="16"/>
        <v>-1.2179930795847688E-2</v>
      </c>
      <c r="E549" s="34">
        <v>4400.6400000000003</v>
      </c>
      <c r="F549" s="33">
        <f t="shared" si="17"/>
        <v>-1.8630181803304106E-4</v>
      </c>
      <c r="I549" s="37"/>
      <c r="J549" s="37"/>
    </row>
    <row r="550" spans="1:10" x14ac:dyDescent="0.35">
      <c r="A550" s="35">
        <v>44404</v>
      </c>
      <c r="B550">
        <v>144.5</v>
      </c>
      <c r="C550" s="33">
        <f t="shared" si="16"/>
        <v>-1.492944304315221E-2</v>
      </c>
      <c r="E550" s="34">
        <v>4401.46</v>
      </c>
      <c r="F550" s="33">
        <f t="shared" si="17"/>
        <v>-4.7124799312575228E-3</v>
      </c>
      <c r="I550" s="37"/>
      <c r="J550" s="37"/>
    </row>
    <row r="551" spans="1:10" x14ac:dyDescent="0.35">
      <c r="A551" s="35">
        <v>44403</v>
      </c>
      <c r="B551">
        <v>146.69</v>
      </c>
      <c r="C551" s="33">
        <f t="shared" si="16"/>
        <v>2.9399699165869467E-3</v>
      </c>
      <c r="E551" s="34">
        <v>4422.3</v>
      </c>
      <c r="F551" s="33">
        <f t="shared" si="17"/>
        <v>2.3822530084161345E-3</v>
      </c>
      <c r="I551" s="37"/>
      <c r="J551" s="37"/>
    </row>
    <row r="552" spans="1:10" x14ac:dyDescent="0.35">
      <c r="A552" s="35">
        <v>44400</v>
      </c>
      <c r="B552">
        <v>146.26</v>
      </c>
      <c r="C552" s="33">
        <f t="shared" si="16"/>
        <v>1.1969833252611844E-2</v>
      </c>
      <c r="E552" s="34">
        <v>4411.79</v>
      </c>
      <c r="F552" s="33">
        <f t="shared" si="17"/>
        <v>1.0145438559535569E-2</v>
      </c>
      <c r="I552" s="37"/>
      <c r="J552" s="37"/>
    </row>
    <row r="553" spans="1:10" x14ac:dyDescent="0.35">
      <c r="A553" s="35">
        <v>44399</v>
      </c>
      <c r="B553">
        <v>144.53</v>
      </c>
      <c r="C553" s="33">
        <f t="shared" si="16"/>
        <v>9.6402375130981172E-3</v>
      </c>
      <c r="E553" s="34">
        <v>4367.4799999999996</v>
      </c>
      <c r="F553" s="33">
        <f t="shared" si="17"/>
        <v>2.0166609692361614E-3</v>
      </c>
      <c r="I553" s="37"/>
      <c r="J553" s="37"/>
    </row>
    <row r="554" spans="1:10" x14ac:dyDescent="0.35">
      <c r="A554" s="35">
        <v>44398</v>
      </c>
      <c r="B554">
        <v>143.15</v>
      </c>
      <c r="C554" s="33">
        <f t="shared" si="16"/>
        <v>-5.142817429981102E-3</v>
      </c>
      <c r="E554" s="34">
        <v>4358.6899999999996</v>
      </c>
      <c r="F554" s="33">
        <f t="shared" si="17"/>
        <v>8.2418472100778614E-3</v>
      </c>
      <c r="I554" s="37"/>
      <c r="J554" s="37"/>
    </row>
    <row r="555" spans="1:10" x14ac:dyDescent="0.35">
      <c r="A555" s="35">
        <v>44397</v>
      </c>
      <c r="B555">
        <v>143.88999999999999</v>
      </c>
      <c r="C555" s="33">
        <f t="shared" si="16"/>
        <v>2.5953654188948211E-2</v>
      </c>
      <c r="E555" s="34">
        <v>4323.0600000000004</v>
      </c>
      <c r="F555" s="33">
        <f t="shared" si="17"/>
        <v>1.5162651550197517E-2</v>
      </c>
      <c r="I555" s="37"/>
      <c r="J555" s="37"/>
    </row>
    <row r="556" spans="1:10" x14ac:dyDescent="0.35">
      <c r="A556" s="35">
        <v>44396</v>
      </c>
      <c r="B556">
        <v>140.25</v>
      </c>
      <c r="C556" s="33">
        <f t="shared" si="16"/>
        <v>-2.6920141538888474E-2</v>
      </c>
      <c r="E556" s="34">
        <v>4258.49</v>
      </c>
      <c r="F556" s="33">
        <f t="shared" si="17"/>
        <v>-1.5869531055010693E-2</v>
      </c>
      <c r="I556" s="37"/>
      <c r="J556" s="37"/>
    </row>
    <row r="557" spans="1:10" x14ac:dyDescent="0.35">
      <c r="A557" s="35">
        <v>44393</v>
      </c>
      <c r="B557">
        <v>144.13</v>
      </c>
      <c r="C557" s="33">
        <f t="shared" si="16"/>
        <v>-1.402380626624717E-2</v>
      </c>
      <c r="E557" s="34">
        <v>4327.16</v>
      </c>
      <c r="F557" s="33">
        <f t="shared" si="17"/>
        <v>-7.5389389522548915E-3</v>
      </c>
      <c r="I557" s="37"/>
      <c r="J557" s="37"/>
    </row>
    <row r="558" spans="1:10" x14ac:dyDescent="0.35">
      <c r="A558" s="35">
        <v>44392</v>
      </c>
      <c r="B558">
        <v>146.18</v>
      </c>
      <c r="C558" s="33">
        <f t="shared" si="16"/>
        <v>-4.4946880958866564E-3</v>
      </c>
      <c r="E558" s="34">
        <v>4360.03</v>
      </c>
      <c r="F558" s="33">
        <f t="shared" si="17"/>
        <v>-3.2622362435133475E-3</v>
      </c>
      <c r="I558" s="37"/>
      <c r="J558" s="37"/>
    </row>
    <row r="559" spans="1:10" x14ac:dyDescent="0.35">
      <c r="A559" s="35">
        <v>44391</v>
      </c>
      <c r="B559">
        <v>146.84</v>
      </c>
      <c r="C559" s="33">
        <f t="shared" si="16"/>
        <v>2.406025524792536E-2</v>
      </c>
      <c r="E559" s="34">
        <v>4374.3</v>
      </c>
      <c r="F559" s="33">
        <f t="shared" si="17"/>
        <v>1.1649703264434864E-3</v>
      </c>
      <c r="I559" s="37"/>
      <c r="J559" s="37"/>
    </row>
    <row r="560" spans="1:10" x14ac:dyDescent="0.35">
      <c r="A560" s="35">
        <v>44390</v>
      </c>
      <c r="B560">
        <v>143.38999999999999</v>
      </c>
      <c r="C560" s="33">
        <f t="shared" si="16"/>
        <v>7.9432025868128465E-3</v>
      </c>
      <c r="E560" s="34">
        <v>4369.21</v>
      </c>
      <c r="F560" s="33">
        <f t="shared" si="17"/>
        <v>-3.5168303824952328E-3</v>
      </c>
      <c r="I560" s="37"/>
      <c r="J560" s="37"/>
    </row>
    <row r="561" spans="1:10" x14ac:dyDescent="0.35">
      <c r="A561" s="35">
        <v>44389</v>
      </c>
      <c r="B561">
        <v>142.26</v>
      </c>
      <c r="C561" s="33">
        <f t="shared" si="16"/>
        <v>-4.2696157345839831E-3</v>
      </c>
      <c r="E561" s="34">
        <v>4384.63</v>
      </c>
      <c r="F561" s="33">
        <f t="shared" si="17"/>
        <v>3.4511562975592285E-3</v>
      </c>
      <c r="I561" s="37"/>
      <c r="J561" s="37"/>
    </row>
    <row r="562" spans="1:10" x14ac:dyDescent="0.35">
      <c r="A562" s="35">
        <v>44386</v>
      </c>
      <c r="B562">
        <v>142.87</v>
      </c>
      <c r="C562" s="33">
        <f t="shared" si="16"/>
        <v>1.3118706566444434E-2</v>
      </c>
      <c r="E562" s="34">
        <v>4369.55</v>
      </c>
      <c r="F562" s="33">
        <f t="shared" si="17"/>
        <v>1.1277951870246961E-2</v>
      </c>
      <c r="I562" s="37"/>
      <c r="J562" s="37"/>
    </row>
    <row r="563" spans="1:10" x14ac:dyDescent="0.35">
      <c r="A563" s="35">
        <v>44385</v>
      </c>
      <c r="B563">
        <v>141.02000000000001</v>
      </c>
      <c r="C563" s="33">
        <f t="shared" si="16"/>
        <v>-9.203962622075474E-3</v>
      </c>
      <c r="E563" s="34">
        <v>4320.82</v>
      </c>
      <c r="F563" s="33">
        <f t="shared" si="17"/>
        <v>-8.5610112594164001E-3</v>
      </c>
      <c r="I563" s="37"/>
      <c r="J563" s="37"/>
    </row>
    <row r="564" spans="1:10" x14ac:dyDescent="0.35">
      <c r="A564" s="35">
        <v>44384</v>
      </c>
      <c r="B564">
        <v>142.33000000000001</v>
      </c>
      <c r="C564" s="33">
        <f t="shared" si="16"/>
        <v>1.7951652124159771E-2</v>
      </c>
      <c r="E564" s="34">
        <v>4358.13</v>
      </c>
      <c r="F564" s="33">
        <f t="shared" si="17"/>
        <v>3.3590113133527368E-3</v>
      </c>
      <c r="I564" s="37"/>
      <c r="J564" s="37"/>
    </row>
    <row r="565" spans="1:10" x14ac:dyDescent="0.35">
      <c r="A565" s="35">
        <v>44383</v>
      </c>
      <c r="B565">
        <v>139.82</v>
      </c>
      <c r="C565" s="33">
        <f t="shared" si="16"/>
        <v>1.4732564046737798E-2</v>
      </c>
      <c r="E565" s="34">
        <v>4343.54</v>
      </c>
      <c r="F565" s="33">
        <f t="shared" si="17"/>
        <v>-2.0219008625245688E-3</v>
      </c>
      <c r="I565" s="37"/>
      <c r="J565" s="37"/>
    </row>
    <row r="566" spans="1:10" x14ac:dyDescent="0.35">
      <c r="A566" s="35">
        <v>44379</v>
      </c>
      <c r="B566">
        <v>137.79</v>
      </c>
      <c r="C566" s="33">
        <f t="shared" si="16"/>
        <v>1.9533851276359499E-2</v>
      </c>
      <c r="E566" s="34">
        <v>4352.34</v>
      </c>
      <c r="F566" s="33">
        <f t="shared" si="17"/>
        <v>7.500104168113573E-3</v>
      </c>
      <c r="I566" s="37"/>
      <c r="J566" s="37"/>
    </row>
    <row r="567" spans="1:10" x14ac:dyDescent="0.35">
      <c r="A567" s="35">
        <v>44378</v>
      </c>
      <c r="B567">
        <v>135.15</v>
      </c>
      <c r="C567" s="33">
        <f t="shared" si="16"/>
        <v>2.2990210619994234E-3</v>
      </c>
      <c r="E567" s="34">
        <v>4319.9399999999996</v>
      </c>
      <c r="F567" s="33">
        <f t="shared" si="17"/>
        <v>5.2216404886561022E-3</v>
      </c>
      <c r="I567" s="37"/>
      <c r="J567" s="37"/>
    </row>
    <row r="568" spans="1:10" x14ac:dyDescent="0.35">
      <c r="A568" s="35">
        <v>44377</v>
      </c>
      <c r="B568">
        <v>134.84</v>
      </c>
      <c r="C568" s="33">
        <f t="shared" si="16"/>
        <v>4.6192817761883812E-3</v>
      </c>
      <c r="E568" s="34">
        <v>4297.5</v>
      </c>
      <c r="F568" s="33">
        <f t="shared" si="17"/>
        <v>1.3281140780091844E-3</v>
      </c>
      <c r="I568" s="37"/>
      <c r="J568" s="37"/>
    </row>
    <row r="569" spans="1:10" x14ac:dyDescent="0.35">
      <c r="A569" s="35">
        <v>44376</v>
      </c>
      <c r="B569">
        <v>134.22</v>
      </c>
      <c r="C569" s="33">
        <f t="shared" si="16"/>
        <v>1.1530635315396798E-2</v>
      </c>
      <c r="E569" s="34">
        <v>4291.8</v>
      </c>
      <c r="F569" s="33">
        <f t="shared" si="17"/>
        <v>2.7734984069876064E-4</v>
      </c>
      <c r="I569" s="37"/>
      <c r="J569" s="37"/>
    </row>
    <row r="570" spans="1:10" x14ac:dyDescent="0.35">
      <c r="A570" s="35">
        <v>44375</v>
      </c>
      <c r="B570">
        <v>132.69</v>
      </c>
      <c r="C570" s="33">
        <f t="shared" si="16"/>
        <v>1.251430751621508E-2</v>
      </c>
      <c r="E570" s="34">
        <v>4290.6099999999997</v>
      </c>
      <c r="F570" s="33">
        <f t="shared" si="17"/>
        <v>2.3150419323942008E-3</v>
      </c>
      <c r="I570" s="37"/>
      <c r="J570" s="37"/>
    </row>
    <row r="571" spans="1:10" x14ac:dyDescent="0.35">
      <c r="A571" s="35">
        <v>44372</v>
      </c>
      <c r="B571">
        <v>131.05000000000001</v>
      </c>
      <c r="C571" s="33">
        <f t="shared" si="16"/>
        <v>-2.2839741149599008E-3</v>
      </c>
      <c r="E571" s="34">
        <v>4280.7</v>
      </c>
      <c r="F571" s="33">
        <f t="shared" si="17"/>
        <v>3.3306066579319388E-3</v>
      </c>
      <c r="I571" s="37"/>
      <c r="J571" s="37"/>
    </row>
    <row r="572" spans="1:10" x14ac:dyDescent="0.35">
      <c r="A572" s="35">
        <v>44371</v>
      </c>
      <c r="B572">
        <v>131.35</v>
      </c>
      <c r="C572" s="33">
        <f t="shared" si="16"/>
        <v>-2.12717465623339E-3</v>
      </c>
      <c r="E572" s="34">
        <v>4266.49</v>
      </c>
      <c r="F572" s="33">
        <f t="shared" si="17"/>
        <v>5.8111574222506355E-3</v>
      </c>
      <c r="I572" s="37"/>
      <c r="J572" s="37"/>
    </row>
    <row r="573" spans="1:10" x14ac:dyDescent="0.35">
      <c r="A573" s="35">
        <v>44370</v>
      </c>
      <c r="B573">
        <v>131.63</v>
      </c>
      <c r="C573" s="33">
        <f t="shared" si="16"/>
        <v>-2.1226593889773415E-3</v>
      </c>
      <c r="E573" s="34">
        <v>4241.84</v>
      </c>
      <c r="F573" s="33">
        <f t="shared" si="17"/>
        <v>-1.08326033100655E-3</v>
      </c>
      <c r="I573" s="37"/>
      <c r="J573" s="37"/>
    </row>
    <row r="574" spans="1:10" x14ac:dyDescent="0.35">
      <c r="A574" s="35">
        <v>44369</v>
      </c>
      <c r="B574">
        <v>131.91</v>
      </c>
      <c r="C574" s="33">
        <f t="shared" si="16"/>
        <v>1.2744721689059475E-2</v>
      </c>
      <c r="E574" s="34">
        <v>4246.4399999999996</v>
      </c>
      <c r="F574" s="33">
        <f t="shared" si="17"/>
        <v>5.1245150646540153E-3</v>
      </c>
      <c r="I574" s="37"/>
      <c r="J574" s="37"/>
    </row>
    <row r="575" spans="1:10" x14ac:dyDescent="0.35">
      <c r="A575" s="35">
        <v>44368</v>
      </c>
      <c r="B575">
        <v>130.25</v>
      </c>
      <c r="C575" s="33">
        <f t="shared" si="16"/>
        <v>1.4092183120523219E-2</v>
      </c>
      <c r="E575" s="34">
        <v>4224.79</v>
      </c>
      <c r="F575" s="33">
        <f t="shared" si="17"/>
        <v>1.400232812106233E-2</v>
      </c>
      <c r="I575" s="37"/>
      <c r="J575" s="37"/>
    </row>
    <row r="576" spans="1:10" x14ac:dyDescent="0.35">
      <c r="A576" s="35">
        <v>44365</v>
      </c>
      <c r="B576">
        <v>128.44</v>
      </c>
      <c r="C576" s="33">
        <f t="shared" si="16"/>
        <v>-1.0096339113680172E-2</v>
      </c>
      <c r="E576" s="34">
        <v>4166.45</v>
      </c>
      <c r="F576" s="33">
        <f t="shared" si="17"/>
        <v>-1.3124547000611072E-2</v>
      </c>
      <c r="I576" s="37"/>
      <c r="J576" s="37"/>
    </row>
    <row r="577" spans="1:10" x14ac:dyDescent="0.35">
      <c r="A577" s="35">
        <v>44364</v>
      </c>
      <c r="B577">
        <v>129.75</v>
      </c>
      <c r="C577" s="33">
        <f t="shared" si="16"/>
        <v>1.2564382706414967E-2</v>
      </c>
      <c r="E577" s="34">
        <v>4221.8599999999997</v>
      </c>
      <c r="F577" s="33">
        <f t="shared" si="17"/>
        <v>-4.3563700073398812E-4</v>
      </c>
      <c r="I577" s="37"/>
      <c r="J577" s="37"/>
    </row>
    <row r="578" spans="1:10" x14ac:dyDescent="0.35">
      <c r="A578" s="35">
        <v>44363</v>
      </c>
      <c r="B578">
        <v>128.13999999999999</v>
      </c>
      <c r="C578" s="33">
        <f t="shared" ref="C578:C641" si="18">(B578-B579)/B579</f>
        <v>3.9959257227923754E-3</v>
      </c>
      <c r="E578" s="34">
        <v>4223.7</v>
      </c>
      <c r="F578" s="33">
        <f t="shared" ref="F578:F641" si="19">(E578-E579)/E579</f>
        <v>-5.3902072015429622E-3</v>
      </c>
      <c r="I578" s="37"/>
      <c r="J578" s="37"/>
    </row>
    <row r="579" spans="1:10" x14ac:dyDescent="0.35">
      <c r="A579" s="35">
        <v>44362</v>
      </c>
      <c r="B579">
        <v>127.63</v>
      </c>
      <c r="C579" s="33">
        <f t="shared" si="18"/>
        <v>-6.461155223415946E-3</v>
      </c>
      <c r="E579" s="34">
        <v>4246.59</v>
      </c>
      <c r="F579" s="33">
        <f t="shared" si="19"/>
        <v>-2.0116799642784606E-3</v>
      </c>
      <c r="I579" s="37"/>
      <c r="J579" s="37"/>
    </row>
    <row r="580" spans="1:10" x14ac:dyDescent="0.35">
      <c r="A580" s="35">
        <v>44361</v>
      </c>
      <c r="B580">
        <v>128.46</v>
      </c>
      <c r="C580" s="33">
        <f t="shared" si="18"/>
        <v>2.4565321422874563E-2</v>
      </c>
      <c r="E580" s="34">
        <v>4255.1499999999996</v>
      </c>
      <c r="F580" s="33">
        <f t="shared" si="19"/>
        <v>1.8152110447705058E-3</v>
      </c>
      <c r="I580" s="37"/>
      <c r="J580" s="37"/>
    </row>
    <row r="581" spans="1:10" x14ac:dyDescent="0.35">
      <c r="A581" s="35">
        <v>44358</v>
      </c>
      <c r="B581">
        <v>125.38</v>
      </c>
      <c r="C581" s="33">
        <f t="shared" si="18"/>
        <v>9.8260309278350427E-3</v>
      </c>
      <c r="E581" s="34">
        <v>4247.4399999999996</v>
      </c>
      <c r="F581" s="33">
        <f t="shared" si="19"/>
        <v>1.9484900381675956E-3</v>
      </c>
      <c r="I581" s="37"/>
      <c r="J581" s="37"/>
    </row>
    <row r="582" spans="1:10" x14ac:dyDescent="0.35">
      <c r="A582" s="35">
        <v>44357</v>
      </c>
      <c r="B582">
        <v>124.16</v>
      </c>
      <c r="C582" s="33">
        <f t="shared" si="18"/>
        <v>-7.9897730904442323E-3</v>
      </c>
      <c r="E582" s="34">
        <v>4239.18</v>
      </c>
      <c r="F582" s="33">
        <f t="shared" si="19"/>
        <v>4.6521548506357566E-3</v>
      </c>
      <c r="I582" s="37"/>
      <c r="J582" s="37"/>
    </row>
    <row r="583" spans="1:10" x14ac:dyDescent="0.35">
      <c r="A583" s="35">
        <v>44356</v>
      </c>
      <c r="B583">
        <v>125.16</v>
      </c>
      <c r="C583" s="33">
        <f t="shared" si="18"/>
        <v>3.0453598333065831E-3</v>
      </c>
      <c r="E583" s="34">
        <v>4219.55</v>
      </c>
      <c r="F583" s="33">
        <f t="shared" si="19"/>
        <v>-1.8238764589828958E-3</v>
      </c>
      <c r="I583" s="37"/>
      <c r="J583" s="37"/>
    </row>
    <row r="584" spans="1:10" x14ac:dyDescent="0.35">
      <c r="A584" s="35">
        <v>44355</v>
      </c>
      <c r="B584">
        <v>124.78</v>
      </c>
      <c r="C584" s="33">
        <f t="shared" si="18"/>
        <v>6.6962484872932493E-3</v>
      </c>
      <c r="E584" s="34">
        <v>4227.26</v>
      </c>
      <c r="F584" s="33">
        <f t="shared" si="19"/>
        <v>1.750849398559055E-4</v>
      </c>
      <c r="I584" s="37"/>
      <c r="J584" s="37"/>
    </row>
    <row r="585" spans="1:10" x14ac:dyDescent="0.35">
      <c r="A585" s="35">
        <v>44354</v>
      </c>
      <c r="B585">
        <v>123.95</v>
      </c>
      <c r="C585" s="33">
        <f t="shared" si="18"/>
        <v>8.0684202033283172E-5</v>
      </c>
      <c r="E585" s="34">
        <v>4226.5200000000004</v>
      </c>
      <c r="F585" s="33">
        <f t="shared" si="19"/>
        <v>-7.9671102558219963E-4</v>
      </c>
      <c r="I585" s="37"/>
      <c r="J585" s="37"/>
    </row>
    <row r="586" spans="1:10" x14ac:dyDescent="0.35">
      <c r="A586" s="35">
        <v>44351</v>
      </c>
      <c r="B586">
        <v>123.94</v>
      </c>
      <c r="C586" s="33">
        <f t="shared" si="18"/>
        <v>1.8992024993833779E-2</v>
      </c>
      <c r="E586" s="34">
        <v>4229.8900000000003</v>
      </c>
      <c r="F586" s="33">
        <f t="shared" si="19"/>
        <v>8.8340865998068046E-3</v>
      </c>
      <c r="I586" s="37"/>
      <c r="J586" s="37"/>
    </row>
    <row r="587" spans="1:10" x14ac:dyDescent="0.35">
      <c r="A587" s="35">
        <v>44350</v>
      </c>
      <c r="B587">
        <v>121.63</v>
      </c>
      <c r="C587" s="33">
        <f t="shared" si="18"/>
        <v>-1.218224640623731E-2</v>
      </c>
      <c r="E587" s="34">
        <v>4192.8500000000004</v>
      </c>
      <c r="F587" s="33">
        <f t="shared" si="19"/>
        <v>-3.6286988013648678E-3</v>
      </c>
      <c r="I587" s="37"/>
      <c r="J587" s="37"/>
    </row>
    <row r="588" spans="1:10" x14ac:dyDescent="0.35">
      <c r="A588" s="35">
        <v>44349</v>
      </c>
      <c r="B588">
        <v>123.13</v>
      </c>
      <c r="C588" s="33">
        <f t="shared" si="18"/>
        <v>6.2929061784896701E-3</v>
      </c>
      <c r="E588" s="34">
        <v>4208.12</v>
      </c>
      <c r="F588" s="33">
        <f t="shared" si="19"/>
        <v>1.4469162597214513E-3</v>
      </c>
      <c r="I588" s="37"/>
      <c r="J588" s="37"/>
    </row>
    <row r="589" spans="1:10" x14ac:dyDescent="0.35">
      <c r="A589" s="35">
        <v>44348</v>
      </c>
      <c r="B589">
        <v>122.36</v>
      </c>
      <c r="C589" s="33">
        <f t="shared" si="18"/>
        <v>-2.6084121291164606E-3</v>
      </c>
      <c r="E589" s="34">
        <v>4202.04</v>
      </c>
      <c r="F589" s="33">
        <f t="shared" si="19"/>
        <v>-4.9237531843831605E-4</v>
      </c>
      <c r="I589" s="37"/>
      <c r="J589" s="37"/>
    </row>
    <row r="590" spans="1:10" x14ac:dyDescent="0.35">
      <c r="A590" s="35">
        <v>44344</v>
      </c>
      <c r="B590">
        <v>122.68</v>
      </c>
      <c r="C590" s="33">
        <f t="shared" si="18"/>
        <v>-5.3510621047510665E-3</v>
      </c>
      <c r="E590" s="34">
        <v>4204.1099999999997</v>
      </c>
      <c r="F590" s="33">
        <f t="shared" si="19"/>
        <v>7.6888651901495957E-4</v>
      </c>
      <c r="I590" s="37"/>
      <c r="J590" s="37"/>
    </row>
    <row r="591" spans="1:10" x14ac:dyDescent="0.35">
      <c r="A591" s="35">
        <v>44343</v>
      </c>
      <c r="B591">
        <v>123.34</v>
      </c>
      <c r="C591" s="33">
        <f t="shared" si="18"/>
        <v>-1.2410921611017672E-2</v>
      </c>
      <c r="E591" s="34">
        <v>4200.88</v>
      </c>
      <c r="F591" s="33">
        <f t="shared" si="19"/>
        <v>1.1653983922746069E-3</v>
      </c>
      <c r="I591" s="37"/>
      <c r="J591" s="37"/>
    </row>
    <row r="592" spans="1:10" x14ac:dyDescent="0.35">
      <c r="A592" s="35">
        <v>44342</v>
      </c>
      <c r="B592">
        <v>124.89</v>
      </c>
      <c r="C592" s="33">
        <f t="shared" si="18"/>
        <v>-4.001920922042353E-4</v>
      </c>
      <c r="E592" s="34">
        <v>4195.99</v>
      </c>
      <c r="F592" s="33">
        <f t="shared" si="19"/>
        <v>1.8767325751587636E-3</v>
      </c>
      <c r="I592" s="37"/>
      <c r="J592" s="37"/>
    </row>
    <row r="593" spans="1:10" x14ac:dyDescent="0.35">
      <c r="A593" s="35">
        <v>44341</v>
      </c>
      <c r="B593">
        <v>124.94</v>
      </c>
      <c r="C593" s="33">
        <f t="shared" si="18"/>
        <v>-1.5184208423239648E-3</v>
      </c>
      <c r="E593" s="34">
        <v>4188.13</v>
      </c>
      <c r="F593" s="33">
        <f t="shared" si="19"/>
        <v>-2.1253022956600641E-3</v>
      </c>
      <c r="I593" s="37"/>
      <c r="J593" s="37"/>
    </row>
    <row r="594" spans="1:10" x14ac:dyDescent="0.35">
      <c r="A594" s="35">
        <v>44340</v>
      </c>
      <c r="B594">
        <v>125.13</v>
      </c>
      <c r="C594" s="33">
        <f t="shared" si="18"/>
        <v>1.3280427564985025E-2</v>
      </c>
      <c r="E594" s="34">
        <v>4197.05</v>
      </c>
      <c r="F594" s="33">
        <f t="shared" si="19"/>
        <v>9.9113059631461397E-3</v>
      </c>
      <c r="I594" s="37"/>
      <c r="J594" s="37"/>
    </row>
    <row r="595" spans="1:10" x14ac:dyDescent="0.35">
      <c r="A595" s="35">
        <v>44337</v>
      </c>
      <c r="B595">
        <v>123.49</v>
      </c>
      <c r="C595" s="33">
        <f t="shared" si="18"/>
        <v>-1.4759853199297977E-2</v>
      </c>
      <c r="E595" s="34">
        <v>4155.8599999999997</v>
      </c>
      <c r="F595" s="33">
        <f t="shared" si="19"/>
        <v>-7.8381965415766277E-4</v>
      </c>
      <c r="I595" s="37"/>
      <c r="J595" s="37"/>
    </row>
    <row r="596" spans="1:10" x14ac:dyDescent="0.35">
      <c r="A596" s="35">
        <v>44336</v>
      </c>
      <c r="B596">
        <v>125.34</v>
      </c>
      <c r="C596" s="33">
        <f t="shared" si="18"/>
        <v>2.1016617790811324E-2</v>
      </c>
      <c r="E596" s="34">
        <v>4159.12</v>
      </c>
      <c r="F596" s="33">
        <f t="shared" si="19"/>
        <v>1.0554756443649555E-2</v>
      </c>
      <c r="I596" s="37"/>
      <c r="J596" s="37"/>
    </row>
    <row r="597" spans="1:10" x14ac:dyDescent="0.35">
      <c r="A597" s="35">
        <v>44335</v>
      </c>
      <c r="B597">
        <v>122.76</v>
      </c>
      <c r="C597" s="33">
        <f t="shared" si="18"/>
        <v>-1.3016596160103854E-3</v>
      </c>
      <c r="E597" s="34">
        <v>4115.68</v>
      </c>
      <c r="F597" s="33">
        <f t="shared" si="19"/>
        <v>-2.9434351705374582E-3</v>
      </c>
      <c r="I597" s="37"/>
      <c r="J597" s="37"/>
    </row>
    <row r="598" spans="1:10" x14ac:dyDescent="0.35">
      <c r="A598" s="35">
        <v>44334</v>
      </c>
      <c r="B598">
        <v>122.92</v>
      </c>
      <c r="C598" s="33">
        <f t="shared" si="18"/>
        <v>-1.1261261261261193E-2</v>
      </c>
      <c r="E598" s="34">
        <v>4127.83</v>
      </c>
      <c r="F598" s="33">
        <f t="shared" si="19"/>
        <v>-8.5173024218827033E-3</v>
      </c>
      <c r="I598" s="37"/>
      <c r="J598" s="37"/>
    </row>
    <row r="599" spans="1:10" x14ac:dyDescent="0.35">
      <c r="A599" s="35">
        <v>44333</v>
      </c>
      <c r="B599">
        <v>124.32</v>
      </c>
      <c r="C599" s="33">
        <f t="shared" si="18"/>
        <v>-9.2445011157157378E-3</v>
      </c>
      <c r="E599" s="34">
        <v>4163.29</v>
      </c>
      <c r="F599" s="33">
        <f t="shared" si="19"/>
        <v>-2.5300382141189549E-3</v>
      </c>
      <c r="I599" s="37"/>
      <c r="J599" s="37"/>
    </row>
    <row r="600" spans="1:10" x14ac:dyDescent="0.35">
      <c r="A600" s="35">
        <v>44330</v>
      </c>
      <c r="B600">
        <v>125.48</v>
      </c>
      <c r="C600" s="33">
        <f t="shared" si="18"/>
        <v>1.9830949284785414E-2</v>
      </c>
      <c r="E600" s="34">
        <v>4173.8500000000004</v>
      </c>
      <c r="F600" s="33">
        <f t="shared" si="19"/>
        <v>1.4917933130699177E-2</v>
      </c>
      <c r="I600" s="37"/>
      <c r="J600" s="37"/>
    </row>
    <row r="601" spans="1:10" x14ac:dyDescent="0.35">
      <c r="A601" s="35">
        <v>44329</v>
      </c>
      <c r="B601">
        <v>123.04</v>
      </c>
      <c r="C601" s="33">
        <f t="shared" si="18"/>
        <v>1.7953172830313575E-2</v>
      </c>
      <c r="E601" s="34">
        <v>4112.5</v>
      </c>
      <c r="F601" s="33">
        <f t="shared" si="19"/>
        <v>1.2173151138064119E-2</v>
      </c>
      <c r="I601" s="37"/>
      <c r="J601" s="37"/>
    </row>
    <row r="602" spans="1:10" x14ac:dyDescent="0.35">
      <c r="A602" s="35">
        <v>44328</v>
      </c>
      <c r="B602">
        <v>120.87</v>
      </c>
      <c r="C602" s="33">
        <f t="shared" si="18"/>
        <v>-2.4927395934172227E-2</v>
      </c>
      <c r="E602" s="34">
        <v>4063.04</v>
      </c>
      <c r="F602" s="33">
        <f t="shared" si="19"/>
        <v>-2.1449387057151898E-2</v>
      </c>
      <c r="I602" s="37"/>
      <c r="J602" s="37"/>
    </row>
    <row r="603" spans="1:10" x14ac:dyDescent="0.35">
      <c r="A603" s="35">
        <v>44327</v>
      </c>
      <c r="B603">
        <v>123.96</v>
      </c>
      <c r="C603" s="33">
        <f t="shared" si="18"/>
        <v>-7.4465529666106721E-3</v>
      </c>
      <c r="E603" s="34">
        <v>4152.1000000000004</v>
      </c>
      <c r="F603" s="33">
        <f t="shared" si="19"/>
        <v>-8.6738945141735507E-3</v>
      </c>
      <c r="I603" s="37"/>
      <c r="J603" s="37"/>
    </row>
    <row r="604" spans="1:10" x14ac:dyDescent="0.35">
      <c r="A604" s="35">
        <v>44326</v>
      </c>
      <c r="B604">
        <v>124.89</v>
      </c>
      <c r="C604" s="33">
        <f t="shared" si="18"/>
        <v>-2.5819032761310361E-2</v>
      </c>
      <c r="E604" s="34">
        <v>4188.43</v>
      </c>
      <c r="F604" s="33">
        <f t="shared" si="19"/>
        <v>-1.0435666020885524E-2</v>
      </c>
      <c r="I604" s="37"/>
      <c r="J604" s="37"/>
    </row>
    <row r="605" spans="1:10" x14ac:dyDescent="0.35">
      <c r="A605" s="35">
        <v>44323</v>
      </c>
      <c r="B605">
        <v>128.19999999999999</v>
      </c>
      <c r="C605" s="33">
        <f t="shared" si="18"/>
        <v>5.3324968632370816E-3</v>
      </c>
      <c r="E605" s="34">
        <v>4232.6000000000004</v>
      </c>
      <c r="F605" s="33">
        <f t="shared" si="19"/>
        <v>7.3733464711231555E-3</v>
      </c>
      <c r="I605" s="37"/>
      <c r="J605" s="37"/>
    </row>
    <row r="606" spans="1:10" x14ac:dyDescent="0.35">
      <c r="A606" s="35">
        <v>44322</v>
      </c>
      <c r="B606">
        <v>127.52</v>
      </c>
      <c r="C606" s="33">
        <f t="shared" si="18"/>
        <v>1.2867355043685387E-2</v>
      </c>
      <c r="E606" s="34">
        <v>4201.62</v>
      </c>
      <c r="F606" s="33">
        <f t="shared" si="19"/>
        <v>8.1653905494541799E-3</v>
      </c>
      <c r="I606" s="37"/>
      <c r="J606" s="37"/>
    </row>
    <row r="607" spans="1:10" x14ac:dyDescent="0.35">
      <c r="A607" s="35">
        <v>44321</v>
      </c>
      <c r="B607">
        <v>125.9</v>
      </c>
      <c r="C607" s="33">
        <f t="shared" si="18"/>
        <v>1.9099156453924009E-3</v>
      </c>
      <c r="E607" s="34">
        <v>4167.59</v>
      </c>
      <c r="F607" s="33">
        <f t="shared" si="19"/>
        <v>7.0353882429785174E-4</v>
      </c>
      <c r="I607" s="37"/>
      <c r="J607" s="37"/>
    </row>
    <row r="608" spans="1:10" x14ac:dyDescent="0.35">
      <c r="A608" s="35">
        <v>44320</v>
      </c>
      <c r="B608">
        <v>125.66</v>
      </c>
      <c r="C608" s="33">
        <f t="shared" si="18"/>
        <v>-3.5388040224149944E-2</v>
      </c>
      <c r="E608" s="34">
        <v>4164.66</v>
      </c>
      <c r="F608" s="33">
        <f t="shared" si="19"/>
        <v>-6.6783378571121915E-3</v>
      </c>
      <c r="I608" s="37"/>
      <c r="J608" s="37"/>
    </row>
    <row r="609" spans="1:10" x14ac:dyDescent="0.35">
      <c r="A609" s="35">
        <v>44319</v>
      </c>
      <c r="B609">
        <v>130.27000000000001</v>
      </c>
      <c r="C609" s="33">
        <f t="shared" si="18"/>
        <v>8.2036994040709087E-3</v>
      </c>
      <c r="E609" s="34">
        <v>4192.66</v>
      </c>
      <c r="F609" s="33">
        <f t="shared" si="19"/>
        <v>2.7480346410214801E-3</v>
      </c>
      <c r="I609" s="37"/>
      <c r="J609" s="37"/>
    </row>
    <row r="610" spans="1:10" x14ac:dyDescent="0.35">
      <c r="A610" s="35">
        <v>44316</v>
      </c>
      <c r="B610">
        <v>129.21</v>
      </c>
      <c r="C610" s="33">
        <f t="shared" si="18"/>
        <v>-1.5092613766293084E-2</v>
      </c>
      <c r="E610" s="34">
        <v>4181.17</v>
      </c>
      <c r="F610" s="33">
        <f t="shared" si="19"/>
        <v>-7.1946375018699365E-3</v>
      </c>
      <c r="I610" s="37"/>
      <c r="J610" s="37"/>
    </row>
    <row r="611" spans="1:10" x14ac:dyDescent="0.35">
      <c r="A611" s="35">
        <v>44315</v>
      </c>
      <c r="B611">
        <v>131.19</v>
      </c>
      <c r="C611" s="33">
        <f t="shared" si="18"/>
        <v>-7.6167263310224936E-4</v>
      </c>
      <c r="E611" s="34">
        <v>4211.47</v>
      </c>
      <c r="F611" s="33">
        <f t="shared" si="19"/>
        <v>6.7627976802336889E-3</v>
      </c>
      <c r="I611" s="37"/>
      <c r="J611" s="37"/>
    </row>
    <row r="612" spans="1:10" x14ac:dyDescent="0.35">
      <c r="A612" s="35">
        <v>44314</v>
      </c>
      <c r="B612">
        <v>131.29</v>
      </c>
      <c r="C612" s="33">
        <f t="shared" si="18"/>
        <v>-6.056476644712025E-3</v>
      </c>
      <c r="E612" s="34">
        <v>4183.18</v>
      </c>
      <c r="F612" s="33">
        <f t="shared" si="19"/>
        <v>-8.455306301830462E-4</v>
      </c>
      <c r="I612" s="37"/>
      <c r="J612" s="37"/>
    </row>
    <row r="613" spans="1:10" x14ac:dyDescent="0.35">
      <c r="A613" s="35">
        <v>44313</v>
      </c>
      <c r="B613">
        <v>132.09</v>
      </c>
      <c r="C613" s="33">
        <f t="shared" si="18"/>
        <v>-2.4167358960803052E-3</v>
      </c>
      <c r="E613" s="34">
        <v>4186.72</v>
      </c>
      <c r="F613" s="33">
        <f t="shared" si="19"/>
        <v>-2.1491921425526581E-4</v>
      </c>
      <c r="I613" s="37"/>
      <c r="J613" s="37"/>
    </row>
    <row r="614" spans="1:10" x14ac:dyDescent="0.35">
      <c r="A614" s="35">
        <v>44312</v>
      </c>
      <c r="B614">
        <v>132.41</v>
      </c>
      <c r="C614" s="33">
        <f t="shared" si="18"/>
        <v>2.9540978639599025E-3</v>
      </c>
      <c r="E614" s="34">
        <v>4187.62</v>
      </c>
      <c r="F614" s="33">
        <f t="shared" si="19"/>
        <v>1.7822241679165724E-3</v>
      </c>
      <c r="I614" s="37"/>
      <c r="J614" s="37"/>
    </row>
    <row r="615" spans="1:10" x14ac:dyDescent="0.35">
      <c r="A615" s="35">
        <v>44309</v>
      </c>
      <c r="B615">
        <v>132.02000000000001</v>
      </c>
      <c r="C615" s="33">
        <f t="shared" si="18"/>
        <v>1.8044417026526861E-2</v>
      </c>
      <c r="E615" s="34">
        <v>4180.17</v>
      </c>
      <c r="F615" s="33">
        <f t="shared" si="19"/>
        <v>1.0928710658818305E-2</v>
      </c>
      <c r="I615" s="37"/>
      <c r="J615" s="37"/>
    </row>
    <row r="616" spans="1:10" x14ac:dyDescent="0.35">
      <c r="A616" s="35">
        <v>44308</v>
      </c>
      <c r="B616">
        <v>129.68</v>
      </c>
      <c r="C616" s="33">
        <f t="shared" si="18"/>
        <v>-1.1660696593247474E-2</v>
      </c>
      <c r="E616" s="34">
        <v>4134.9799999999996</v>
      </c>
      <c r="F616" s="33">
        <f t="shared" si="19"/>
        <v>-9.2106713438859511E-3</v>
      </c>
      <c r="I616" s="37"/>
      <c r="J616" s="37"/>
    </row>
    <row r="617" spans="1:10" x14ac:dyDescent="0.35">
      <c r="A617" s="35">
        <v>44307</v>
      </c>
      <c r="B617">
        <v>131.21</v>
      </c>
      <c r="C617" s="33">
        <f t="shared" si="18"/>
        <v>2.9045325995566418E-3</v>
      </c>
      <c r="E617" s="34">
        <v>4173.42</v>
      </c>
      <c r="F617" s="33">
        <f t="shared" si="19"/>
        <v>9.3060600637495296E-3</v>
      </c>
      <c r="I617" s="37"/>
      <c r="J617" s="37"/>
    </row>
    <row r="618" spans="1:10" x14ac:dyDescent="0.35">
      <c r="A618" s="35">
        <v>44306</v>
      </c>
      <c r="B618">
        <v>130.83000000000001</v>
      </c>
      <c r="C618" s="33">
        <f t="shared" si="18"/>
        <v>-1.2827284388440267E-2</v>
      </c>
      <c r="E618" s="34">
        <v>4134.9399999999996</v>
      </c>
      <c r="F618" s="33">
        <f t="shared" si="19"/>
        <v>-6.8023616108531812E-3</v>
      </c>
      <c r="I618" s="37"/>
      <c r="J618" s="37"/>
    </row>
    <row r="619" spans="1:10" x14ac:dyDescent="0.35">
      <c r="A619" s="35">
        <v>44305</v>
      </c>
      <c r="B619">
        <v>132.53</v>
      </c>
      <c r="C619" s="33">
        <f t="shared" si="18"/>
        <v>5.0811466707112651E-3</v>
      </c>
      <c r="E619" s="34">
        <v>4163.26</v>
      </c>
      <c r="F619" s="33">
        <f t="shared" si="19"/>
        <v>-5.3064530387268421E-3</v>
      </c>
      <c r="I619" s="37"/>
      <c r="J619" s="37"/>
    </row>
    <row r="620" spans="1:10" x14ac:dyDescent="0.35">
      <c r="A620" s="35">
        <v>44302</v>
      </c>
      <c r="B620">
        <v>131.86000000000001</v>
      </c>
      <c r="C620" s="33">
        <f t="shared" si="18"/>
        <v>-2.4964066873438542E-3</v>
      </c>
      <c r="E620" s="34">
        <v>4185.47</v>
      </c>
      <c r="F620" s="33">
        <f t="shared" si="19"/>
        <v>3.6087492386858355E-3</v>
      </c>
      <c r="I620" s="37"/>
      <c r="J620" s="37"/>
    </row>
    <row r="621" spans="1:10" x14ac:dyDescent="0.35">
      <c r="A621" s="35">
        <v>44301</v>
      </c>
      <c r="B621">
        <v>132.19</v>
      </c>
      <c r="C621" s="33">
        <f t="shared" si="18"/>
        <v>1.8648377899360309E-2</v>
      </c>
      <c r="E621" s="34">
        <v>4170.42</v>
      </c>
      <c r="F621" s="33">
        <f t="shared" si="19"/>
        <v>1.1094247768300956E-2</v>
      </c>
      <c r="I621" s="37"/>
      <c r="J621" s="37"/>
    </row>
    <row r="622" spans="1:10" x14ac:dyDescent="0.35">
      <c r="A622" s="35">
        <v>44300</v>
      </c>
      <c r="B622">
        <v>129.77000000000001</v>
      </c>
      <c r="C622" s="33">
        <f t="shared" si="18"/>
        <v>-1.7861197305683685E-2</v>
      </c>
      <c r="E622" s="34">
        <v>4124.66</v>
      </c>
      <c r="F622" s="33">
        <f t="shared" si="19"/>
        <v>-4.0878020277237224E-3</v>
      </c>
      <c r="I622" s="37"/>
      <c r="J622" s="37"/>
    </row>
    <row r="623" spans="1:10" x14ac:dyDescent="0.35">
      <c r="A623" s="35">
        <v>44299</v>
      </c>
      <c r="B623">
        <v>132.13</v>
      </c>
      <c r="C623" s="33">
        <f t="shared" si="18"/>
        <v>2.4342972323435817E-2</v>
      </c>
      <c r="E623" s="34">
        <v>4141.59</v>
      </c>
      <c r="F623" s="33">
        <f t="shared" si="19"/>
        <v>3.2945816244710777E-3</v>
      </c>
      <c r="I623" s="37"/>
      <c r="J623" s="37"/>
    </row>
    <row r="624" spans="1:10" x14ac:dyDescent="0.35">
      <c r="A624" s="35">
        <v>44298</v>
      </c>
      <c r="B624">
        <v>128.99</v>
      </c>
      <c r="C624" s="33">
        <f t="shared" si="18"/>
        <v>-1.3234394124846923E-2</v>
      </c>
      <c r="E624" s="34">
        <v>4127.99</v>
      </c>
      <c r="F624" s="33">
        <f t="shared" si="19"/>
        <v>-1.9618291028880065E-4</v>
      </c>
      <c r="I624" s="37"/>
      <c r="J624" s="37"/>
    </row>
    <row r="625" spans="1:10" x14ac:dyDescent="0.35">
      <c r="A625" s="35">
        <v>44295</v>
      </c>
      <c r="B625">
        <v>130.72</v>
      </c>
      <c r="C625" s="33">
        <f t="shared" si="18"/>
        <v>2.0213845313353653E-2</v>
      </c>
      <c r="E625" s="34">
        <v>4128.8</v>
      </c>
      <c r="F625" s="33">
        <f t="shared" si="19"/>
        <v>7.7199628035937266E-3</v>
      </c>
      <c r="I625" s="37"/>
      <c r="J625" s="37"/>
    </row>
    <row r="626" spans="1:10" x14ac:dyDescent="0.35">
      <c r="A626" s="35">
        <v>44294</v>
      </c>
      <c r="B626">
        <v>128.13</v>
      </c>
      <c r="C626" s="33">
        <f t="shared" si="18"/>
        <v>1.9250656272372935E-2</v>
      </c>
      <c r="E626" s="34">
        <v>4097.17</v>
      </c>
      <c r="F626" s="33">
        <f t="shared" si="19"/>
        <v>4.2206399588230878E-3</v>
      </c>
      <c r="I626" s="37"/>
      <c r="J626" s="37"/>
    </row>
    <row r="627" spans="1:10" x14ac:dyDescent="0.35">
      <c r="A627" s="35">
        <v>44293</v>
      </c>
      <c r="B627">
        <v>125.71</v>
      </c>
      <c r="C627" s="33">
        <f t="shared" si="18"/>
        <v>1.3381700927045518E-2</v>
      </c>
      <c r="E627" s="34">
        <v>4079.95</v>
      </c>
      <c r="F627" s="33">
        <f t="shared" si="19"/>
        <v>1.4752303666720088E-3</v>
      </c>
      <c r="I627" s="37"/>
      <c r="J627" s="37"/>
    </row>
    <row r="628" spans="1:10" x14ac:dyDescent="0.35">
      <c r="A628" s="35">
        <v>44292</v>
      </c>
      <c r="B628">
        <v>124.05</v>
      </c>
      <c r="C628" s="33">
        <f t="shared" si="18"/>
        <v>2.5052529497333301E-3</v>
      </c>
      <c r="E628" s="34">
        <v>4073.94</v>
      </c>
      <c r="F628" s="33">
        <f t="shared" si="19"/>
        <v>-9.7353791525555983E-4</v>
      </c>
      <c r="I628" s="37"/>
      <c r="J628" s="37"/>
    </row>
    <row r="629" spans="1:10" x14ac:dyDescent="0.35">
      <c r="A629" s="35">
        <v>44291</v>
      </c>
      <c r="B629">
        <v>123.74</v>
      </c>
      <c r="C629" s="33">
        <f t="shared" si="18"/>
        <v>2.357515096368595E-2</v>
      </c>
      <c r="E629" s="34">
        <v>4077.91</v>
      </c>
      <c r="F629" s="33">
        <f t="shared" si="19"/>
        <v>1.4438277854756489E-2</v>
      </c>
      <c r="I629" s="37"/>
      <c r="J629" s="37"/>
    </row>
    <row r="630" spans="1:10" x14ac:dyDescent="0.35">
      <c r="A630" s="35">
        <v>44287</v>
      </c>
      <c r="B630">
        <v>120.89</v>
      </c>
      <c r="C630" s="33">
        <f t="shared" si="18"/>
        <v>6.9132100616358348E-3</v>
      </c>
      <c r="E630" s="34">
        <v>4019.87</v>
      </c>
      <c r="F630" s="33">
        <f t="shared" si="19"/>
        <v>1.1825144919693225E-2</v>
      </c>
      <c r="I630" s="37"/>
      <c r="J630" s="37"/>
    </row>
    <row r="631" spans="1:10" x14ac:dyDescent="0.35">
      <c r="A631" s="35">
        <v>44286</v>
      </c>
      <c r="B631">
        <v>120.06</v>
      </c>
      <c r="C631" s="33">
        <f t="shared" si="18"/>
        <v>1.8839103869653758E-2</v>
      </c>
      <c r="E631" s="34">
        <v>3972.89</v>
      </c>
      <c r="F631" s="33">
        <f t="shared" si="19"/>
        <v>3.6225385557842366E-3</v>
      </c>
      <c r="I631" s="37"/>
      <c r="J631" s="37"/>
    </row>
    <row r="632" spans="1:10" x14ac:dyDescent="0.35">
      <c r="A632" s="35">
        <v>44285</v>
      </c>
      <c r="B632">
        <v>117.84</v>
      </c>
      <c r="C632" s="33">
        <f t="shared" si="18"/>
        <v>-1.2320844857933106E-2</v>
      </c>
      <c r="E632" s="34">
        <v>3958.55</v>
      </c>
      <c r="F632" s="33">
        <f t="shared" si="19"/>
        <v>-3.1578231669390426E-3</v>
      </c>
      <c r="I632" s="37"/>
      <c r="J632" s="37"/>
    </row>
    <row r="633" spans="1:10" x14ac:dyDescent="0.35">
      <c r="A633" s="35">
        <v>44284</v>
      </c>
      <c r="B633">
        <v>119.31</v>
      </c>
      <c r="C633" s="33">
        <f t="shared" si="18"/>
        <v>1.5109544195417344E-3</v>
      </c>
      <c r="E633" s="34">
        <v>3971.09</v>
      </c>
      <c r="F633" s="33">
        <f t="shared" si="19"/>
        <v>-8.6802497899123368E-4</v>
      </c>
      <c r="I633" s="37"/>
      <c r="J633" s="37"/>
    </row>
    <row r="634" spans="1:10" x14ac:dyDescent="0.35">
      <c r="A634" s="35">
        <v>44281</v>
      </c>
      <c r="B634">
        <v>119.13</v>
      </c>
      <c r="C634" s="33">
        <f t="shared" si="18"/>
        <v>5.1468106648666842E-3</v>
      </c>
      <c r="E634" s="34">
        <v>3974.54</v>
      </c>
      <c r="F634" s="33">
        <f t="shared" si="19"/>
        <v>1.6631197691788245E-2</v>
      </c>
      <c r="I634" s="37"/>
      <c r="J634" s="37"/>
    </row>
    <row r="635" spans="1:10" x14ac:dyDescent="0.35">
      <c r="A635" s="35">
        <v>44280</v>
      </c>
      <c r="B635">
        <v>118.52</v>
      </c>
      <c r="C635" s="33">
        <f t="shared" si="18"/>
        <v>4.1514869101075564E-3</v>
      </c>
      <c r="E635" s="34">
        <v>3909.52</v>
      </c>
      <c r="F635" s="33">
        <f t="shared" si="19"/>
        <v>5.2402330592367747E-3</v>
      </c>
      <c r="I635" s="37"/>
      <c r="J635" s="37"/>
    </row>
    <row r="636" spans="1:10" x14ac:dyDescent="0.35">
      <c r="A636" s="35">
        <v>44279</v>
      </c>
      <c r="B636">
        <v>118.03</v>
      </c>
      <c r="C636" s="33">
        <f t="shared" si="18"/>
        <v>-2.0009963467286587E-2</v>
      </c>
      <c r="E636" s="34">
        <v>3889.14</v>
      </c>
      <c r="F636" s="33">
        <f t="shared" si="19"/>
        <v>-5.4673035811094459E-3</v>
      </c>
      <c r="I636" s="37"/>
      <c r="J636" s="37"/>
    </row>
    <row r="637" spans="1:10" x14ac:dyDescent="0.35">
      <c r="A637" s="35">
        <v>44278</v>
      </c>
      <c r="B637">
        <v>120.44</v>
      </c>
      <c r="C637" s="33">
        <f t="shared" si="18"/>
        <v>-6.9261213720316905E-3</v>
      </c>
      <c r="E637" s="34">
        <v>3910.52</v>
      </c>
      <c r="F637" s="33">
        <f t="shared" si="19"/>
        <v>-7.6308370066411786E-3</v>
      </c>
      <c r="I637" s="37"/>
      <c r="J637" s="37"/>
    </row>
    <row r="638" spans="1:10" x14ac:dyDescent="0.35">
      <c r="A638" s="35">
        <v>44277</v>
      </c>
      <c r="B638">
        <v>121.28</v>
      </c>
      <c r="C638" s="33">
        <f t="shared" si="18"/>
        <v>2.8406681929958402E-2</v>
      </c>
      <c r="E638" s="34">
        <v>3940.59</v>
      </c>
      <c r="F638" s="33">
        <f t="shared" si="19"/>
        <v>7.0251207482559192E-3</v>
      </c>
      <c r="I638" s="37"/>
      <c r="J638" s="37"/>
    </row>
    <row r="639" spans="1:10" x14ac:dyDescent="0.35">
      <c r="A639" s="35">
        <v>44274</v>
      </c>
      <c r="B639">
        <v>117.93</v>
      </c>
      <c r="C639" s="33">
        <f t="shared" si="18"/>
        <v>-4.4740840790139028E-3</v>
      </c>
      <c r="E639" s="34">
        <v>3913.1</v>
      </c>
      <c r="F639" s="33">
        <f t="shared" si="19"/>
        <v>-6.0273888636332065E-4</v>
      </c>
      <c r="I639" s="37"/>
      <c r="J639" s="37"/>
    </row>
    <row r="640" spans="1:10" x14ac:dyDescent="0.35">
      <c r="A640" s="35">
        <v>44273</v>
      </c>
      <c r="B640">
        <v>118.46</v>
      </c>
      <c r="C640" s="33">
        <f t="shared" si="18"/>
        <v>-3.3925950089708126E-2</v>
      </c>
      <c r="E640" s="34">
        <v>3915.46</v>
      </c>
      <c r="F640" s="33">
        <f t="shared" si="19"/>
        <v>-1.4760500437832742E-2</v>
      </c>
      <c r="I640" s="37"/>
      <c r="J640" s="37"/>
    </row>
    <row r="641" spans="1:10" x14ac:dyDescent="0.35">
      <c r="A641" s="35">
        <v>44272</v>
      </c>
      <c r="B641">
        <v>122.62</v>
      </c>
      <c r="C641" s="33">
        <f t="shared" si="18"/>
        <v>-6.4819316156214321E-3</v>
      </c>
      <c r="E641" s="34">
        <v>3974.12</v>
      </c>
      <c r="F641" s="33">
        <f t="shared" si="19"/>
        <v>2.8793426720602451E-3</v>
      </c>
      <c r="I641" s="37"/>
      <c r="J641" s="37"/>
    </row>
    <row r="642" spans="1:10" x14ac:dyDescent="0.35">
      <c r="A642" s="35">
        <v>44271</v>
      </c>
      <c r="B642">
        <v>123.42</v>
      </c>
      <c r="C642" s="33">
        <f t="shared" ref="C642:C705" si="20">(B642-B643)/B643</f>
        <v>1.2801575578532761E-2</v>
      </c>
      <c r="E642" s="34">
        <v>3962.71</v>
      </c>
      <c r="F642" s="33">
        <f t="shared" ref="F642:F705" si="21">(E642-E643)/E643</f>
        <v>-1.5696886322292647E-3</v>
      </c>
      <c r="I642" s="37"/>
      <c r="J642" s="37"/>
    </row>
    <row r="643" spans="1:10" x14ac:dyDescent="0.35">
      <c r="A643" s="35">
        <v>44270</v>
      </c>
      <c r="B643">
        <v>121.86</v>
      </c>
      <c r="C643" s="33">
        <f t="shared" si="20"/>
        <v>2.4377942165433809E-2</v>
      </c>
      <c r="E643" s="34">
        <v>3968.94</v>
      </c>
      <c r="F643" s="33">
        <f t="shared" si="21"/>
        <v>6.4919585934765725E-3</v>
      </c>
      <c r="I643" s="37"/>
      <c r="J643" s="37"/>
    </row>
    <row r="644" spans="1:10" x14ac:dyDescent="0.35">
      <c r="A644" s="35">
        <v>44267</v>
      </c>
      <c r="B644">
        <v>118.96</v>
      </c>
      <c r="C644" s="33">
        <f t="shared" si="20"/>
        <v>-7.591557520647458E-3</v>
      </c>
      <c r="E644" s="34">
        <v>3943.34</v>
      </c>
      <c r="F644" s="33">
        <f t="shared" si="21"/>
        <v>1.0153985185335614E-3</v>
      </c>
      <c r="I644" s="37"/>
      <c r="J644" s="37"/>
    </row>
    <row r="645" spans="1:10" x14ac:dyDescent="0.35">
      <c r="A645" s="35">
        <v>44266</v>
      </c>
      <c r="B645">
        <v>119.87</v>
      </c>
      <c r="C645" s="33">
        <f t="shared" si="20"/>
        <v>1.6536635006784286E-2</v>
      </c>
      <c r="E645" s="34">
        <v>3939.34</v>
      </c>
      <c r="F645" s="33">
        <f t="shared" si="21"/>
        <v>1.0395479646353683E-2</v>
      </c>
      <c r="I645" s="37"/>
      <c r="J645" s="37"/>
    </row>
    <row r="646" spans="1:10" x14ac:dyDescent="0.35">
      <c r="A646" s="35">
        <v>44265</v>
      </c>
      <c r="B646">
        <v>117.92</v>
      </c>
      <c r="C646" s="33">
        <f t="shared" si="20"/>
        <v>-9.1588942105705687E-3</v>
      </c>
      <c r="E646" s="34">
        <v>3898.81</v>
      </c>
      <c r="F646" s="33">
        <f t="shared" si="21"/>
        <v>6.0302830130255893E-3</v>
      </c>
      <c r="I646" s="37"/>
      <c r="J646" s="37"/>
    </row>
    <row r="647" spans="1:10" x14ac:dyDescent="0.35">
      <c r="A647" s="35">
        <v>44264</v>
      </c>
      <c r="B647">
        <v>119.01</v>
      </c>
      <c r="C647" s="33">
        <f t="shared" si="20"/>
        <v>4.057007956631984E-2</v>
      </c>
      <c r="E647" s="34">
        <v>3875.44</v>
      </c>
      <c r="F647" s="33">
        <f t="shared" si="21"/>
        <v>1.415468355424134E-2</v>
      </c>
      <c r="I647" s="37"/>
      <c r="J647" s="37"/>
    </row>
    <row r="648" spans="1:10" x14ac:dyDescent="0.35">
      <c r="A648" s="35">
        <v>44263</v>
      </c>
      <c r="B648">
        <v>114.37</v>
      </c>
      <c r="C648" s="33">
        <f t="shared" si="20"/>
        <v>-4.1645718116306338E-2</v>
      </c>
      <c r="E648" s="34">
        <v>3821.35</v>
      </c>
      <c r="F648" s="33">
        <f t="shared" si="21"/>
        <v>-5.3592716179847021E-3</v>
      </c>
      <c r="I648" s="37"/>
      <c r="J648" s="37"/>
    </row>
    <row r="649" spans="1:10" x14ac:dyDescent="0.35">
      <c r="A649" s="35">
        <v>44260</v>
      </c>
      <c r="B649">
        <v>119.34</v>
      </c>
      <c r="C649" s="33">
        <f t="shared" si="20"/>
        <v>1.0756330990090712E-2</v>
      </c>
      <c r="E649" s="34">
        <v>3841.94</v>
      </c>
      <c r="F649" s="33">
        <f t="shared" si="21"/>
        <v>1.9495975820425865E-2</v>
      </c>
      <c r="I649" s="37"/>
      <c r="J649" s="37"/>
    </row>
    <row r="650" spans="1:10" x14ac:dyDescent="0.35">
      <c r="A650" s="35">
        <v>44259</v>
      </c>
      <c r="B650">
        <v>118.07</v>
      </c>
      <c r="C650" s="33">
        <f t="shared" si="20"/>
        <v>-1.5837292656497505E-2</v>
      </c>
      <c r="E650" s="34">
        <v>3768.47</v>
      </c>
      <c r="F650" s="33">
        <f t="shared" si="21"/>
        <v>-1.3417213827191523E-2</v>
      </c>
      <c r="I650" s="37"/>
      <c r="J650" s="37"/>
    </row>
    <row r="651" spans="1:10" x14ac:dyDescent="0.35">
      <c r="A651" s="35">
        <v>44258</v>
      </c>
      <c r="B651">
        <v>119.97</v>
      </c>
      <c r="C651" s="33">
        <f t="shared" si="20"/>
        <v>-2.4475524475524518E-2</v>
      </c>
      <c r="E651" s="34">
        <v>3819.72</v>
      </c>
      <c r="F651" s="33">
        <f t="shared" si="21"/>
        <v>-1.3066204341276795E-2</v>
      </c>
      <c r="I651" s="37"/>
      <c r="J651" s="37"/>
    </row>
    <row r="652" spans="1:10" x14ac:dyDescent="0.35">
      <c r="A652" s="35">
        <v>44257</v>
      </c>
      <c r="B652">
        <v>122.98</v>
      </c>
      <c r="C652" s="33">
        <f t="shared" si="20"/>
        <v>-2.0859872611464891E-2</v>
      </c>
      <c r="E652" s="34">
        <v>3870.29</v>
      </c>
      <c r="F652" s="33">
        <f t="shared" si="21"/>
        <v>-8.0808443239309344E-3</v>
      </c>
      <c r="I652" s="37"/>
      <c r="J652" s="37"/>
    </row>
    <row r="653" spans="1:10" x14ac:dyDescent="0.35">
      <c r="A653" s="35">
        <v>44256</v>
      </c>
      <c r="B653">
        <v>125.6</v>
      </c>
      <c r="C653" s="33">
        <f t="shared" si="20"/>
        <v>5.3868098674274098E-2</v>
      </c>
      <c r="E653" s="34">
        <v>3901.82</v>
      </c>
      <c r="F653" s="33">
        <f t="shared" si="21"/>
        <v>2.3790719336683173E-2</v>
      </c>
      <c r="I653" s="37"/>
      <c r="J653" s="37"/>
    </row>
    <row r="654" spans="1:10" x14ac:dyDescent="0.35">
      <c r="A654" s="35">
        <v>44253</v>
      </c>
      <c r="B654">
        <v>119.18</v>
      </c>
      <c r="C654" s="33">
        <f t="shared" si="20"/>
        <v>2.1863437605113109E-3</v>
      </c>
      <c r="E654" s="34">
        <v>3811.15</v>
      </c>
      <c r="F654" s="33">
        <f t="shared" si="21"/>
        <v>-4.7501658249202352E-3</v>
      </c>
      <c r="I654" s="37"/>
      <c r="J654" s="37"/>
    </row>
    <row r="655" spans="1:10" x14ac:dyDescent="0.35">
      <c r="A655" s="35">
        <v>44252</v>
      </c>
      <c r="B655">
        <v>118.92</v>
      </c>
      <c r="C655" s="33">
        <f t="shared" si="20"/>
        <v>-3.4740259740259752E-2</v>
      </c>
      <c r="E655" s="34">
        <v>3829.34</v>
      </c>
      <c r="F655" s="33">
        <f t="shared" si="21"/>
        <v>-2.4478846903396492E-2</v>
      </c>
      <c r="I655" s="37"/>
      <c r="J655" s="37"/>
    </row>
    <row r="656" spans="1:10" x14ac:dyDescent="0.35">
      <c r="A656" s="35">
        <v>44251</v>
      </c>
      <c r="B656">
        <v>123.2</v>
      </c>
      <c r="C656" s="33">
        <f t="shared" si="20"/>
        <v>-4.0420371867421184E-3</v>
      </c>
      <c r="E656" s="34">
        <v>3925.43</v>
      </c>
      <c r="F656" s="33">
        <f t="shared" si="21"/>
        <v>1.1351661913190432E-2</v>
      </c>
      <c r="I656" s="37"/>
      <c r="J656" s="37"/>
    </row>
    <row r="657" spans="1:10" x14ac:dyDescent="0.35">
      <c r="A657" s="35">
        <v>44250</v>
      </c>
      <c r="B657">
        <v>123.7</v>
      </c>
      <c r="C657" s="33">
        <f t="shared" si="20"/>
        <v>-1.1304909560723559E-3</v>
      </c>
      <c r="E657" s="34">
        <v>3881.37</v>
      </c>
      <c r="F657" s="33">
        <f t="shared" si="21"/>
        <v>1.2562878885592392E-3</v>
      </c>
      <c r="I657" s="37"/>
      <c r="J657" s="37"/>
    </row>
    <row r="658" spans="1:10" x14ac:dyDescent="0.35">
      <c r="A658" s="35">
        <v>44249</v>
      </c>
      <c r="B658">
        <v>123.84</v>
      </c>
      <c r="C658" s="33">
        <f t="shared" si="20"/>
        <v>-2.9771231588843601E-2</v>
      </c>
      <c r="E658" s="34">
        <v>3876.5</v>
      </c>
      <c r="F658" s="33">
        <f t="shared" si="21"/>
        <v>-7.732849379657061E-3</v>
      </c>
      <c r="I658" s="37"/>
      <c r="J658" s="37"/>
    </row>
    <row r="659" spans="1:10" x14ac:dyDescent="0.35">
      <c r="A659" s="35">
        <v>44246</v>
      </c>
      <c r="B659">
        <v>127.64</v>
      </c>
      <c r="C659" s="33">
        <f t="shared" si="20"/>
        <v>1.1765628676759408E-3</v>
      </c>
      <c r="E659" s="34">
        <v>3906.71</v>
      </c>
      <c r="F659" s="33">
        <f t="shared" si="21"/>
        <v>-1.8548941356218275E-3</v>
      </c>
      <c r="I659" s="37"/>
      <c r="J659" s="37"/>
    </row>
    <row r="660" spans="1:10" x14ac:dyDescent="0.35">
      <c r="A660" s="35">
        <v>44245</v>
      </c>
      <c r="B660">
        <v>127.49</v>
      </c>
      <c r="C660" s="33">
        <f t="shared" si="20"/>
        <v>-8.6314152410575384E-3</v>
      </c>
      <c r="E660" s="34">
        <v>3913.97</v>
      </c>
      <c r="F660" s="33">
        <f t="shared" si="21"/>
        <v>-4.4158083905447079E-3</v>
      </c>
      <c r="I660" s="37"/>
      <c r="J660" s="37"/>
    </row>
    <row r="661" spans="1:10" x14ac:dyDescent="0.35">
      <c r="A661" s="35">
        <v>44244</v>
      </c>
      <c r="B661">
        <v>128.6</v>
      </c>
      <c r="C661" s="33">
        <f t="shared" si="20"/>
        <v>-1.7645710793675062E-2</v>
      </c>
      <c r="E661" s="34">
        <v>3931.33</v>
      </c>
      <c r="F661" s="33">
        <f t="shared" si="21"/>
        <v>-3.2039953313216436E-4</v>
      </c>
      <c r="I661" s="37"/>
      <c r="J661" s="37"/>
    </row>
    <row r="662" spans="1:10" x14ac:dyDescent="0.35">
      <c r="A662" s="35">
        <v>44243</v>
      </c>
      <c r="B662">
        <v>130.91</v>
      </c>
      <c r="C662" s="33">
        <f t="shared" si="20"/>
        <v>-1.6084178880120367E-2</v>
      </c>
      <c r="E662" s="34">
        <v>3932.59</v>
      </c>
      <c r="F662" s="33">
        <f t="shared" si="21"/>
        <v>-5.6927491149548568E-4</v>
      </c>
      <c r="I662" s="37"/>
      <c r="J662" s="37"/>
    </row>
    <row r="663" spans="1:10" x14ac:dyDescent="0.35">
      <c r="A663" s="35">
        <v>44239</v>
      </c>
      <c r="B663">
        <v>133.05000000000001</v>
      </c>
      <c r="C663" s="33">
        <f t="shared" si="20"/>
        <v>1.8070928393946924E-3</v>
      </c>
      <c r="E663" s="34">
        <v>3934.83</v>
      </c>
      <c r="F663" s="33">
        <f t="shared" si="21"/>
        <v>4.7109831017418677E-3</v>
      </c>
      <c r="I663" s="37"/>
      <c r="J663" s="37"/>
    </row>
    <row r="664" spans="1:10" x14ac:dyDescent="0.35">
      <c r="A664" s="35">
        <v>44238</v>
      </c>
      <c r="B664">
        <v>132.81</v>
      </c>
      <c r="C664" s="33">
        <f t="shared" si="20"/>
        <v>-1.9538588712706916E-3</v>
      </c>
      <c r="E664" s="34">
        <v>3916.38</v>
      </c>
      <c r="F664" s="33">
        <f t="shared" si="21"/>
        <v>1.6624551137119298E-3</v>
      </c>
      <c r="I664" s="37"/>
      <c r="J664" s="37"/>
    </row>
    <row r="665" spans="1:10" x14ac:dyDescent="0.35">
      <c r="A665" s="35">
        <v>44237</v>
      </c>
      <c r="B665">
        <v>133.07</v>
      </c>
      <c r="C665" s="33">
        <f t="shared" si="20"/>
        <v>-4.5631358467984259E-3</v>
      </c>
      <c r="E665" s="34">
        <v>3909.88</v>
      </c>
      <c r="F665" s="33">
        <f t="shared" si="21"/>
        <v>-3.4515996246702675E-4</v>
      </c>
      <c r="I665" s="37"/>
      <c r="J665" s="37"/>
    </row>
    <row r="666" spans="1:10" x14ac:dyDescent="0.35">
      <c r="A666" s="35">
        <v>44236</v>
      </c>
      <c r="B666">
        <v>133.68</v>
      </c>
      <c r="C666" s="33">
        <f t="shared" si="20"/>
        <v>-6.539833531510073E-3</v>
      </c>
      <c r="E666" s="34">
        <v>3911.23</v>
      </c>
      <c r="F666" s="33">
        <f t="shared" si="21"/>
        <v>-1.1134975827397984E-3</v>
      </c>
      <c r="I666" s="37"/>
      <c r="J666" s="37"/>
    </row>
    <row r="667" spans="1:10" x14ac:dyDescent="0.35">
      <c r="A667" s="35">
        <v>44235</v>
      </c>
      <c r="B667">
        <v>134.56</v>
      </c>
      <c r="C667" s="33">
        <f t="shared" si="20"/>
        <v>1.0415116798096623E-3</v>
      </c>
      <c r="E667" s="34">
        <v>3915.59</v>
      </c>
      <c r="F667" s="33">
        <f t="shared" si="21"/>
        <v>7.399345996609118E-3</v>
      </c>
      <c r="I667" s="37"/>
      <c r="J667" s="37"/>
    </row>
    <row r="668" spans="1:10" x14ac:dyDescent="0.35">
      <c r="A668" s="35">
        <v>44232</v>
      </c>
      <c r="B668">
        <v>134.41999999999999</v>
      </c>
      <c r="C668" s="33">
        <f t="shared" si="20"/>
        <v>-3.0408662760515091E-3</v>
      </c>
      <c r="E668" s="34">
        <v>3886.83</v>
      </c>
      <c r="F668" s="33">
        <f t="shared" si="21"/>
        <v>3.8974724542454159E-3</v>
      </c>
      <c r="I668" s="37"/>
      <c r="J668" s="37"/>
    </row>
    <row r="669" spans="1:10" x14ac:dyDescent="0.35">
      <c r="A669" s="35">
        <v>44231</v>
      </c>
      <c r="B669">
        <v>134.83000000000001</v>
      </c>
      <c r="C669" s="33">
        <f t="shared" si="20"/>
        <v>2.5713198934956442E-2</v>
      </c>
      <c r="E669" s="34">
        <v>3871.74</v>
      </c>
      <c r="F669" s="33">
        <f t="shared" si="21"/>
        <v>1.0853304161434011E-2</v>
      </c>
      <c r="I669" s="37"/>
      <c r="J669" s="37"/>
    </row>
    <row r="670" spans="1:10" x14ac:dyDescent="0.35">
      <c r="A670" s="35">
        <v>44230</v>
      </c>
      <c r="B670">
        <v>131.44999999999999</v>
      </c>
      <c r="C670" s="33">
        <f t="shared" si="20"/>
        <v>-7.7747584541062896E-3</v>
      </c>
      <c r="E670" s="34">
        <v>3830.17</v>
      </c>
      <c r="F670" s="33">
        <f t="shared" si="21"/>
        <v>1.0088048276276954E-3</v>
      </c>
      <c r="I670" s="37"/>
      <c r="J670" s="37"/>
    </row>
    <row r="671" spans="1:10" x14ac:dyDescent="0.35">
      <c r="A671" s="35">
        <v>44229</v>
      </c>
      <c r="B671">
        <v>132.47999999999999</v>
      </c>
      <c r="C671" s="33">
        <f t="shared" si="20"/>
        <v>6.3810391978122421E-3</v>
      </c>
      <c r="E671" s="34">
        <v>3826.31</v>
      </c>
      <c r="F671" s="33">
        <f t="shared" si="21"/>
        <v>1.3898236818535879E-2</v>
      </c>
      <c r="I671" s="37"/>
      <c r="J671" s="37"/>
    </row>
    <row r="672" spans="1:10" x14ac:dyDescent="0.35">
      <c r="A672" s="35">
        <v>44228</v>
      </c>
      <c r="B672">
        <v>131.63999999999999</v>
      </c>
      <c r="C672" s="33">
        <f t="shared" si="20"/>
        <v>1.6525096525096421E-2</v>
      </c>
      <c r="E672" s="34">
        <v>3773.86</v>
      </c>
      <c r="F672" s="33">
        <f t="shared" si="21"/>
        <v>1.605173602136651E-2</v>
      </c>
      <c r="I672" s="37"/>
      <c r="J672" s="37"/>
    </row>
    <row r="673" spans="1:10" x14ac:dyDescent="0.35">
      <c r="A673" s="35">
        <v>44225</v>
      </c>
      <c r="B673">
        <v>129.5</v>
      </c>
      <c r="C673" s="33">
        <f t="shared" si="20"/>
        <v>-3.746097814776269E-2</v>
      </c>
      <c r="E673" s="34">
        <v>3714.24</v>
      </c>
      <c r="F673" s="33">
        <f t="shared" si="21"/>
        <v>-1.9311502938707054E-2</v>
      </c>
      <c r="I673" s="37"/>
      <c r="J673" s="37"/>
    </row>
    <row r="674" spans="1:10" x14ac:dyDescent="0.35">
      <c r="A674" s="35">
        <v>44224</v>
      </c>
      <c r="B674">
        <v>134.54</v>
      </c>
      <c r="C674" s="33">
        <f t="shared" si="20"/>
        <v>-3.5002151771625273E-2</v>
      </c>
      <c r="E674" s="34">
        <v>3787.38</v>
      </c>
      <c r="F674" s="33">
        <f t="shared" si="21"/>
        <v>9.7606624773046938E-3</v>
      </c>
      <c r="I674" s="37"/>
      <c r="J674" s="37"/>
    </row>
    <row r="675" spans="1:10" x14ac:dyDescent="0.35">
      <c r="A675" s="35">
        <v>44223</v>
      </c>
      <c r="B675">
        <v>139.41999999999999</v>
      </c>
      <c r="C675" s="33">
        <f t="shared" si="20"/>
        <v>-7.686832740213612E-3</v>
      </c>
      <c r="E675" s="34">
        <v>3750.77</v>
      </c>
      <c r="F675" s="33">
        <f t="shared" si="21"/>
        <v>-2.5677859113367011E-2</v>
      </c>
      <c r="I675" s="37"/>
      <c r="J675" s="37"/>
    </row>
    <row r="676" spans="1:10" x14ac:dyDescent="0.35">
      <c r="A676" s="35">
        <v>44222</v>
      </c>
      <c r="B676">
        <v>140.5</v>
      </c>
      <c r="C676" s="33">
        <f t="shared" si="20"/>
        <v>1.7111079423927642E-3</v>
      </c>
      <c r="E676" s="34">
        <v>3849.62</v>
      </c>
      <c r="F676" s="33">
        <f t="shared" si="21"/>
        <v>-1.4888363213812034E-3</v>
      </c>
      <c r="I676" s="37"/>
      <c r="J676" s="37"/>
    </row>
    <row r="677" spans="1:10" x14ac:dyDescent="0.35">
      <c r="A677" s="35">
        <v>44221</v>
      </c>
      <c r="B677">
        <v>140.26</v>
      </c>
      <c r="C677" s="33">
        <f t="shared" si="20"/>
        <v>2.7696365767878088E-2</v>
      </c>
      <c r="E677" s="34">
        <v>3855.36</v>
      </c>
      <c r="F677" s="33">
        <f t="shared" si="21"/>
        <v>3.6158033252896228E-3</v>
      </c>
      <c r="I677" s="37"/>
      <c r="J677" s="37"/>
    </row>
    <row r="678" spans="1:10" x14ac:dyDescent="0.35">
      <c r="A678" s="35">
        <v>44218</v>
      </c>
      <c r="B678">
        <v>136.47999999999999</v>
      </c>
      <c r="C678" s="33">
        <f t="shared" si="20"/>
        <v>1.6081000595592591E-2</v>
      </c>
      <c r="E678" s="34">
        <v>3841.47</v>
      </c>
      <c r="F678" s="33">
        <f t="shared" si="21"/>
        <v>-3.0105863636010672E-3</v>
      </c>
      <c r="I678" s="37"/>
      <c r="J678" s="37"/>
    </row>
    <row r="679" spans="1:10" x14ac:dyDescent="0.35">
      <c r="A679" s="35">
        <v>44217</v>
      </c>
      <c r="B679">
        <v>134.32</v>
      </c>
      <c r="C679" s="33">
        <f t="shared" si="20"/>
        <v>3.6659720614339739E-2</v>
      </c>
      <c r="E679" s="34">
        <v>3853.07</v>
      </c>
      <c r="F679" s="33">
        <f t="shared" si="21"/>
        <v>3.1673092150531686E-4</v>
      </c>
      <c r="I679" s="37"/>
      <c r="J679" s="37"/>
    </row>
    <row r="680" spans="1:10" x14ac:dyDescent="0.35">
      <c r="A680" s="35">
        <v>44216</v>
      </c>
      <c r="B680">
        <v>129.57</v>
      </c>
      <c r="C680" s="33">
        <f t="shared" si="20"/>
        <v>3.2841769629334321E-2</v>
      </c>
      <c r="E680" s="34">
        <v>3851.85</v>
      </c>
      <c r="F680" s="33">
        <f t="shared" si="21"/>
        <v>1.3935576257400164E-2</v>
      </c>
      <c r="I680" s="37"/>
      <c r="J680" s="37"/>
    </row>
    <row r="681" spans="1:10" x14ac:dyDescent="0.35">
      <c r="A681" s="35">
        <v>44215</v>
      </c>
      <c r="B681">
        <v>125.45</v>
      </c>
      <c r="C681" s="33">
        <f t="shared" si="20"/>
        <v>5.4500280516150265E-3</v>
      </c>
      <c r="E681" s="34">
        <v>3798.91</v>
      </c>
      <c r="F681" s="33">
        <f t="shared" si="21"/>
        <v>8.1364028395143253E-3</v>
      </c>
      <c r="I681" s="37"/>
      <c r="J681" s="37"/>
    </row>
    <row r="682" spans="1:10" x14ac:dyDescent="0.35">
      <c r="A682" s="35">
        <v>44211</v>
      </c>
      <c r="B682">
        <v>124.77</v>
      </c>
      <c r="C682" s="33">
        <f t="shared" si="20"/>
        <v>-1.3753853450320205E-2</v>
      </c>
      <c r="E682" s="34">
        <v>3768.25</v>
      </c>
      <c r="F682" s="33">
        <f t="shared" si="21"/>
        <v>-7.1900177576840092E-3</v>
      </c>
      <c r="I682" s="37"/>
      <c r="J682" s="37"/>
    </row>
    <row r="683" spans="1:10" x14ac:dyDescent="0.35">
      <c r="A683" s="35">
        <v>44210</v>
      </c>
      <c r="B683">
        <v>126.51</v>
      </c>
      <c r="C683" s="33">
        <f t="shared" si="20"/>
        <v>-1.5103152977812251E-2</v>
      </c>
      <c r="E683" s="34">
        <v>3795.54</v>
      </c>
      <c r="F683" s="33">
        <f t="shared" si="21"/>
        <v>-3.7534384646074853E-3</v>
      </c>
      <c r="I683" s="37"/>
      <c r="J683" s="37"/>
    </row>
    <row r="684" spans="1:10" x14ac:dyDescent="0.35">
      <c r="A684" s="35">
        <v>44209</v>
      </c>
      <c r="B684">
        <v>128.44999999999999</v>
      </c>
      <c r="C684" s="33">
        <f t="shared" si="20"/>
        <v>1.6218354430379611E-2</v>
      </c>
      <c r="E684" s="34">
        <v>3809.84</v>
      </c>
      <c r="F684" s="33">
        <f t="shared" si="21"/>
        <v>2.2756031663768691E-3</v>
      </c>
      <c r="I684" s="37"/>
      <c r="J684" s="37"/>
    </row>
    <row r="685" spans="1:10" x14ac:dyDescent="0.35">
      <c r="A685" s="35">
        <v>44208</v>
      </c>
      <c r="B685">
        <v>126.4</v>
      </c>
      <c r="C685" s="33">
        <f t="shared" si="20"/>
        <v>-1.4220255964606779E-3</v>
      </c>
      <c r="E685" s="34">
        <v>3801.19</v>
      </c>
      <c r="F685" s="33">
        <f t="shared" si="21"/>
        <v>4.1583215119444551E-4</v>
      </c>
      <c r="I685" s="37"/>
      <c r="J685" s="37"/>
    </row>
    <row r="686" spans="1:10" x14ac:dyDescent="0.35">
      <c r="A686" s="35">
        <v>44207</v>
      </c>
      <c r="B686">
        <v>126.58</v>
      </c>
      <c r="C686" s="33">
        <f t="shared" si="20"/>
        <v>-2.3227100856547611E-2</v>
      </c>
      <c r="E686" s="34">
        <v>3799.61</v>
      </c>
      <c r="F686" s="33">
        <f t="shared" si="21"/>
        <v>-6.5547967411651985E-3</v>
      </c>
      <c r="I686" s="37"/>
      <c r="J686" s="37"/>
    </row>
    <row r="687" spans="1:10" x14ac:dyDescent="0.35">
      <c r="A687" s="35">
        <v>44204</v>
      </c>
      <c r="B687">
        <v>129.59</v>
      </c>
      <c r="C687" s="33">
        <f t="shared" si="20"/>
        <v>8.639476961394877E-3</v>
      </c>
      <c r="E687" s="34">
        <v>3824.68</v>
      </c>
      <c r="F687" s="33">
        <f t="shared" si="21"/>
        <v>5.4918909824148735E-3</v>
      </c>
      <c r="I687" s="37"/>
      <c r="J687" s="37"/>
    </row>
    <row r="688" spans="1:10" x14ac:dyDescent="0.35">
      <c r="A688" s="35">
        <v>44203</v>
      </c>
      <c r="B688">
        <v>128.47999999999999</v>
      </c>
      <c r="C688" s="33">
        <f t="shared" si="20"/>
        <v>3.4127495170637435E-2</v>
      </c>
      <c r="E688" s="34">
        <v>3803.79</v>
      </c>
      <c r="F688" s="33">
        <f t="shared" si="21"/>
        <v>1.4847364292689199E-2</v>
      </c>
      <c r="I688" s="37"/>
      <c r="J688" s="37"/>
    </row>
    <row r="689" spans="1:10" x14ac:dyDescent="0.35">
      <c r="A689" s="35">
        <v>44202</v>
      </c>
      <c r="B689">
        <v>124.24</v>
      </c>
      <c r="C689" s="33">
        <f t="shared" si="20"/>
        <v>-3.3678151979466428E-2</v>
      </c>
      <c r="E689" s="34">
        <v>3748.14</v>
      </c>
      <c r="F689" s="33">
        <f t="shared" si="21"/>
        <v>5.7099005597204466E-3</v>
      </c>
      <c r="I689" s="37"/>
      <c r="J689" s="37"/>
    </row>
    <row r="690" spans="1:10" x14ac:dyDescent="0.35">
      <c r="A690" s="35">
        <v>44201</v>
      </c>
      <c r="B690">
        <v>128.57</v>
      </c>
      <c r="C690" s="33">
        <f t="shared" si="20"/>
        <v>1.2362204724409395E-2</v>
      </c>
      <c r="E690" s="34">
        <v>3726.86</v>
      </c>
      <c r="F690" s="33">
        <f t="shared" si="21"/>
        <v>7.0825395538621693E-3</v>
      </c>
      <c r="I690" s="37"/>
      <c r="J690" s="37"/>
    </row>
    <row r="691" spans="1:10" x14ac:dyDescent="0.35">
      <c r="A691" s="35">
        <v>44200</v>
      </c>
      <c r="B691">
        <v>127</v>
      </c>
      <c r="C691" s="33">
        <f t="shared" si="20"/>
        <v>-2.472738442635539E-2</v>
      </c>
      <c r="E691" s="34">
        <v>3700.65</v>
      </c>
      <c r="F691" s="33">
        <f t="shared" si="21"/>
        <v>-1.4754783590295193E-2</v>
      </c>
      <c r="I691" s="37"/>
      <c r="J691" s="37"/>
    </row>
    <row r="692" spans="1:10" x14ac:dyDescent="0.35">
      <c r="A692" s="35">
        <v>44196</v>
      </c>
      <c r="B692">
        <v>130.22</v>
      </c>
      <c r="C692" s="33">
        <f t="shared" si="20"/>
        <v>-7.6964108816580884E-3</v>
      </c>
      <c r="E692" s="34">
        <v>3756.07</v>
      </c>
      <c r="F692" s="33">
        <f t="shared" si="21"/>
        <v>6.4388377402172002E-3</v>
      </c>
      <c r="I692" s="37"/>
      <c r="J692" s="37"/>
    </row>
    <row r="693" spans="1:10" x14ac:dyDescent="0.35">
      <c r="A693" s="35">
        <v>44195</v>
      </c>
      <c r="B693">
        <v>131.22999999999999</v>
      </c>
      <c r="C693" s="33">
        <f t="shared" si="20"/>
        <v>-8.5373224539137486E-3</v>
      </c>
      <c r="E693" s="34">
        <v>3732.04</v>
      </c>
      <c r="F693" s="33">
        <f t="shared" si="21"/>
        <v>1.3415471795312098E-3</v>
      </c>
      <c r="I693" s="37"/>
      <c r="J693" s="37"/>
    </row>
    <row r="694" spans="1:10" x14ac:dyDescent="0.35">
      <c r="A694" s="35">
        <v>44194</v>
      </c>
      <c r="B694">
        <v>132.36000000000001</v>
      </c>
      <c r="C694" s="33">
        <f t="shared" si="20"/>
        <v>-1.3343272456205681E-2</v>
      </c>
      <c r="E694" s="34">
        <v>3727.04</v>
      </c>
      <c r="F694" s="33">
        <f t="shared" si="21"/>
        <v>-2.2273622890431346E-3</v>
      </c>
      <c r="I694" s="37"/>
      <c r="J694" s="37"/>
    </row>
    <row r="695" spans="1:10" x14ac:dyDescent="0.35">
      <c r="A695" s="35">
        <v>44193</v>
      </c>
      <c r="B695">
        <v>134.15</v>
      </c>
      <c r="C695" s="33">
        <f t="shared" si="20"/>
        <v>3.5827349239441086E-2</v>
      </c>
      <c r="E695" s="34">
        <v>3735.36</v>
      </c>
      <c r="F695" s="33">
        <f t="shared" si="21"/>
        <v>8.7225159732762046E-3</v>
      </c>
      <c r="I695" s="37"/>
      <c r="J695" s="37"/>
    </row>
    <row r="696" spans="1:10" x14ac:dyDescent="0.35">
      <c r="A696" s="35">
        <v>44189</v>
      </c>
      <c r="B696">
        <v>129.51</v>
      </c>
      <c r="C696" s="33">
        <f t="shared" si="20"/>
        <v>7.7030812324928458E-3</v>
      </c>
      <c r="E696" s="34">
        <v>3703.06</v>
      </c>
      <c r="F696" s="33">
        <f t="shared" si="21"/>
        <v>3.5365757816373739E-3</v>
      </c>
      <c r="I696" s="37"/>
      <c r="J696" s="37"/>
    </row>
    <row r="697" spans="1:10" x14ac:dyDescent="0.35">
      <c r="A697" s="35">
        <v>44188</v>
      </c>
      <c r="B697">
        <v>128.52000000000001</v>
      </c>
      <c r="C697" s="33">
        <f t="shared" si="20"/>
        <v>-7.0308274743104112E-3</v>
      </c>
      <c r="E697" s="34">
        <v>3690.01</v>
      </c>
      <c r="F697" s="33">
        <f t="shared" si="21"/>
        <v>7.4581125280018224E-4</v>
      </c>
      <c r="I697" s="37"/>
      <c r="J697" s="37"/>
    </row>
    <row r="698" spans="1:10" x14ac:dyDescent="0.35">
      <c r="A698" s="35">
        <v>44187</v>
      </c>
      <c r="B698">
        <v>129.43</v>
      </c>
      <c r="C698" s="33">
        <f t="shared" si="20"/>
        <v>2.8528289891926281E-2</v>
      </c>
      <c r="E698" s="34">
        <v>3687.26</v>
      </c>
      <c r="F698" s="33">
        <f t="shared" si="21"/>
        <v>-2.0731166033364332E-3</v>
      </c>
      <c r="I698" s="37"/>
      <c r="J698" s="37"/>
    </row>
    <row r="699" spans="1:10" x14ac:dyDescent="0.35">
      <c r="A699" s="35">
        <v>44186</v>
      </c>
      <c r="B699">
        <v>125.84</v>
      </c>
      <c r="C699" s="33">
        <f t="shared" si="20"/>
        <v>1.2389380530973501E-2</v>
      </c>
      <c r="E699" s="34">
        <v>3694.92</v>
      </c>
      <c r="F699" s="33">
        <f t="shared" si="21"/>
        <v>-3.9062815919512217E-3</v>
      </c>
      <c r="I699" s="37"/>
      <c r="J699" s="37"/>
    </row>
    <row r="700" spans="1:10" x14ac:dyDescent="0.35">
      <c r="A700" s="35">
        <v>44183</v>
      </c>
      <c r="B700">
        <v>124.3</v>
      </c>
      <c r="C700" s="33">
        <f t="shared" si="20"/>
        <v>-1.5913229356345541E-2</v>
      </c>
      <c r="E700" s="34">
        <v>3709.41</v>
      </c>
      <c r="F700" s="33">
        <f t="shared" si="21"/>
        <v>-3.5111001267972329E-3</v>
      </c>
      <c r="I700" s="37"/>
      <c r="J700" s="37"/>
    </row>
    <row r="701" spans="1:10" x14ac:dyDescent="0.35">
      <c r="A701" s="35">
        <v>44182</v>
      </c>
      <c r="B701">
        <v>126.31</v>
      </c>
      <c r="C701" s="33">
        <f t="shared" si="20"/>
        <v>7.0158654229450319E-3</v>
      </c>
      <c r="E701" s="34">
        <v>3722.48</v>
      </c>
      <c r="F701" s="33">
        <f t="shared" si="21"/>
        <v>5.7576388007035467E-3</v>
      </c>
      <c r="I701" s="37"/>
      <c r="J701" s="37"/>
    </row>
    <row r="702" spans="1:10" x14ac:dyDescent="0.35">
      <c r="A702" s="35">
        <v>44181</v>
      </c>
      <c r="B702">
        <v>125.43</v>
      </c>
      <c r="C702" s="33">
        <f t="shared" si="20"/>
        <v>-5.5776892430273444E-4</v>
      </c>
      <c r="E702" s="34">
        <v>3701.17</v>
      </c>
      <c r="F702" s="33">
        <f t="shared" si="21"/>
        <v>1.772848087218762E-3</v>
      </c>
      <c r="I702" s="37"/>
      <c r="J702" s="37"/>
    </row>
    <row r="703" spans="1:10" x14ac:dyDescent="0.35">
      <c r="A703" s="35">
        <v>44180</v>
      </c>
      <c r="B703">
        <v>125.5</v>
      </c>
      <c r="C703" s="33">
        <f t="shared" si="20"/>
        <v>5.0121328759099609E-2</v>
      </c>
      <c r="E703" s="34">
        <v>3694.62</v>
      </c>
      <c r="F703" s="33">
        <f t="shared" si="21"/>
        <v>1.2921214314501236E-2</v>
      </c>
      <c r="I703" s="37"/>
      <c r="J703" s="37"/>
    </row>
    <row r="704" spans="1:10" x14ac:dyDescent="0.35">
      <c r="A704" s="35">
        <v>44179</v>
      </c>
      <c r="B704">
        <v>119.51</v>
      </c>
      <c r="C704" s="33">
        <f t="shared" si="20"/>
        <v>-5.1610755015399183E-3</v>
      </c>
      <c r="E704" s="34">
        <v>3647.49</v>
      </c>
      <c r="F704" s="33">
        <f t="shared" si="21"/>
        <v>-4.359266922526861E-3</v>
      </c>
      <c r="I704" s="37"/>
      <c r="J704" s="37"/>
    </row>
    <row r="705" spans="1:10" x14ac:dyDescent="0.35">
      <c r="A705" s="35">
        <v>44176</v>
      </c>
      <c r="B705">
        <v>120.13</v>
      </c>
      <c r="C705" s="33">
        <f t="shared" si="20"/>
        <v>-6.7796610169492131E-3</v>
      </c>
      <c r="E705" s="34">
        <v>3663.46</v>
      </c>
      <c r="F705" s="33">
        <f t="shared" si="21"/>
        <v>-1.2649600610670027E-3</v>
      </c>
      <c r="I705" s="37"/>
      <c r="J705" s="37"/>
    </row>
    <row r="706" spans="1:10" x14ac:dyDescent="0.35">
      <c r="A706" s="35">
        <v>44175</v>
      </c>
      <c r="B706">
        <v>120.95</v>
      </c>
      <c r="C706" s="33">
        <f t="shared" ref="C706:C769" si="22">(B706-B707)/B707</f>
        <v>1.2049200903690048E-2</v>
      </c>
      <c r="E706" s="34">
        <v>3668.1</v>
      </c>
      <c r="F706" s="33">
        <f t="shared" ref="F706:F769" si="23">(E706-E707)/E707</f>
        <v>-1.2851160688517962E-3</v>
      </c>
      <c r="I706" s="37"/>
      <c r="J706" s="37"/>
    </row>
    <row r="707" spans="1:10" x14ac:dyDescent="0.35">
      <c r="A707" s="35">
        <v>44174</v>
      </c>
      <c r="B707">
        <v>119.51</v>
      </c>
      <c r="C707" s="33">
        <f t="shared" si="22"/>
        <v>-2.0971573687228542E-2</v>
      </c>
      <c r="E707" s="34">
        <v>3672.82</v>
      </c>
      <c r="F707" s="33">
        <f t="shared" si="23"/>
        <v>-7.9492200688769908E-3</v>
      </c>
      <c r="I707" s="37"/>
      <c r="J707" s="37"/>
    </row>
    <row r="708" spans="1:10" x14ac:dyDescent="0.35">
      <c r="A708" s="35">
        <v>44173</v>
      </c>
      <c r="B708">
        <v>122.07</v>
      </c>
      <c r="C708" s="33">
        <f t="shared" si="22"/>
        <v>5.1049814738574747E-3</v>
      </c>
      <c r="E708" s="34">
        <v>3702.25</v>
      </c>
      <c r="F708" s="33">
        <f t="shared" si="23"/>
        <v>2.7871374554437113E-3</v>
      </c>
      <c r="I708" s="37"/>
      <c r="J708" s="37"/>
    </row>
    <row r="709" spans="1:10" x14ac:dyDescent="0.35">
      <c r="A709" s="35">
        <v>44172</v>
      </c>
      <c r="B709">
        <v>121.45</v>
      </c>
      <c r="C709" s="33">
        <f t="shared" si="22"/>
        <v>1.2252042007001158E-2</v>
      </c>
      <c r="E709" s="34">
        <v>3691.96</v>
      </c>
      <c r="F709" s="33">
        <f t="shared" si="23"/>
        <v>-1.9355954929820753E-3</v>
      </c>
      <c r="I709" s="37"/>
      <c r="J709" s="37"/>
    </row>
    <row r="710" spans="1:10" x14ac:dyDescent="0.35">
      <c r="A710" s="35">
        <v>44169</v>
      </c>
      <c r="B710">
        <v>119.98</v>
      </c>
      <c r="C710" s="33">
        <f t="shared" si="22"/>
        <v>-5.5532532117695951E-3</v>
      </c>
      <c r="E710" s="34">
        <v>3699.12</v>
      </c>
      <c r="F710" s="33">
        <f t="shared" si="23"/>
        <v>8.8362351093075261E-3</v>
      </c>
      <c r="I710" s="37"/>
      <c r="J710" s="37"/>
    </row>
    <row r="711" spans="1:10" x14ac:dyDescent="0.35">
      <c r="A711" s="35">
        <v>44168</v>
      </c>
      <c r="B711">
        <v>120.65</v>
      </c>
      <c r="C711" s="33">
        <f t="shared" si="22"/>
        <v>-1.1590363440682223E-3</v>
      </c>
      <c r="E711" s="34">
        <v>3666.72</v>
      </c>
      <c r="F711" s="33">
        <f t="shared" si="23"/>
        <v>-6.2414656814792498E-4</v>
      </c>
      <c r="I711" s="37"/>
      <c r="J711" s="37"/>
    </row>
    <row r="712" spans="1:10" x14ac:dyDescent="0.35">
      <c r="A712" s="35">
        <v>44167</v>
      </c>
      <c r="B712">
        <v>120.79</v>
      </c>
      <c r="C712" s="33">
        <f t="shared" si="22"/>
        <v>2.9060112919296623E-3</v>
      </c>
      <c r="E712" s="34">
        <v>3669.01</v>
      </c>
      <c r="F712" s="33">
        <f t="shared" si="23"/>
        <v>1.7911507324333167E-3</v>
      </c>
      <c r="I712" s="37"/>
      <c r="J712" s="37"/>
    </row>
    <row r="713" spans="1:10" x14ac:dyDescent="0.35">
      <c r="A713" s="35">
        <v>44166</v>
      </c>
      <c r="B713">
        <v>120.44</v>
      </c>
      <c r="C713" s="33">
        <f t="shared" si="22"/>
        <v>3.0899597706068642E-2</v>
      </c>
      <c r="E713" s="34">
        <v>3662.45</v>
      </c>
      <c r="F713" s="33">
        <f t="shared" si="23"/>
        <v>1.1271167954760622E-2</v>
      </c>
      <c r="I713" s="37"/>
      <c r="J713" s="37"/>
    </row>
    <row r="714" spans="1:10" x14ac:dyDescent="0.35">
      <c r="A714" s="35">
        <v>44165</v>
      </c>
      <c r="B714">
        <v>116.83</v>
      </c>
      <c r="C714" s="33">
        <f t="shared" si="22"/>
        <v>2.1062751267260937E-2</v>
      </c>
      <c r="E714" s="34">
        <v>3621.63</v>
      </c>
      <c r="F714" s="33">
        <f t="shared" si="23"/>
        <v>-4.5954897137438127E-3</v>
      </c>
      <c r="I714" s="37"/>
      <c r="J714" s="37"/>
    </row>
    <row r="715" spans="1:10" x14ac:dyDescent="0.35">
      <c r="A715" s="35">
        <v>44162</v>
      </c>
      <c r="B715">
        <v>114.42</v>
      </c>
      <c r="C715" s="33">
        <f t="shared" si="22"/>
        <v>4.8300693773601225E-3</v>
      </c>
      <c r="E715" s="34">
        <v>3638.35</v>
      </c>
      <c r="F715" s="33">
        <f t="shared" si="23"/>
        <v>2.3969253233782368E-3</v>
      </c>
      <c r="I715" s="37"/>
      <c r="J715" s="37"/>
    </row>
    <row r="716" spans="1:10" x14ac:dyDescent="0.35">
      <c r="A716" s="35">
        <v>44160</v>
      </c>
      <c r="B716">
        <v>113.87</v>
      </c>
      <c r="C716" s="33">
        <f t="shared" si="22"/>
        <v>7.4316553127488577E-3</v>
      </c>
      <c r="E716" s="34">
        <v>3629.65</v>
      </c>
      <c r="F716" s="33">
        <f t="shared" si="23"/>
        <v>-1.5844155129682109E-3</v>
      </c>
      <c r="I716" s="37"/>
      <c r="J716" s="37"/>
    </row>
    <row r="717" spans="1:10" x14ac:dyDescent="0.35">
      <c r="A717" s="35">
        <v>44159</v>
      </c>
      <c r="B717">
        <v>113.03</v>
      </c>
      <c r="C717" s="33">
        <f t="shared" si="22"/>
        <v>1.1635191980667654E-2</v>
      </c>
      <c r="E717" s="34">
        <v>3635.41</v>
      </c>
      <c r="F717" s="33">
        <f t="shared" si="23"/>
        <v>1.6161717804443691E-2</v>
      </c>
      <c r="I717" s="37"/>
      <c r="J717" s="37"/>
    </row>
    <row r="718" spans="1:10" x14ac:dyDescent="0.35">
      <c r="A718" s="35">
        <v>44158</v>
      </c>
      <c r="B718">
        <v>111.73</v>
      </c>
      <c r="C718" s="33">
        <f t="shared" si="22"/>
        <v>-2.9784647447030157E-2</v>
      </c>
      <c r="E718" s="34">
        <v>3577.59</v>
      </c>
      <c r="F718" s="33">
        <f t="shared" si="23"/>
        <v>5.6359169538501832E-3</v>
      </c>
      <c r="I718" s="37"/>
      <c r="J718" s="37"/>
    </row>
    <row r="719" spans="1:10" x14ac:dyDescent="0.35">
      <c r="A719" s="35">
        <v>44155</v>
      </c>
      <c r="B719">
        <v>115.16</v>
      </c>
      <c r="C719" s="33">
        <f t="shared" si="22"/>
        <v>-1.0907841621575282E-2</v>
      </c>
      <c r="E719" s="34">
        <v>3557.54</v>
      </c>
      <c r="F719" s="33">
        <f t="shared" si="23"/>
        <v>-6.7925413261787637E-3</v>
      </c>
      <c r="I719" s="37"/>
      <c r="J719" s="37"/>
    </row>
    <row r="720" spans="1:10" x14ac:dyDescent="0.35">
      <c r="A720" s="35">
        <v>44154</v>
      </c>
      <c r="B720">
        <v>116.43</v>
      </c>
      <c r="C720" s="33">
        <f t="shared" si="22"/>
        <v>5.1800051800052534E-3</v>
      </c>
      <c r="E720" s="34">
        <v>3581.87</v>
      </c>
      <c r="F720" s="33">
        <f t="shared" si="23"/>
        <v>3.9464206133208307E-3</v>
      </c>
      <c r="I720" s="37"/>
      <c r="J720" s="37"/>
    </row>
    <row r="721" spans="1:10" x14ac:dyDescent="0.35">
      <c r="A721" s="35">
        <v>44153</v>
      </c>
      <c r="B721">
        <v>115.83</v>
      </c>
      <c r="C721" s="33">
        <f t="shared" si="22"/>
        <v>-1.1436374498591818E-2</v>
      </c>
      <c r="E721" s="34">
        <v>3567.79</v>
      </c>
      <c r="F721" s="33">
        <f t="shared" si="23"/>
        <v>-1.1563832410313873E-2</v>
      </c>
      <c r="I721" s="37"/>
      <c r="J721" s="37"/>
    </row>
    <row r="722" spans="1:10" x14ac:dyDescent="0.35">
      <c r="A722" s="35">
        <v>44152</v>
      </c>
      <c r="B722">
        <v>117.17</v>
      </c>
      <c r="C722" s="33">
        <f t="shared" si="22"/>
        <v>-7.5385397255632773E-3</v>
      </c>
      <c r="E722" s="34">
        <v>3609.53</v>
      </c>
      <c r="F722" s="33">
        <f t="shared" si="23"/>
        <v>-4.791957892531013E-3</v>
      </c>
      <c r="I722" s="37"/>
      <c r="J722" s="37"/>
    </row>
    <row r="723" spans="1:10" x14ac:dyDescent="0.35">
      <c r="A723" s="35">
        <v>44151</v>
      </c>
      <c r="B723">
        <v>118.06</v>
      </c>
      <c r="C723" s="33">
        <f t="shared" si="22"/>
        <v>8.7149692412849967E-3</v>
      </c>
      <c r="E723" s="34">
        <v>3626.91</v>
      </c>
      <c r="F723" s="33">
        <f t="shared" si="23"/>
        <v>1.1648048198820067E-2</v>
      </c>
      <c r="I723" s="37"/>
      <c r="J723" s="37"/>
    </row>
    <row r="724" spans="1:10" x14ac:dyDescent="0.35">
      <c r="A724" s="35">
        <v>44148</v>
      </c>
      <c r="B724">
        <v>117.04</v>
      </c>
      <c r="C724" s="33">
        <f t="shared" si="22"/>
        <v>4.2738695615019551E-4</v>
      </c>
      <c r="E724" s="34">
        <v>3585.15</v>
      </c>
      <c r="F724" s="33">
        <f t="shared" si="23"/>
        <v>1.3610365817455949E-2</v>
      </c>
      <c r="I724" s="37"/>
      <c r="J724" s="37"/>
    </row>
    <row r="725" spans="1:10" x14ac:dyDescent="0.35">
      <c r="A725" s="35">
        <v>44147</v>
      </c>
      <c r="B725">
        <v>116.99</v>
      </c>
      <c r="C725" s="33">
        <f t="shared" si="22"/>
        <v>-2.3876524260254212E-3</v>
      </c>
      <c r="E725" s="34">
        <v>3537.01</v>
      </c>
      <c r="F725" s="33">
        <f t="shared" si="23"/>
        <v>-9.9785593927212875E-3</v>
      </c>
      <c r="I725" s="37"/>
      <c r="J725" s="37"/>
    </row>
    <row r="726" spans="1:10" x14ac:dyDescent="0.35">
      <c r="A726" s="35">
        <v>44146</v>
      </c>
      <c r="B726">
        <v>117.27</v>
      </c>
      <c r="C726" s="33">
        <f t="shared" si="22"/>
        <v>3.0401546437044142E-2</v>
      </c>
      <c r="E726" s="34">
        <v>3572.66</v>
      </c>
      <c r="F726" s="33">
        <f t="shared" si="23"/>
        <v>7.6518884341691233E-3</v>
      </c>
      <c r="I726" s="37"/>
      <c r="J726" s="37"/>
    </row>
    <row r="727" spans="1:10" x14ac:dyDescent="0.35">
      <c r="A727" s="35">
        <v>44145</v>
      </c>
      <c r="B727">
        <v>113.81</v>
      </c>
      <c r="C727" s="33">
        <f t="shared" si="22"/>
        <v>-3.0658724597056267E-3</v>
      </c>
      <c r="E727" s="34">
        <v>3545.53</v>
      </c>
      <c r="F727" s="33">
        <f t="shared" si="23"/>
        <v>-1.3998028446697084E-3</v>
      </c>
      <c r="I727" s="37"/>
      <c r="J727" s="37"/>
    </row>
    <row r="728" spans="1:10" x14ac:dyDescent="0.35">
      <c r="A728" s="35">
        <v>44144</v>
      </c>
      <c r="B728">
        <v>114.16</v>
      </c>
      <c r="C728" s="33">
        <f t="shared" si="22"/>
        <v>-1.9917582417582479E-2</v>
      </c>
      <c r="E728" s="34">
        <v>3550.5</v>
      </c>
      <c r="F728" s="33">
        <f t="shared" si="23"/>
        <v>1.1699872344305629E-2</v>
      </c>
      <c r="I728" s="37"/>
      <c r="J728" s="37"/>
    </row>
    <row r="729" spans="1:10" x14ac:dyDescent="0.35">
      <c r="A729" s="35">
        <v>44141</v>
      </c>
      <c r="B729">
        <v>116.48</v>
      </c>
      <c r="C729" s="33">
        <f t="shared" si="22"/>
        <v>-1.1148272017836845E-3</v>
      </c>
      <c r="E729" s="34">
        <v>3509.44</v>
      </c>
      <c r="F729" s="33">
        <f t="shared" si="23"/>
        <v>-2.8771240154389424E-4</v>
      </c>
      <c r="I729" s="37"/>
      <c r="J729" s="37"/>
    </row>
    <row r="730" spans="1:10" x14ac:dyDescent="0.35">
      <c r="A730" s="35">
        <v>44140</v>
      </c>
      <c r="B730">
        <v>116.61</v>
      </c>
      <c r="C730" s="33">
        <f t="shared" si="22"/>
        <v>3.5428875865743163E-2</v>
      </c>
      <c r="E730" s="34">
        <v>3510.45</v>
      </c>
      <c r="F730" s="33">
        <f t="shared" si="23"/>
        <v>1.9460190971818808E-2</v>
      </c>
      <c r="I730" s="37"/>
      <c r="J730" s="37"/>
    </row>
    <row r="731" spans="1:10" x14ac:dyDescent="0.35">
      <c r="A731" s="35">
        <v>44139</v>
      </c>
      <c r="B731">
        <v>112.62</v>
      </c>
      <c r="C731" s="33">
        <f t="shared" si="22"/>
        <v>4.0850277264325337E-2</v>
      </c>
      <c r="E731" s="34">
        <v>3443.44</v>
      </c>
      <c r="F731" s="33">
        <f t="shared" si="23"/>
        <v>2.2047038430944271E-2</v>
      </c>
      <c r="I731" s="37"/>
      <c r="J731" s="37"/>
    </row>
    <row r="732" spans="1:10" x14ac:dyDescent="0.35">
      <c r="A732" s="35">
        <v>44138</v>
      </c>
      <c r="B732">
        <v>108.2</v>
      </c>
      <c r="C732" s="33">
        <f t="shared" si="22"/>
        <v>1.5390390390390396E-2</v>
      </c>
      <c r="E732" s="34">
        <v>3369.16</v>
      </c>
      <c r="F732" s="33">
        <f t="shared" si="23"/>
        <v>1.7799313644932112E-2</v>
      </c>
      <c r="I732" s="37"/>
      <c r="J732" s="37"/>
    </row>
    <row r="733" spans="1:10" x14ac:dyDescent="0.35">
      <c r="A733" s="35">
        <v>44137</v>
      </c>
      <c r="B733">
        <v>106.56</v>
      </c>
      <c r="C733" s="33">
        <f t="shared" si="22"/>
        <v>-8.4388185654011628E-4</v>
      </c>
      <c r="E733" s="34">
        <v>3310.24</v>
      </c>
      <c r="F733" s="33">
        <f t="shared" si="23"/>
        <v>1.2318193494721569E-2</v>
      </c>
      <c r="I733" s="37"/>
      <c r="J733" s="37"/>
    </row>
    <row r="734" spans="1:10" x14ac:dyDescent="0.35">
      <c r="A734" s="35">
        <v>44134</v>
      </c>
      <c r="B734">
        <v>106.65</v>
      </c>
      <c r="C734" s="33">
        <f t="shared" si="22"/>
        <v>-5.6027615507169393E-2</v>
      </c>
      <c r="E734" s="34">
        <v>3269.96</v>
      </c>
      <c r="F734" s="33">
        <f t="shared" si="23"/>
        <v>-1.2129506270184401E-2</v>
      </c>
      <c r="I734" s="37"/>
      <c r="J734" s="37"/>
    </row>
    <row r="735" spans="1:10" x14ac:dyDescent="0.35">
      <c r="A735" s="35">
        <v>44133</v>
      </c>
      <c r="B735">
        <v>112.98</v>
      </c>
      <c r="C735" s="33">
        <f t="shared" si="22"/>
        <v>3.7084633743345016E-2</v>
      </c>
      <c r="E735" s="34">
        <v>3310.11</v>
      </c>
      <c r="F735" s="33">
        <f t="shared" si="23"/>
        <v>1.1947307117329992E-2</v>
      </c>
      <c r="I735" s="37"/>
      <c r="J735" s="37"/>
    </row>
    <row r="736" spans="1:10" x14ac:dyDescent="0.35">
      <c r="A736" s="35">
        <v>44132</v>
      </c>
      <c r="B736">
        <v>108.94</v>
      </c>
      <c r="C736" s="33">
        <f t="shared" si="22"/>
        <v>-4.6310076162129094E-2</v>
      </c>
      <c r="E736" s="34">
        <v>3271.03</v>
      </c>
      <c r="F736" s="33">
        <f t="shared" si="23"/>
        <v>-3.5287906850543151E-2</v>
      </c>
      <c r="I736" s="37"/>
      <c r="J736" s="37"/>
    </row>
    <row r="737" spans="1:10" x14ac:dyDescent="0.35">
      <c r="A737" s="35">
        <v>44131</v>
      </c>
      <c r="B737">
        <v>114.23</v>
      </c>
      <c r="C737" s="33">
        <f t="shared" si="22"/>
        <v>1.3485937361369979E-2</v>
      </c>
      <c r="E737" s="34">
        <v>3390.68</v>
      </c>
      <c r="F737" s="33">
        <f t="shared" si="23"/>
        <v>-3.0256074002416853E-3</v>
      </c>
      <c r="I737" s="37"/>
      <c r="J737" s="37"/>
    </row>
    <row r="738" spans="1:10" x14ac:dyDescent="0.35">
      <c r="A738" s="35">
        <v>44130</v>
      </c>
      <c r="B738">
        <v>112.71</v>
      </c>
      <c r="C738" s="33">
        <f t="shared" si="22"/>
        <v>0</v>
      </c>
      <c r="E738" s="34">
        <v>3400.97</v>
      </c>
      <c r="F738" s="33">
        <f t="shared" si="23"/>
        <v>-1.8589538262648669E-2</v>
      </c>
      <c r="I738" s="37"/>
      <c r="J738" s="37"/>
    </row>
    <row r="739" spans="1:10" x14ac:dyDescent="0.35">
      <c r="A739" s="35">
        <v>44127</v>
      </c>
      <c r="B739">
        <v>112.71</v>
      </c>
      <c r="C739" s="33">
        <f t="shared" si="22"/>
        <v>-6.08465608465619E-3</v>
      </c>
      <c r="E739" s="34">
        <v>3465.39</v>
      </c>
      <c r="F739" s="33">
        <f t="shared" si="23"/>
        <v>3.4457896215133363E-3</v>
      </c>
      <c r="I739" s="37"/>
      <c r="J739" s="37"/>
    </row>
    <row r="740" spans="1:10" x14ac:dyDescent="0.35">
      <c r="A740" s="35">
        <v>44126</v>
      </c>
      <c r="B740">
        <v>113.4</v>
      </c>
      <c r="C740" s="33">
        <f t="shared" si="22"/>
        <v>-9.606986899563269E-3</v>
      </c>
      <c r="E740" s="34">
        <v>3453.49</v>
      </c>
      <c r="F740" s="33">
        <f t="shared" si="23"/>
        <v>5.2189453829942821E-3</v>
      </c>
      <c r="I740" s="37"/>
      <c r="J740" s="37"/>
    </row>
    <row r="741" spans="1:10" x14ac:dyDescent="0.35">
      <c r="A741" s="35">
        <v>44125</v>
      </c>
      <c r="B741">
        <v>114.5</v>
      </c>
      <c r="C741" s="33">
        <f t="shared" si="22"/>
        <v>-5.3856845031272109E-3</v>
      </c>
      <c r="E741" s="34">
        <v>3435.56</v>
      </c>
      <c r="F741" s="33">
        <f t="shared" si="23"/>
        <v>-2.1956829851994546E-3</v>
      </c>
      <c r="I741" s="37"/>
      <c r="J741" s="37"/>
    </row>
    <row r="742" spans="1:10" x14ac:dyDescent="0.35">
      <c r="A742" s="35">
        <v>44124</v>
      </c>
      <c r="B742">
        <v>115.12</v>
      </c>
      <c r="C742" s="33">
        <f t="shared" si="22"/>
        <v>1.3112734313121615E-2</v>
      </c>
      <c r="E742" s="34">
        <v>3443.12</v>
      </c>
      <c r="F742" s="33">
        <f t="shared" si="23"/>
        <v>4.7272769717413357E-3</v>
      </c>
      <c r="I742" s="37"/>
      <c r="J742" s="37"/>
    </row>
    <row r="743" spans="1:10" x14ac:dyDescent="0.35">
      <c r="A743" s="35">
        <v>44123</v>
      </c>
      <c r="B743">
        <v>113.63</v>
      </c>
      <c r="C743" s="33">
        <f t="shared" si="22"/>
        <v>-2.5471698113207538E-2</v>
      </c>
      <c r="E743" s="34">
        <v>3426.92</v>
      </c>
      <c r="F743" s="33">
        <f t="shared" si="23"/>
        <v>-1.6329822808936158E-2</v>
      </c>
      <c r="I743" s="37"/>
      <c r="J743" s="37"/>
    </row>
    <row r="744" spans="1:10" x14ac:dyDescent="0.35">
      <c r="A744" s="35">
        <v>44120</v>
      </c>
      <c r="B744">
        <v>116.6</v>
      </c>
      <c r="C744" s="33">
        <f t="shared" si="22"/>
        <v>-1.4036867918146548E-2</v>
      </c>
      <c r="E744" s="34">
        <v>3483.81</v>
      </c>
      <c r="F744" s="33">
        <f t="shared" si="23"/>
        <v>1.3492797142966231E-4</v>
      </c>
      <c r="I744" s="37"/>
      <c r="J744" s="37"/>
    </row>
    <row r="745" spans="1:10" x14ac:dyDescent="0.35">
      <c r="A745" s="35">
        <v>44119</v>
      </c>
      <c r="B745">
        <v>118.26</v>
      </c>
      <c r="C745" s="33">
        <f t="shared" si="22"/>
        <v>-3.9585614419270516E-3</v>
      </c>
      <c r="E745" s="34">
        <v>3483.34</v>
      </c>
      <c r="F745" s="33">
        <f t="shared" si="23"/>
        <v>-1.5278028589691564E-3</v>
      </c>
      <c r="I745" s="37"/>
      <c r="J745" s="37"/>
    </row>
    <row r="746" spans="1:10" x14ac:dyDescent="0.35">
      <c r="A746" s="35">
        <v>44118</v>
      </c>
      <c r="B746">
        <v>118.73</v>
      </c>
      <c r="C746" s="33">
        <f t="shared" si="22"/>
        <v>7.5859743762646161E-4</v>
      </c>
      <c r="E746" s="34">
        <v>3488.67</v>
      </c>
      <c r="F746" s="33">
        <f t="shared" si="23"/>
        <v>-6.6231388438834958E-3</v>
      </c>
      <c r="I746" s="37"/>
      <c r="J746" s="37"/>
    </row>
    <row r="747" spans="1:10" x14ac:dyDescent="0.35">
      <c r="A747" s="35">
        <v>44117</v>
      </c>
      <c r="B747">
        <v>118.64</v>
      </c>
      <c r="C747" s="33">
        <f t="shared" si="22"/>
        <v>-2.6583524778470587E-2</v>
      </c>
      <c r="E747" s="34">
        <v>3511.93</v>
      </c>
      <c r="F747" s="33">
        <f t="shared" si="23"/>
        <v>-6.3069078891523347E-3</v>
      </c>
      <c r="I747" s="37"/>
      <c r="J747" s="37"/>
    </row>
    <row r="748" spans="1:10" x14ac:dyDescent="0.35">
      <c r="A748" s="35">
        <v>44116</v>
      </c>
      <c r="B748">
        <v>121.88</v>
      </c>
      <c r="C748" s="33">
        <f t="shared" si="22"/>
        <v>6.3525305410122176E-2</v>
      </c>
      <c r="E748" s="34">
        <v>3534.22</v>
      </c>
      <c r="F748" s="33">
        <f t="shared" si="23"/>
        <v>1.6415789988323718E-2</v>
      </c>
      <c r="I748" s="37"/>
      <c r="J748" s="37"/>
    </row>
    <row r="749" spans="1:10" x14ac:dyDescent="0.35">
      <c r="A749" s="35">
        <v>44113</v>
      </c>
      <c r="B749">
        <v>114.6</v>
      </c>
      <c r="C749" s="33">
        <f t="shared" si="22"/>
        <v>1.7400568181818125E-2</v>
      </c>
      <c r="E749" s="34">
        <v>3477.14</v>
      </c>
      <c r="F749" s="33">
        <f t="shared" si="23"/>
        <v>8.7935871510924375E-3</v>
      </c>
      <c r="I749" s="37"/>
      <c r="J749" s="37"/>
    </row>
    <row r="750" spans="1:10" x14ac:dyDescent="0.35">
      <c r="A750" s="35">
        <v>44112</v>
      </c>
      <c r="B750">
        <v>112.64</v>
      </c>
      <c r="C750" s="33">
        <f t="shared" si="22"/>
        <v>-8.8699662941275784E-4</v>
      </c>
      <c r="E750" s="34">
        <v>3446.83</v>
      </c>
      <c r="F750" s="33">
        <f t="shared" si="23"/>
        <v>8.0100835224480825E-3</v>
      </c>
      <c r="I750" s="37"/>
      <c r="J750" s="37"/>
    </row>
    <row r="751" spans="1:10" x14ac:dyDescent="0.35">
      <c r="A751" s="35">
        <v>44111</v>
      </c>
      <c r="B751">
        <v>112.74</v>
      </c>
      <c r="C751" s="33">
        <f t="shared" si="22"/>
        <v>1.6958325816344898E-2</v>
      </c>
      <c r="E751" s="34">
        <v>3419.44</v>
      </c>
      <c r="F751" s="33">
        <f t="shared" si="23"/>
        <v>1.7396763434365751E-2</v>
      </c>
      <c r="I751" s="37"/>
      <c r="J751" s="37"/>
    </row>
    <row r="752" spans="1:10" x14ac:dyDescent="0.35">
      <c r="A752" s="35">
        <v>44110</v>
      </c>
      <c r="B752">
        <v>110.86</v>
      </c>
      <c r="C752" s="33">
        <f t="shared" si="22"/>
        <v>-2.8736639214999134E-2</v>
      </c>
      <c r="E752" s="34">
        <v>3360.97</v>
      </c>
      <c r="F752" s="33">
        <f t="shared" si="23"/>
        <v>-1.3973478847620756E-2</v>
      </c>
      <c r="I752" s="37"/>
      <c r="J752" s="37"/>
    </row>
    <row r="753" spans="1:10" x14ac:dyDescent="0.35">
      <c r="A753" s="35">
        <v>44109</v>
      </c>
      <c r="B753">
        <v>114.14</v>
      </c>
      <c r="C753" s="33">
        <f t="shared" si="22"/>
        <v>3.0795629007495679E-2</v>
      </c>
      <c r="E753" s="34">
        <v>3408.6</v>
      </c>
      <c r="F753" s="33">
        <f t="shared" si="23"/>
        <v>1.7972655760030053E-2</v>
      </c>
      <c r="I753" s="37"/>
      <c r="J753" s="37"/>
    </row>
    <row r="754" spans="1:10" x14ac:dyDescent="0.35">
      <c r="A754" s="35">
        <v>44106</v>
      </c>
      <c r="B754">
        <v>110.73</v>
      </c>
      <c r="C754" s="33">
        <f t="shared" si="22"/>
        <v>-3.2249606712113243E-2</v>
      </c>
      <c r="E754" s="34">
        <v>3348.42</v>
      </c>
      <c r="F754" s="33">
        <f t="shared" si="23"/>
        <v>-9.577614765735952E-3</v>
      </c>
      <c r="I754" s="37"/>
      <c r="J754" s="37"/>
    </row>
    <row r="755" spans="1:10" x14ac:dyDescent="0.35">
      <c r="A755" s="35">
        <v>44105</v>
      </c>
      <c r="B755">
        <v>114.42</v>
      </c>
      <c r="C755" s="33">
        <f t="shared" si="22"/>
        <v>8.4611316763617845E-3</v>
      </c>
      <c r="E755" s="34">
        <v>3380.8</v>
      </c>
      <c r="F755" s="33">
        <f t="shared" si="23"/>
        <v>5.2928932500743925E-3</v>
      </c>
      <c r="I755" s="37"/>
      <c r="J755" s="37"/>
    </row>
    <row r="756" spans="1:10" x14ac:dyDescent="0.35">
      <c r="A756" s="35">
        <v>44104</v>
      </c>
      <c r="B756">
        <v>113.46</v>
      </c>
      <c r="C756" s="33">
        <f t="shared" si="22"/>
        <v>1.5120336405117632E-2</v>
      </c>
      <c r="E756" s="34">
        <v>3363</v>
      </c>
      <c r="F756" s="33">
        <f t="shared" si="23"/>
        <v>8.2537093722924205E-3</v>
      </c>
      <c r="I756" s="37"/>
      <c r="J756" s="37"/>
    </row>
    <row r="757" spans="1:10" x14ac:dyDescent="0.35">
      <c r="A757" s="35">
        <v>44103</v>
      </c>
      <c r="B757">
        <v>111.77</v>
      </c>
      <c r="C757" s="33">
        <f t="shared" si="22"/>
        <v>-7.6356210601083146E-3</v>
      </c>
      <c r="E757" s="34">
        <v>3335.47</v>
      </c>
      <c r="F757" s="33">
        <f t="shared" si="23"/>
        <v>-4.8126268051080405E-3</v>
      </c>
      <c r="I757" s="37"/>
      <c r="J757" s="37"/>
    </row>
    <row r="758" spans="1:10" x14ac:dyDescent="0.35">
      <c r="A758" s="35">
        <v>44102</v>
      </c>
      <c r="B758">
        <v>112.63</v>
      </c>
      <c r="C758" s="33">
        <f t="shared" si="22"/>
        <v>2.3909090909090869E-2</v>
      </c>
      <c r="E758" s="34">
        <v>3351.6</v>
      </c>
      <c r="F758" s="33">
        <f t="shared" si="23"/>
        <v>1.6110548559024475E-2</v>
      </c>
      <c r="I758" s="37"/>
      <c r="J758" s="37"/>
    </row>
    <row r="759" spans="1:10" x14ac:dyDescent="0.35">
      <c r="A759" s="35">
        <v>44099</v>
      </c>
      <c r="B759">
        <v>110</v>
      </c>
      <c r="C759" s="33">
        <f t="shared" si="22"/>
        <v>3.7540086776080027E-2</v>
      </c>
      <c r="E759" s="34">
        <v>3298.46</v>
      </c>
      <c r="F759" s="33">
        <f t="shared" si="23"/>
        <v>1.5976763311659276E-2</v>
      </c>
      <c r="I759" s="37"/>
      <c r="J759" s="37"/>
    </row>
    <row r="760" spans="1:10" x14ac:dyDescent="0.35">
      <c r="A760" s="35">
        <v>44098</v>
      </c>
      <c r="B760">
        <v>106.02</v>
      </c>
      <c r="C760" s="33">
        <f t="shared" si="22"/>
        <v>1.0195331110052341E-2</v>
      </c>
      <c r="E760" s="34">
        <v>3246.59</v>
      </c>
      <c r="F760" s="33">
        <f t="shared" si="23"/>
        <v>2.9874077827070403E-3</v>
      </c>
      <c r="I760" s="37"/>
      <c r="J760" s="37"/>
    </row>
    <row r="761" spans="1:10" x14ac:dyDescent="0.35">
      <c r="A761" s="35">
        <v>44097</v>
      </c>
      <c r="B761">
        <v>104.95</v>
      </c>
      <c r="C761" s="33">
        <f t="shared" si="22"/>
        <v>-4.190250136936282E-2</v>
      </c>
      <c r="E761" s="34">
        <v>3236.92</v>
      </c>
      <c r="F761" s="33">
        <f t="shared" si="23"/>
        <v>-2.3721411401357861E-2</v>
      </c>
      <c r="I761" s="37"/>
      <c r="J761" s="37"/>
    </row>
    <row r="762" spans="1:10" x14ac:dyDescent="0.35">
      <c r="A762" s="35">
        <v>44096</v>
      </c>
      <c r="B762">
        <v>109.54</v>
      </c>
      <c r="C762" s="33">
        <f t="shared" si="22"/>
        <v>1.5669911914696449E-2</v>
      </c>
      <c r="E762" s="34">
        <v>3315.57</v>
      </c>
      <c r="F762" s="33">
        <f t="shared" si="23"/>
        <v>1.0517942372282195E-2</v>
      </c>
      <c r="I762" s="37"/>
      <c r="J762" s="37"/>
    </row>
    <row r="763" spans="1:10" x14ac:dyDescent="0.35">
      <c r="A763" s="35">
        <v>44095</v>
      </c>
      <c r="B763">
        <v>107.85</v>
      </c>
      <c r="C763" s="33">
        <f t="shared" si="22"/>
        <v>3.0381198051017414E-2</v>
      </c>
      <c r="E763" s="34">
        <v>3281.06</v>
      </c>
      <c r="F763" s="33">
        <f t="shared" si="23"/>
        <v>-1.1571124305988563E-2</v>
      </c>
      <c r="I763" s="37"/>
      <c r="J763" s="37"/>
    </row>
    <row r="764" spans="1:10" x14ac:dyDescent="0.35">
      <c r="A764" s="35">
        <v>44092</v>
      </c>
      <c r="B764">
        <v>104.67</v>
      </c>
      <c r="C764" s="33">
        <f t="shared" si="22"/>
        <v>-3.1729879740980509E-2</v>
      </c>
      <c r="E764" s="34">
        <v>3319.47</v>
      </c>
      <c r="F764" s="33">
        <f t="shared" si="23"/>
        <v>-1.1182570203842234E-2</v>
      </c>
      <c r="I764" s="37"/>
      <c r="J764" s="37"/>
    </row>
    <row r="765" spans="1:10" x14ac:dyDescent="0.35">
      <c r="A765" s="35">
        <v>44091</v>
      </c>
      <c r="B765">
        <v>108.1</v>
      </c>
      <c r="C765" s="33">
        <f t="shared" si="22"/>
        <v>-1.5930814747382796E-2</v>
      </c>
      <c r="E765" s="34">
        <v>3357.01</v>
      </c>
      <c r="F765" s="33">
        <f t="shared" si="23"/>
        <v>-8.4123716212422921E-3</v>
      </c>
      <c r="I765" s="37"/>
      <c r="J765" s="37"/>
    </row>
    <row r="766" spans="1:10" x14ac:dyDescent="0.35">
      <c r="A766" s="35">
        <v>44090</v>
      </c>
      <c r="B766">
        <v>109.85</v>
      </c>
      <c r="C766" s="33">
        <f t="shared" si="22"/>
        <v>-2.9507907058927498E-2</v>
      </c>
      <c r="E766" s="34">
        <v>3385.49</v>
      </c>
      <c r="F766" s="33">
        <f t="shared" si="23"/>
        <v>-4.61895801481831E-3</v>
      </c>
      <c r="I766" s="37"/>
      <c r="J766" s="37"/>
    </row>
    <row r="767" spans="1:10" x14ac:dyDescent="0.35">
      <c r="A767" s="35">
        <v>44089</v>
      </c>
      <c r="B767">
        <v>113.19</v>
      </c>
      <c r="C767" s="33">
        <f t="shared" si="22"/>
        <v>1.5041585560078014E-3</v>
      </c>
      <c r="E767" s="34">
        <v>3401.2</v>
      </c>
      <c r="F767" s="33">
        <f t="shared" si="23"/>
        <v>5.219385613883641E-3</v>
      </c>
      <c r="I767" s="37"/>
      <c r="J767" s="37"/>
    </row>
    <row r="768" spans="1:10" x14ac:dyDescent="0.35">
      <c r="A768" s="35">
        <v>44088</v>
      </c>
      <c r="B768">
        <v>113.02</v>
      </c>
      <c r="C768" s="33">
        <f t="shared" si="22"/>
        <v>2.9982684771712311E-2</v>
      </c>
      <c r="E768" s="34">
        <v>3383.54</v>
      </c>
      <c r="F768" s="33">
        <f t="shared" si="23"/>
        <v>1.2741808516688317E-2</v>
      </c>
      <c r="I768" s="37"/>
      <c r="J768" s="37"/>
    </row>
    <row r="769" spans="1:10" x14ac:dyDescent="0.35">
      <c r="A769" s="35">
        <v>44085</v>
      </c>
      <c r="B769">
        <v>109.73</v>
      </c>
      <c r="C769" s="33">
        <f t="shared" si="22"/>
        <v>-1.313067721917433E-2</v>
      </c>
      <c r="E769" s="34">
        <v>3340.97</v>
      </c>
      <c r="F769" s="33">
        <f t="shared" si="23"/>
        <v>5.3306340759278305E-4</v>
      </c>
      <c r="I769" s="37"/>
      <c r="J769" s="37"/>
    </row>
    <row r="770" spans="1:10" x14ac:dyDescent="0.35">
      <c r="A770" s="35">
        <v>44084</v>
      </c>
      <c r="B770">
        <v>111.19</v>
      </c>
      <c r="C770" s="33">
        <f t="shared" ref="C770:C833" si="24">(B770-B771)/B771</f>
        <v>-3.2625717765790846E-2</v>
      </c>
      <c r="E770" s="34">
        <v>3339.19</v>
      </c>
      <c r="F770" s="33">
        <f t="shared" ref="F770:F833" si="25">(E770-E771)/E771</f>
        <v>-1.7584790641843383E-2</v>
      </c>
      <c r="I770" s="37"/>
      <c r="J770" s="37"/>
    </row>
    <row r="771" spans="1:10" x14ac:dyDescent="0.35">
      <c r="A771" s="35">
        <v>44083</v>
      </c>
      <c r="B771">
        <v>114.94</v>
      </c>
      <c r="C771" s="33">
        <f t="shared" si="24"/>
        <v>3.9898670044331827E-2</v>
      </c>
      <c r="E771" s="34">
        <v>3398.96</v>
      </c>
      <c r="F771" s="33">
        <f t="shared" si="25"/>
        <v>2.0145024971187059E-2</v>
      </c>
      <c r="I771" s="37"/>
      <c r="J771" s="37"/>
    </row>
    <row r="772" spans="1:10" x14ac:dyDescent="0.35">
      <c r="A772" s="35">
        <v>44082</v>
      </c>
      <c r="B772">
        <v>110.53</v>
      </c>
      <c r="C772" s="33">
        <f t="shared" si="24"/>
        <v>-6.7257383966244713E-2</v>
      </c>
      <c r="E772" s="34">
        <v>3331.84</v>
      </c>
      <c r="F772" s="33">
        <f t="shared" si="25"/>
        <v>-2.775637883138405E-2</v>
      </c>
      <c r="I772" s="37"/>
      <c r="J772" s="37"/>
    </row>
    <row r="773" spans="1:10" x14ac:dyDescent="0.35">
      <c r="A773" s="35">
        <v>44078</v>
      </c>
      <c r="B773">
        <v>118.5</v>
      </c>
      <c r="C773" s="33">
        <f t="shared" si="24"/>
        <v>5.9106645275684515E-4</v>
      </c>
      <c r="E773" s="34">
        <v>3426.96</v>
      </c>
      <c r="F773" s="33">
        <f t="shared" si="25"/>
        <v>-8.132999137496863E-3</v>
      </c>
      <c r="I773" s="37"/>
      <c r="J773" s="37"/>
    </row>
    <row r="774" spans="1:10" x14ac:dyDescent="0.35">
      <c r="A774" s="35">
        <v>44077</v>
      </c>
      <c r="B774">
        <v>118.43</v>
      </c>
      <c r="C774" s="33">
        <f t="shared" si="24"/>
        <v>-8.0012429115202233E-2</v>
      </c>
      <c r="E774" s="34">
        <v>3455.06</v>
      </c>
      <c r="F774" s="33">
        <f t="shared" si="25"/>
        <v>-3.5125836395929498E-2</v>
      </c>
      <c r="I774" s="37"/>
      <c r="J774" s="37"/>
    </row>
    <row r="775" spans="1:10" x14ac:dyDescent="0.35">
      <c r="A775" s="35">
        <v>44076</v>
      </c>
      <c r="B775">
        <v>128.72999999999999</v>
      </c>
      <c r="C775" s="33">
        <f t="shared" si="24"/>
        <v>-2.0766773162939435E-2</v>
      </c>
      <c r="E775" s="34">
        <v>3580.84</v>
      </c>
      <c r="F775" s="33">
        <f t="shared" si="25"/>
        <v>1.5365857116527031E-2</v>
      </c>
      <c r="I775" s="37"/>
      <c r="J775" s="37"/>
    </row>
    <row r="776" spans="1:10" x14ac:dyDescent="0.35">
      <c r="A776" s="35">
        <v>44075</v>
      </c>
      <c r="B776">
        <v>131.46</v>
      </c>
      <c r="C776" s="33">
        <f t="shared" si="24"/>
        <v>3.9867109634551541E-2</v>
      </c>
      <c r="E776" s="34">
        <v>3526.65</v>
      </c>
      <c r="F776" s="33">
        <f t="shared" si="25"/>
        <v>7.525047781482253E-3</v>
      </c>
      <c r="I776" s="37"/>
      <c r="J776" s="37"/>
    </row>
    <row r="777" spans="1:10" x14ac:dyDescent="0.35">
      <c r="A777" s="35">
        <v>44074</v>
      </c>
      <c r="B777">
        <v>126.42</v>
      </c>
      <c r="C777" s="33">
        <f t="shared" si="24"/>
        <v>3.3941277500613445E-2</v>
      </c>
      <c r="E777" s="34">
        <v>3500.31</v>
      </c>
      <c r="F777" s="33">
        <f t="shared" si="25"/>
        <v>-2.1949766391772749E-3</v>
      </c>
      <c r="I777" s="37"/>
      <c r="J777" s="37"/>
    </row>
    <row r="778" spans="1:10" x14ac:dyDescent="0.35">
      <c r="A778" s="35">
        <v>44071</v>
      </c>
      <c r="B778">
        <v>122.27</v>
      </c>
      <c r="C778" s="33">
        <f t="shared" si="24"/>
        <v>-1.633052992569632E-3</v>
      </c>
      <c r="E778" s="34">
        <v>3508.01</v>
      </c>
      <c r="F778" s="33">
        <f t="shared" si="25"/>
        <v>6.7325766598269601E-3</v>
      </c>
      <c r="I778" s="37"/>
      <c r="J778" s="37"/>
    </row>
    <row r="779" spans="1:10" x14ac:dyDescent="0.35">
      <c r="A779" s="35">
        <v>44070</v>
      </c>
      <c r="B779">
        <v>122.47</v>
      </c>
      <c r="C779" s="33">
        <f t="shared" si="24"/>
        <v>-1.1940298507462718E-2</v>
      </c>
      <c r="E779" s="34">
        <v>3484.55</v>
      </c>
      <c r="F779" s="33">
        <f t="shared" si="25"/>
        <v>1.6730243508407275E-3</v>
      </c>
      <c r="I779" s="37"/>
      <c r="J779" s="37"/>
    </row>
    <row r="780" spans="1:10" x14ac:dyDescent="0.35">
      <c r="A780" s="35">
        <v>44069</v>
      </c>
      <c r="B780">
        <v>123.95</v>
      </c>
      <c r="C780" s="33">
        <f t="shared" si="24"/>
        <v>1.357429062065579E-2</v>
      </c>
      <c r="E780" s="34">
        <v>3478.73</v>
      </c>
      <c r="F780" s="33">
        <f t="shared" si="25"/>
        <v>1.0195666188487733E-2</v>
      </c>
      <c r="I780" s="37"/>
      <c r="J780" s="37"/>
    </row>
    <row r="781" spans="1:10" x14ac:dyDescent="0.35">
      <c r="A781" s="35">
        <v>44068</v>
      </c>
      <c r="B781">
        <v>122.29</v>
      </c>
      <c r="C781" s="33">
        <f t="shared" si="24"/>
        <v>-8.1914030819139564E-3</v>
      </c>
      <c r="E781" s="34">
        <v>3443.62</v>
      </c>
      <c r="F781" s="33">
        <f t="shared" si="25"/>
        <v>3.5963255694666974E-3</v>
      </c>
      <c r="I781" s="37"/>
      <c r="J781" s="37"/>
    </row>
    <row r="782" spans="1:10" x14ac:dyDescent="0.35">
      <c r="A782" s="35">
        <v>44067</v>
      </c>
      <c r="B782">
        <v>123.3</v>
      </c>
      <c r="C782" s="33">
        <f t="shared" si="24"/>
        <v>1.1899876897825219E-2</v>
      </c>
      <c r="E782" s="34">
        <v>3431.28</v>
      </c>
      <c r="F782" s="33">
        <f t="shared" si="25"/>
        <v>1.0043683547433841E-2</v>
      </c>
      <c r="I782" s="37"/>
      <c r="J782" s="37"/>
    </row>
    <row r="783" spans="1:10" x14ac:dyDescent="0.35">
      <c r="A783" s="35">
        <v>44064</v>
      </c>
      <c r="B783">
        <v>121.85</v>
      </c>
      <c r="C783" s="33">
        <f t="shared" si="24"/>
        <v>5.1609562440666175E-2</v>
      </c>
      <c r="E783" s="34">
        <v>3397.16</v>
      </c>
      <c r="F783" s="33">
        <f t="shared" si="25"/>
        <v>3.4411358997609325E-3</v>
      </c>
      <c r="I783" s="37"/>
      <c r="J783" s="37"/>
    </row>
    <row r="784" spans="1:10" x14ac:dyDescent="0.35">
      <c r="A784" s="35">
        <v>44063</v>
      </c>
      <c r="B784">
        <v>115.87</v>
      </c>
      <c r="C784" s="33">
        <f t="shared" si="24"/>
        <v>2.2141848976711408E-2</v>
      </c>
      <c r="E784" s="34">
        <v>3385.51</v>
      </c>
      <c r="F784" s="33">
        <f t="shared" si="25"/>
        <v>3.1586589033587597E-3</v>
      </c>
      <c r="I784" s="37"/>
      <c r="J784" s="37"/>
    </row>
    <row r="785" spans="1:10" x14ac:dyDescent="0.35">
      <c r="A785" s="35">
        <v>44062</v>
      </c>
      <c r="B785">
        <v>113.36</v>
      </c>
      <c r="C785" s="33">
        <f t="shared" si="24"/>
        <v>1.2365306482953592E-3</v>
      </c>
      <c r="E785" s="34">
        <v>3374.85</v>
      </c>
      <c r="F785" s="33">
        <f t="shared" si="25"/>
        <v>-4.4044156257929097E-3</v>
      </c>
      <c r="I785" s="37"/>
      <c r="J785" s="37"/>
    </row>
    <row r="786" spans="1:10" x14ac:dyDescent="0.35">
      <c r="A786" s="35">
        <v>44061</v>
      </c>
      <c r="B786">
        <v>113.22</v>
      </c>
      <c r="C786" s="33">
        <f t="shared" si="24"/>
        <v>8.3719273245457578E-3</v>
      </c>
      <c r="E786" s="34">
        <v>3389.78</v>
      </c>
      <c r="F786" s="33">
        <f t="shared" si="25"/>
        <v>2.3033775972135986E-3</v>
      </c>
      <c r="I786" s="37"/>
      <c r="J786" s="37"/>
    </row>
    <row r="787" spans="1:10" x14ac:dyDescent="0.35">
      <c r="A787" s="35">
        <v>44060</v>
      </c>
      <c r="B787">
        <v>112.28</v>
      </c>
      <c r="C787" s="33">
        <f t="shared" si="24"/>
        <v>-2.6647717178894755E-3</v>
      </c>
      <c r="E787" s="34">
        <v>3381.99</v>
      </c>
      <c r="F787" s="33">
        <f t="shared" si="25"/>
        <v>2.7098744385311746E-3</v>
      </c>
      <c r="I787" s="37"/>
      <c r="J787" s="37"/>
    </row>
    <row r="788" spans="1:10" x14ac:dyDescent="0.35">
      <c r="A788" s="35">
        <v>44057</v>
      </c>
      <c r="B788">
        <v>112.58</v>
      </c>
      <c r="C788" s="33">
        <f t="shared" si="24"/>
        <v>-8.8746893858722507E-4</v>
      </c>
      <c r="E788" s="34">
        <v>3372.85</v>
      </c>
      <c r="F788" s="33">
        <f t="shared" si="25"/>
        <v>-1.7193183199293516E-4</v>
      </c>
      <c r="I788" s="37"/>
      <c r="J788" s="37"/>
    </row>
    <row r="789" spans="1:10" x14ac:dyDescent="0.35">
      <c r="A789" s="35">
        <v>44056</v>
      </c>
      <c r="B789">
        <v>112.68</v>
      </c>
      <c r="C789" s="33">
        <f t="shared" si="24"/>
        <v>1.7702312138728395E-2</v>
      </c>
      <c r="E789" s="34">
        <v>3373.43</v>
      </c>
      <c r="F789" s="33">
        <f t="shared" si="25"/>
        <v>-2.0471252976762976E-3</v>
      </c>
      <c r="I789" s="37"/>
      <c r="J789" s="37"/>
    </row>
    <row r="790" spans="1:10" x14ac:dyDescent="0.35">
      <c r="A790" s="35">
        <v>44055</v>
      </c>
      <c r="B790">
        <v>110.72</v>
      </c>
      <c r="C790" s="33">
        <f t="shared" si="24"/>
        <v>3.3221351250466616E-2</v>
      </c>
      <c r="E790" s="34">
        <v>3380.35</v>
      </c>
      <c r="F790" s="33">
        <f t="shared" si="25"/>
        <v>1.3996502374245911E-2</v>
      </c>
      <c r="I790" s="37"/>
      <c r="J790" s="37"/>
    </row>
    <row r="791" spans="1:10" x14ac:dyDescent="0.35">
      <c r="A791" s="35">
        <v>44054</v>
      </c>
      <c r="B791">
        <v>107.16</v>
      </c>
      <c r="C791" s="33">
        <f t="shared" si="24"/>
        <v>-2.96993842810576E-2</v>
      </c>
      <c r="E791" s="34">
        <v>3333.69</v>
      </c>
      <c r="F791" s="33">
        <f t="shared" si="25"/>
        <v>-7.969123366671849E-3</v>
      </c>
      <c r="I791" s="37"/>
      <c r="J791" s="37"/>
    </row>
    <row r="792" spans="1:10" x14ac:dyDescent="0.35">
      <c r="A792" s="35">
        <v>44053</v>
      </c>
      <c r="B792">
        <v>110.44</v>
      </c>
      <c r="C792" s="33">
        <f t="shared" si="24"/>
        <v>1.4514054749219164E-2</v>
      </c>
      <c r="E792" s="34">
        <v>3360.47</v>
      </c>
      <c r="F792" s="33">
        <f t="shared" si="25"/>
        <v>2.7422358024395454E-3</v>
      </c>
      <c r="I792" s="37"/>
      <c r="J792" s="37"/>
    </row>
    <row r="793" spans="1:10" x14ac:dyDescent="0.35">
      <c r="A793" s="35">
        <v>44050</v>
      </c>
      <c r="B793">
        <v>108.86</v>
      </c>
      <c r="C793" s="33">
        <f t="shared" si="24"/>
        <v>-2.2712990394110791E-2</v>
      </c>
      <c r="E793" s="34">
        <v>3351.28</v>
      </c>
      <c r="F793" s="33">
        <f t="shared" si="25"/>
        <v>6.3299454191509082E-4</v>
      </c>
      <c r="I793" s="37"/>
      <c r="J793" s="37"/>
    </row>
    <row r="794" spans="1:10" x14ac:dyDescent="0.35">
      <c r="A794" s="35">
        <v>44049</v>
      </c>
      <c r="B794">
        <v>111.39</v>
      </c>
      <c r="C794" s="33">
        <f t="shared" si="24"/>
        <v>3.4934497816593933E-2</v>
      </c>
      <c r="E794" s="34">
        <v>3349.16</v>
      </c>
      <c r="F794" s="33">
        <f t="shared" si="25"/>
        <v>6.427727877828057E-3</v>
      </c>
      <c r="I794" s="37"/>
      <c r="J794" s="37"/>
    </row>
    <row r="795" spans="1:10" x14ac:dyDescent="0.35">
      <c r="A795" s="35">
        <v>44048</v>
      </c>
      <c r="B795">
        <v>107.63</v>
      </c>
      <c r="C795" s="33">
        <f t="shared" si="24"/>
        <v>3.5431235431235006E-3</v>
      </c>
      <c r="E795" s="34">
        <v>3327.77</v>
      </c>
      <c r="F795" s="33">
        <f t="shared" si="25"/>
        <v>6.4297401187353919E-3</v>
      </c>
      <c r="I795" s="37"/>
      <c r="J795" s="37"/>
    </row>
    <row r="796" spans="1:10" x14ac:dyDescent="0.35">
      <c r="A796" s="35">
        <v>44047</v>
      </c>
      <c r="B796">
        <v>107.25</v>
      </c>
      <c r="C796" s="33">
        <f t="shared" si="24"/>
        <v>6.7586595325260382E-3</v>
      </c>
      <c r="E796" s="34">
        <v>3306.51</v>
      </c>
      <c r="F796" s="33">
        <f t="shared" si="25"/>
        <v>3.6119601409575308E-3</v>
      </c>
      <c r="I796" s="37"/>
      <c r="J796" s="37"/>
    </row>
    <row r="797" spans="1:10" x14ac:dyDescent="0.35">
      <c r="A797" s="35">
        <v>44046</v>
      </c>
      <c r="B797">
        <v>106.53</v>
      </c>
      <c r="C797" s="33">
        <f t="shared" si="24"/>
        <v>2.5115473441108538E-2</v>
      </c>
      <c r="E797" s="34">
        <v>3294.61</v>
      </c>
      <c r="F797" s="33">
        <f t="shared" si="25"/>
        <v>7.1810266819927844E-3</v>
      </c>
      <c r="I797" s="37"/>
      <c r="J797" s="37"/>
    </row>
    <row r="798" spans="1:10" x14ac:dyDescent="0.35">
      <c r="A798" s="35">
        <v>44043</v>
      </c>
      <c r="B798">
        <v>103.92</v>
      </c>
      <c r="C798" s="33">
        <f t="shared" si="24"/>
        <v>0.10470925906240044</v>
      </c>
      <c r="E798" s="34">
        <v>3271.12</v>
      </c>
      <c r="F798" s="33">
        <f t="shared" si="25"/>
        <v>7.6704597963169752E-3</v>
      </c>
      <c r="I798" s="37"/>
      <c r="J798" s="37"/>
    </row>
    <row r="799" spans="1:10" x14ac:dyDescent="0.35">
      <c r="A799" s="35">
        <v>44042</v>
      </c>
      <c r="B799">
        <v>94.07</v>
      </c>
      <c r="C799" s="33">
        <f t="shared" si="24"/>
        <v>1.2158381751667694E-2</v>
      </c>
      <c r="E799" s="34">
        <v>3246.22</v>
      </c>
      <c r="F799" s="33">
        <f t="shared" si="25"/>
        <v>-3.7502608610255994E-3</v>
      </c>
      <c r="I799" s="37"/>
      <c r="J799" s="37"/>
    </row>
    <row r="800" spans="1:10" x14ac:dyDescent="0.35">
      <c r="A800" s="35">
        <v>44041</v>
      </c>
      <c r="B800">
        <v>92.94</v>
      </c>
      <c r="C800" s="33">
        <f t="shared" si="24"/>
        <v>1.9078947368420997E-2</v>
      </c>
      <c r="E800" s="34">
        <v>3258.44</v>
      </c>
      <c r="F800" s="33">
        <f t="shared" si="25"/>
        <v>1.2428381451883521E-2</v>
      </c>
      <c r="I800" s="37"/>
      <c r="J800" s="37"/>
    </row>
    <row r="801" spans="1:10" x14ac:dyDescent="0.35">
      <c r="A801" s="35">
        <v>44040</v>
      </c>
      <c r="B801">
        <v>91.2</v>
      </c>
      <c r="C801" s="33">
        <f t="shared" si="24"/>
        <v>-1.6393442622950775E-2</v>
      </c>
      <c r="E801" s="34">
        <v>3218.44</v>
      </c>
      <c r="F801" s="33">
        <f t="shared" si="25"/>
        <v>-6.4734010205561507E-3</v>
      </c>
      <c r="I801" s="37"/>
      <c r="J801" s="37"/>
    </row>
    <row r="802" spans="1:10" x14ac:dyDescent="0.35">
      <c r="A802" s="35">
        <v>44039</v>
      </c>
      <c r="B802">
        <v>92.72</v>
      </c>
      <c r="C802" s="33">
        <f t="shared" si="24"/>
        <v>2.3738544771999624E-2</v>
      </c>
      <c r="E802" s="34">
        <v>3239.41</v>
      </c>
      <c r="F802" s="33">
        <f t="shared" si="25"/>
        <v>7.3951294147646786E-3</v>
      </c>
      <c r="I802" s="37"/>
      <c r="J802" s="37"/>
    </row>
    <row r="803" spans="1:10" x14ac:dyDescent="0.35">
      <c r="A803" s="35">
        <v>44036</v>
      </c>
      <c r="B803">
        <v>90.57</v>
      </c>
      <c r="C803" s="33">
        <f t="shared" si="24"/>
        <v>-2.5330396475771364E-3</v>
      </c>
      <c r="E803" s="34">
        <v>3215.63</v>
      </c>
      <c r="F803" s="33">
        <f t="shared" si="25"/>
        <v>-6.1903908321639936E-3</v>
      </c>
      <c r="I803" s="37"/>
      <c r="J803" s="37"/>
    </row>
    <row r="804" spans="1:10" x14ac:dyDescent="0.35">
      <c r="A804" s="35">
        <v>44035</v>
      </c>
      <c r="B804">
        <v>90.8</v>
      </c>
      <c r="C804" s="33">
        <f t="shared" si="24"/>
        <v>-4.5516661410701133E-2</v>
      </c>
      <c r="E804" s="34">
        <v>3235.66</v>
      </c>
      <c r="F804" s="33">
        <f t="shared" si="25"/>
        <v>-1.2319827107282657E-2</v>
      </c>
      <c r="I804" s="37"/>
      <c r="J804" s="37"/>
    </row>
    <row r="805" spans="1:10" x14ac:dyDescent="0.35">
      <c r="A805" s="35">
        <v>44034</v>
      </c>
      <c r="B805">
        <v>95.13</v>
      </c>
      <c r="C805" s="33">
        <f t="shared" si="24"/>
        <v>2.8462998102466372E-3</v>
      </c>
      <c r="E805" s="34">
        <v>3276.02</v>
      </c>
      <c r="F805" s="33">
        <f t="shared" si="25"/>
        <v>5.7470911491111654E-3</v>
      </c>
      <c r="I805" s="37"/>
      <c r="J805" s="37"/>
    </row>
    <row r="806" spans="1:10" x14ac:dyDescent="0.35">
      <c r="A806" s="35">
        <v>44033</v>
      </c>
      <c r="B806">
        <v>94.86</v>
      </c>
      <c r="C806" s="33">
        <f t="shared" si="24"/>
        <v>-1.3826801122777819E-2</v>
      </c>
      <c r="E806" s="34">
        <v>3257.3</v>
      </c>
      <c r="F806" s="33">
        <f t="shared" si="25"/>
        <v>1.6790493997244748E-3</v>
      </c>
      <c r="I806" s="37"/>
      <c r="J806" s="37"/>
    </row>
    <row r="807" spans="1:10" x14ac:dyDescent="0.35">
      <c r="A807" s="35">
        <v>44032</v>
      </c>
      <c r="B807">
        <v>96.19</v>
      </c>
      <c r="C807" s="33">
        <f t="shared" si="24"/>
        <v>2.1125265392781263E-2</v>
      </c>
      <c r="E807" s="34">
        <v>3251.84</v>
      </c>
      <c r="F807" s="33">
        <f t="shared" si="25"/>
        <v>8.4069053843267901E-3</v>
      </c>
      <c r="I807" s="37"/>
      <c r="J807" s="37"/>
    </row>
    <row r="808" spans="1:10" x14ac:dyDescent="0.35">
      <c r="A808" s="35">
        <v>44029</v>
      </c>
      <c r="B808">
        <v>94.2</v>
      </c>
      <c r="C808" s="33">
        <f t="shared" si="24"/>
        <v>-2.0129250979976452E-3</v>
      </c>
      <c r="E808" s="34">
        <v>3224.73</v>
      </c>
      <c r="F808" s="33">
        <f t="shared" si="25"/>
        <v>2.8486395880045695E-3</v>
      </c>
      <c r="I808" s="37"/>
      <c r="J808" s="37"/>
    </row>
    <row r="809" spans="1:10" x14ac:dyDescent="0.35">
      <c r="A809" s="35">
        <v>44028</v>
      </c>
      <c r="B809">
        <v>94.39</v>
      </c>
      <c r="C809" s="33">
        <f t="shared" si="24"/>
        <v>-1.234697080673844E-2</v>
      </c>
      <c r="E809" s="34">
        <v>3215.57</v>
      </c>
      <c r="F809" s="33">
        <f t="shared" si="25"/>
        <v>-3.4061043340275036E-3</v>
      </c>
      <c r="I809" s="37"/>
      <c r="J809" s="37"/>
    </row>
    <row r="810" spans="1:10" x14ac:dyDescent="0.35">
      <c r="A810" s="35">
        <v>44027</v>
      </c>
      <c r="B810">
        <v>95.57</v>
      </c>
      <c r="C810" s="33">
        <f t="shared" si="24"/>
        <v>6.8478718921195902E-3</v>
      </c>
      <c r="E810" s="34">
        <v>3226.56</v>
      </c>
      <c r="F810" s="33">
        <f t="shared" si="25"/>
        <v>9.0820385798994104E-3</v>
      </c>
      <c r="I810" s="37"/>
      <c r="J810" s="37"/>
    </row>
    <row r="811" spans="1:10" x14ac:dyDescent="0.35">
      <c r="A811" s="35">
        <v>44026</v>
      </c>
      <c r="B811">
        <v>94.92</v>
      </c>
      <c r="C811" s="33">
        <f t="shared" si="24"/>
        <v>1.6600621184534616E-2</v>
      </c>
      <c r="E811" s="34">
        <v>3197.52</v>
      </c>
      <c r="F811" s="33">
        <f t="shared" si="25"/>
        <v>1.3406355182839924E-2</v>
      </c>
      <c r="I811" s="37"/>
      <c r="J811" s="37"/>
    </row>
    <row r="812" spans="1:10" x14ac:dyDescent="0.35">
      <c r="A812" s="35">
        <v>44025</v>
      </c>
      <c r="B812">
        <v>93.37</v>
      </c>
      <c r="C812" s="33">
        <f t="shared" si="24"/>
        <v>-4.5842217484007739E-3</v>
      </c>
      <c r="E812" s="34">
        <v>3155.22</v>
      </c>
      <c r="F812" s="33">
        <f t="shared" si="25"/>
        <v>-9.362519779971417E-3</v>
      </c>
      <c r="I812" s="37"/>
      <c r="J812" s="37"/>
    </row>
    <row r="813" spans="1:10" x14ac:dyDescent="0.35">
      <c r="A813" s="35">
        <v>44022</v>
      </c>
      <c r="B813">
        <v>93.8</v>
      </c>
      <c r="C813" s="33">
        <f t="shared" si="24"/>
        <v>1.7086715079025693E-3</v>
      </c>
      <c r="E813" s="34">
        <v>3185.04</v>
      </c>
      <c r="F813" s="33">
        <f t="shared" si="25"/>
        <v>1.0466204533557457E-2</v>
      </c>
      <c r="I813" s="37"/>
      <c r="J813" s="37"/>
    </row>
    <row r="814" spans="1:10" x14ac:dyDescent="0.35">
      <c r="A814" s="35">
        <v>44021</v>
      </c>
      <c r="B814">
        <v>93.64</v>
      </c>
      <c r="C814" s="33">
        <f t="shared" si="24"/>
        <v>4.2900042900043513E-3</v>
      </c>
      <c r="E814" s="34">
        <v>3152.05</v>
      </c>
      <c r="F814" s="33">
        <f t="shared" si="25"/>
        <v>-5.6436399427118094E-3</v>
      </c>
      <c r="I814" s="37"/>
      <c r="J814" s="37"/>
    </row>
    <row r="815" spans="1:10" x14ac:dyDescent="0.35">
      <c r="A815" s="35">
        <v>44020</v>
      </c>
      <c r="B815">
        <v>93.24</v>
      </c>
      <c r="C815" s="33">
        <f t="shared" si="24"/>
        <v>2.3266022827041159E-2</v>
      </c>
      <c r="E815" s="34">
        <v>3169.94</v>
      </c>
      <c r="F815" s="33">
        <f t="shared" si="25"/>
        <v>7.8275024480815598E-3</v>
      </c>
      <c r="I815" s="37"/>
      <c r="J815" s="37"/>
    </row>
    <row r="816" spans="1:10" x14ac:dyDescent="0.35">
      <c r="A816" s="35">
        <v>44019</v>
      </c>
      <c r="B816">
        <v>91.12</v>
      </c>
      <c r="C816" s="33">
        <f t="shared" si="24"/>
        <v>-3.0634573304157671E-3</v>
      </c>
      <c r="E816" s="34">
        <v>3145.32</v>
      </c>
      <c r="F816" s="33">
        <f t="shared" si="25"/>
        <v>-1.0818562640735548E-2</v>
      </c>
      <c r="I816" s="37"/>
      <c r="J816" s="37"/>
    </row>
    <row r="817" spans="1:10" x14ac:dyDescent="0.35">
      <c r="A817" s="35">
        <v>44018</v>
      </c>
      <c r="B817">
        <v>91.4</v>
      </c>
      <c r="C817" s="33">
        <f t="shared" si="24"/>
        <v>2.6735565041563804E-2</v>
      </c>
      <c r="E817" s="34">
        <v>3179.72</v>
      </c>
      <c r="F817" s="33">
        <f t="shared" si="25"/>
        <v>1.5881738397001792E-2</v>
      </c>
      <c r="I817" s="37"/>
      <c r="J817" s="37"/>
    </row>
    <row r="818" spans="1:10" x14ac:dyDescent="0.35">
      <c r="A818" s="35">
        <v>44014</v>
      </c>
      <c r="B818">
        <v>89.02</v>
      </c>
      <c r="C818" s="33">
        <f t="shared" si="24"/>
        <v>0</v>
      </c>
      <c r="E818" s="34">
        <v>3130.01</v>
      </c>
      <c r="F818" s="33">
        <f t="shared" si="25"/>
        <v>4.541282342595653E-3</v>
      </c>
      <c r="I818" s="37"/>
      <c r="J818" s="37"/>
    </row>
    <row r="819" spans="1:10" x14ac:dyDescent="0.35">
      <c r="A819" s="35">
        <v>44013</v>
      </c>
      <c r="B819">
        <v>89.02</v>
      </c>
      <c r="C819" s="33">
        <f t="shared" si="24"/>
        <v>-1.9060432783944579E-3</v>
      </c>
      <c r="E819" s="34">
        <v>3115.86</v>
      </c>
      <c r="F819" s="33">
        <f t="shared" si="25"/>
        <v>5.0221108347929273E-3</v>
      </c>
      <c r="I819" s="37"/>
      <c r="J819" s="37"/>
    </row>
    <row r="820" spans="1:10" x14ac:dyDescent="0.35">
      <c r="A820" s="35">
        <v>44012</v>
      </c>
      <c r="B820">
        <v>89.19</v>
      </c>
      <c r="C820" s="33">
        <f t="shared" si="24"/>
        <v>8.3663086489541537E-3</v>
      </c>
      <c r="E820" s="34">
        <v>3100.29</v>
      </c>
      <c r="F820" s="33">
        <f t="shared" si="25"/>
        <v>1.5409859690034253E-2</v>
      </c>
      <c r="I820" s="37"/>
      <c r="J820" s="37"/>
    </row>
    <row r="821" spans="1:10" x14ac:dyDescent="0.35">
      <c r="A821" s="35">
        <v>44011</v>
      </c>
      <c r="B821">
        <v>88.45</v>
      </c>
      <c r="C821" s="33">
        <f t="shared" si="24"/>
        <v>2.3016423779782667E-2</v>
      </c>
      <c r="E821" s="34">
        <v>3053.24</v>
      </c>
      <c r="F821" s="33">
        <f t="shared" si="25"/>
        <v>1.4685698143932337E-2</v>
      </c>
      <c r="I821" s="37"/>
      <c r="J821" s="37"/>
    </row>
    <row r="822" spans="1:10" x14ac:dyDescent="0.35">
      <c r="A822" s="35">
        <v>44008</v>
      </c>
      <c r="B822">
        <v>86.46</v>
      </c>
      <c r="C822" s="33">
        <f t="shared" si="24"/>
        <v>-3.071748878923777E-2</v>
      </c>
      <c r="E822" s="34">
        <v>3009.05</v>
      </c>
      <c r="F822" s="33">
        <f t="shared" si="25"/>
        <v>-2.4226917788673578E-2</v>
      </c>
      <c r="I822" s="37"/>
      <c r="J822" s="37"/>
    </row>
    <row r="823" spans="1:10" x14ac:dyDescent="0.35">
      <c r="A823" s="35">
        <v>44007</v>
      </c>
      <c r="B823">
        <v>89.2</v>
      </c>
      <c r="C823" s="33">
        <f t="shared" si="24"/>
        <v>1.3290923548790204E-2</v>
      </c>
      <c r="E823" s="34">
        <v>3083.76</v>
      </c>
      <c r="F823" s="33">
        <f t="shared" si="25"/>
        <v>1.095946995898814E-2</v>
      </c>
      <c r="I823" s="37"/>
      <c r="J823" s="37"/>
    </row>
    <row r="824" spans="1:10" x14ac:dyDescent="0.35">
      <c r="A824" s="35">
        <v>44006</v>
      </c>
      <c r="B824">
        <v>88.03</v>
      </c>
      <c r="C824" s="33">
        <f t="shared" si="24"/>
        <v>-1.7631960718669772E-2</v>
      </c>
      <c r="E824" s="34">
        <v>3050.33</v>
      </c>
      <c r="F824" s="33">
        <f t="shared" si="25"/>
        <v>-2.5855158736495194E-2</v>
      </c>
      <c r="I824" s="37"/>
      <c r="J824" s="37"/>
    </row>
    <row r="825" spans="1:10" x14ac:dyDescent="0.35">
      <c r="A825" s="35">
        <v>44005</v>
      </c>
      <c r="B825">
        <v>89.61</v>
      </c>
      <c r="C825" s="33">
        <f t="shared" si="24"/>
        <v>2.131297013904724E-2</v>
      </c>
      <c r="E825" s="34">
        <v>3131.29</v>
      </c>
      <c r="F825" s="33">
        <f t="shared" si="25"/>
        <v>4.307441642665109E-3</v>
      </c>
      <c r="I825" s="37"/>
      <c r="J825" s="37"/>
    </row>
    <row r="826" spans="1:10" x14ac:dyDescent="0.35">
      <c r="A826" s="35">
        <v>44004</v>
      </c>
      <c r="B826">
        <v>87.74</v>
      </c>
      <c r="C826" s="33">
        <f t="shared" si="24"/>
        <v>2.6198830409356666E-2</v>
      </c>
      <c r="E826" s="34">
        <v>3117.86</v>
      </c>
      <c r="F826" s="33">
        <f t="shared" si="25"/>
        <v>6.4950576872172443E-3</v>
      </c>
      <c r="I826" s="37"/>
      <c r="J826" s="37"/>
    </row>
    <row r="827" spans="1:10" x14ac:dyDescent="0.35">
      <c r="A827" s="35">
        <v>44001</v>
      </c>
      <c r="B827">
        <v>85.5</v>
      </c>
      <c r="C827" s="33">
        <f t="shared" si="24"/>
        <v>-5.698337015932026E-3</v>
      </c>
      <c r="E827" s="34">
        <v>3097.74</v>
      </c>
      <c r="F827" s="33">
        <f t="shared" si="25"/>
        <v>-5.6494636219482823E-3</v>
      </c>
      <c r="I827" s="37"/>
      <c r="J827" s="37"/>
    </row>
    <row r="828" spans="1:10" x14ac:dyDescent="0.35">
      <c r="A828" s="35">
        <v>44000</v>
      </c>
      <c r="B828">
        <v>85.99</v>
      </c>
      <c r="C828" s="33">
        <f t="shared" si="24"/>
        <v>3.4899953466730035E-4</v>
      </c>
      <c r="E828" s="34">
        <v>3115.34</v>
      </c>
      <c r="F828" s="33">
        <f t="shared" si="25"/>
        <v>5.9418851513907674E-4</v>
      </c>
      <c r="I828" s="37"/>
      <c r="J828" s="37"/>
    </row>
    <row r="829" spans="1:10" x14ac:dyDescent="0.35">
      <c r="A829" s="35">
        <v>43999</v>
      </c>
      <c r="B829">
        <v>85.96</v>
      </c>
      <c r="C829" s="33">
        <f t="shared" si="24"/>
        <v>-1.3940520446097183E-3</v>
      </c>
      <c r="E829" s="34">
        <v>3113.49</v>
      </c>
      <c r="F829" s="33">
        <f t="shared" si="25"/>
        <v>-3.6002995449221377E-3</v>
      </c>
      <c r="I829" s="37"/>
      <c r="J829" s="37"/>
    </row>
    <row r="830" spans="1:10" x14ac:dyDescent="0.35">
      <c r="A830" s="35">
        <v>43998</v>
      </c>
      <c r="B830">
        <v>86.08</v>
      </c>
      <c r="C830" s="33">
        <f t="shared" si="24"/>
        <v>2.6472692582876208E-2</v>
      </c>
      <c r="E830" s="34">
        <v>3124.74</v>
      </c>
      <c r="F830" s="33">
        <f t="shared" si="25"/>
        <v>1.8962430582503572E-2</v>
      </c>
      <c r="I830" s="37"/>
      <c r="J830" s="37"/>
    </row>
    <row r="831" spans="1:10" x14ac:dyDescent="0.35">
      <c r="A831" s="35">
        <v>43997</v>
      </c>
      <c r="B831">
        <v>83.86</v>
      </c>
      <c r="C831" s="33">
        <f t="shared" si="24"/>
        <v>1.2435108052637946E-2</v>
      </c>
      <c r="E831" s="34">
        <v>3066.59</v>
      </c>
      <c r="F831" s="33">
        <f t="shared" si="25"/>
        <v>8.312207568449189E-3</v>
      </c>
      <c r="I831" s="37"/>
      <c r="J831" s="37"/>
    </row>
    <row r="832" spans="1:10" x14ac:dyDescent="0.35">
      <c r="A832" s="35">
        <v>43994</v>
      </c>
      <c r="B832">
        <v>82.83</v>
      </c>
      <c r="C832" s="33">
        <f t="shared" si="24"/>
        <v>8.6458840720895491E-3</v>
      </c>
      <c r="E832" s="34">
        <v>3041.31</v>
      </c>
      <c r="F832" s="33">
        <f t="shared" si="25"/>
        <v>1.3060857399820139E-2</v>
      </c>
      <c r="I832" s="37"/>
      <c r="J832" s="37"/>
    </row>
    <row r="833" spans="1:10" x14ac:dyDescent="0.35">
      <c r="A833" s="35">
        <v>43993</v>
      </c>
      <c r="B833">
        <v>82.12</v>
      </c>
      <c r="C833" s="33">
        <f t="shared" si="24"/>
        <v>-4.7994435427776497E-2</v>
      </c>
      <c r="E833" s="34">
        <v>3002.1</v>
      </c>
      <c r="F833" s="33">
        <f t="shared" si="25"/>
        <v>-5.8944121574601729E-2</v>
      </c>
      <c r="I833" s="37"/>
      <c r="J833" s="37"/>
    </row>
    <row r="834" spans="1:10" x14ac:dyDescent="0.35">
      <c r="A834" s="35">
        <v>43992</v>
      </c>
      <c r="B834">
        <v>86.26</v>
      </c>
      <c r="C834" s="33">
        <f t="shared" ref="C834:C897" si="26">(B834-B835)/B835</f>
        <v>2.5683709869203458E-2</v>
      </c>
      <c r="E834" s="34">
        <v>3190.14</v>
      </c>
      <c r="F834" s="33">
        <f t="shared" ref="F834:F897" si="27">(E834-E835)/E835</f>
        <v>-5.3130787794885117E-3</v>
      </c>
      <c r="I834" s="37"/>
      <c r="J834" s="37"/>
    </row>
    <row r="835" spans="1:10" x14ac:dyDescent="0.35">
      <c r="A835" s="35">
        <v>43991</v>
      </c>
      <c r="B835">
        <v>84.1</v>
      </c>
      <c r="C835" s="33">
        <f t="shared" si="26"/>
        <v>3.152213908990547E-2</v>
      </c>
      <c r="E835" s="34">
        <v>3207.18</v>
      </c>
      <c r="F835" s="33">
        <f t="shared" si="27"/>
        <v>-7.7991826481334358E-3</v>
      </c>
      <c r="I835" s="37"/>
      <c r="J835" s="37"/>
    </row>
    <row r="836" spans="1:10" x14ac:dyDescent="0.35">
      <c r="A836" s="35">
        <v>43990</v>
      </c>
      <c r="B836">
        <v>81.53</v>
      </c>
      <c r="C836" s="33">
        <f t="shared" si="26"/>
        <v>5.9222702035780879E-3</v>
      </c>
      <c r="E836" s="34">
        <v>3232.39</v>
      </c>
      <c r="F836" s="33">
        <f t="shared" si="27"/>
        <v>1.2041591393674889E-2</v>
      </c>
      <c r="I836" s="37"/>
      <c r="J836" s="37"/>
    </row>
    <row r="837" spans="1:10" x14ac:dyDescent="0.35">
      <c r="A837" s="35">
        <v>43987</v>
      </c>
      <c r="B837">
        <v>81.05</v>
      </c>
      <c r="C837" s="33">
        <f t="shared" si="26"/>
        <v>2.8553299492385789E-2</v>
      </c>
      <c r="E837" s="34">
        <v>3193.93</v>
      </c>
      <c r="F837" s="33">
        <f t="shared" si="27"/>
        <v>2.6211704981766167E-2</v>
      </c>
      <c r="I837" s="37"/>
      <c r="J837" s="37"/>
    </row>
    <row r="838" spans="1:10" x14ac:dyDescent="0.35">
      <c r="A838" s="35">
        <v>43986</v>
      </c>
      <c r="B838">
        <v>78.8</v>
      </c>
      <c r="C838" s="33">
        <f t="shared" si="26"/>
        <v>-8.6803371493269308E-3</v>
      </c>
      <c r="E838" s="34">
        <v>3112.35</v>
      </c>
      <c r="F838" s="33">
        <f t="shared" si="27"/>
        <v>-3.368696103263979E-3</v>
      </c>
      <c r="I838" s="37"/>
      <c r="J838" s="37"/>
    </row>
    <row r="839" spans="1:10" x14ac:dyDescent="0.35">
      <c r="A839" s="35">
        <v>43985</v>
      </c>
      <c r="B839">
        <v>79.489999999999995</v>
      </c>
      <c r="C839" s="33">
        <f t="shared" si="26"/>
        <v>5.5660974067045892E-3</v>
      </c>
      <c r="E839" s="34">
        <v>3122.87</v>
      </c>
      <c r="F839" s="33">
        <f t="shared" si="27"/>
        <v>1.3648963587616195E-2</v>
      </c>
      <c r="I839" s="37"/>
      <c r="J839" s="37"/>
    </row>
    <row r="840" spans="1:10" x14ac:dyDescent="0.35">
      <c r="A840" s="35">
        <v>43984</v>
      </c>
      <c r="B840">
        <v>79.05</v>
      </c>
      <c r="C840" s="33">
        <f t="shared" si="26"/>
        <v>4.5749142203583611E-3</v>
      </c>
      <c r="E840" s="34">
        <v>3080.82</v>
      </c>
      <c r="F840" s="33">
        <f t="shared" si="27"/>
        <v>8.210803965010045E-3</v>
      </c>
      <c r="I840" s="37"/>
      <c r="J840" s="37"/>
    </row>
    <row r="841" spans="1:10" x14ac:dyDescent="0.35">
      <c r="A841" s="35">
        <v>43983</v>
      </c>
      <c r="B841">
        <v>78.69</v>
      </c>
      <c r="C841" s="33">
        <f t="shared" si="26"/>
        <v>1.2350443844075566E-2</v>
      </c>
      <c r="E841" s="34">
        <v>3055.73</v>
      </c>
      <c r="F841" s="33">
        <f t="shared" si="27"/>
        <v>3.7512605483673057E-3</v>
      </c>
      <c r="I841" s="37"/>
      <c r="J841" s="37"/>
    </row>
    <row r="842" spans="1:10" x14ac:dyDescent="0.35">
      <c r="A842" s="35">
        <v>43980</v>
      </c>
      <c r="B842">
        <v>77.73</v>
      </c>
      <c r="C842" s="33">
        <f t="shared" si="26"/>
        <v>-1.0281454825857639E-3</v>
      </c>
      <c r="E842" s="34">
        <v>3044.31</v>
      </c>
      <c r="F842" s="33">
        <f t="shared" si="27"/>
        <v>4.8123100078224556E-3</v>
      </c>
      <c r="I842" s="37"/>
      <c r="J842" s="37"/>
    </row>
    <row r="843" spans="1:10" x14ac:dyDescent="0.35">
      <c r="A843" s="35">
        <v>43979</v>
      </c>
      <c r="B843">
        <v>77.81</v>
      </c>
      <c r="C843" s="33">
        <f t="shared" si="26"/>
        <v>5.1433714800059476E-4</v>
      </c>
      <c r="E843" s="34">
        <v>3029.73</v>
      </c>
      <c r="F843" s="33">
        <f t="shared" si="27"/>
        <v>-2.1079466294263061E-3</v>
      </c>
      <c r="I843" s="37"/>
      <c r="J843" s="37"/>
    </row>
    <row r="844" spans="1:10" x14ac:dyDescent="0.35">
      <c r="A844" s="35">
        <v>43978</v>
      </c>
      <c r="B844">
        <v>77.77</v>
      </c>
      <c r="C844" s="33">
        <f t="shared" si="26"/>
        <v>4.2613636363636144E-3</v>
      </c>
      <c r="E844" s="34">
        <v>3036.13</v>
      </c>
      <c r="F844" s="33">
        <f t="shared" si="27"/>
        <v>1.4827343010993534E-2</v>
      </c>
      <c r="I844" s="37"/>
      <c r="J844" s="37"/>
    </row>
    <row r="845" spans="1:10" x14ac:dyDescent="0.35">
      <c r="A845" s="35">
        <v>43977</v>
      </c>
      <c r="B845">
        <v>77.44</v>
      </c>
      <c r="C845" s="33">
        <f t="shared" si="26"/>
        <v>-6.6700872242174969E-3</v>
      </c>
      <c r="E845" s="34">
        <v>2991.77</v>
      </c>
      <c r="F845" s="33">
        <f t="shared" si="27"/>
        <v>1.2289160703107874E-2</v>
      </c>
      <c r="I845" s="37"/>
      <c r="J845" s="37"/>
    </row>
    <row r="846" spans="1:10" x14ac:dyDescent="0.35">
      <c r="A846" s="35">
        <v>43973</v>
      </c>
      <c r="B846">
        <v>77.959999999999994</v>
      </c>
      <c r="C846" s="33">
        <f t="shared" si="26"/>
        <v>6.3250290435006443E-3</v>
      </c>
      <c r="E846" s="34">
        <v>2955.45</v>
      </c>
      <c r="F846" s="33">
        <f t="shared" si="27"/>
        <v>2.3537312066093043E-3</v>
      </c>
      <c r="I846" s="37"/>
      <c r="J846" s="37"/>
    </row>
    <row r="847" spans="1:10" x14ac:dyDescent="0.35">
      <c r="A847" s="35">
        <v>43972</v>
      </c>
      <c r="B847">
        <v>77.47</v>
      </c>
      <c r="C847" s="33">
        <f t="shared" si="26"/>
        <v>-7.4311338885329698E-3</v>
      </c>
      <c r="E847" s="34">
        <v>2948.51</v>
      </c>
      <c r="F847" s="33">
        <f t="shared" si="27"/>
        <v>-7.7735638256702282E-3</v>
      </c>
      <c r="I847" s="37"/>
      <c r="J847" s="37"/>
    </row>
    <row r="848" spans="1:10" x14ac:dyDescent="0.35">
      <c r="A848" s="35">
        <v>43971</v>
      </c>
      <c r="B848">
        <v>78.05</v>
      </c>
      <c r="C848" s="33">
        <f t="shared" si="26"/>
        <v>1.9461859979101291E-2</v>
      </c>
      <c r="E848" s="34">
        <v>2971.61</v>
      </c>
      <c r="F848" s="33">
        <f t="shared" si="27"/>
        <v>1.6651043127809694E-2</v>
      </c>
      <c r="I848" s="37"/>
      <c r="J848" s="37"/>
    </row>
    <row r="849" spans="1:10" x14ac:dyDescent="0.35">
      <c r="A849" s="35">
        <v>43970</v>
      </c>
      <c r="B849">
        <v>76.56</v>
      </c>
      <c r="C849" s="33">
        <f t="shared" si="26"/>
        <v>-5.7142857142856848E-3</v>
      </c>
      <c r="E849" s="34">
        <v>2922.94</v>
      </c>
      <c r="F849" s="33">
        <f t="shared" si="27"/>
        <v>-1.0484408800538879E-2</v>
      </c>
      <c r="I849" s="37"/>
      <c r="J849" s="37"/>
    </row>
    <row r="850" spans="1:10" x14ac:dyDescent="0.35">
      <c r="A850" s="35">
        <v>43969</v>
      </c>
      <c r="B850">
        <v>77</v>
      </c>
      <c r="C850" s="33">
        <f t="shared" si="26"/>
        <v>2.3527847933005396E-2</v>
      </c>
      <c r="E850" s="34">
        <v>2953.91</v>
      </c>
      <c r="F850" s="33">
        <f t="shared" si="27"/>
        <v>3.1501204735132883E-2</v>
      </c>
      <c r="I850" s="37"/>
      <c r="J850" s="37"/>
    </row>
    <row r="851" spans="1:10" x14ac:dyDescent="0.35">
      <c r="A851" s="35">
        <v>43966</v>
      </c>
      <c r="B851">
        <v>75.23</v>
      </c>
      <c r="C851" s="33">
        <f t="shared" si="26"/>
        <v>-5.9460887949260412E-3</v>
      </c>
      <c r="E851" s="34">
        <v>2863.7</v>
      </c>
      <c r="F851" s="33">
        <f t="shared" si="27"/>
        <v>3.9263803680980956E-3</v>
      </c>
      <c r="I851" s="37"/>
      <c r="J851" s="37"/>
    </row>
    <row r="852" spans="1:10" x14ac:dyDescent="0.35">
      <c r="A852" s="35">
        <v>43965</v>
      </c>
      <c r="B852">
        <v>75.680000000000007</v>
      </c>
      <c r="C852" s="33">
        <f t="shared" si="26"/>
        <v>6.1153948417975003E-3</v>
      </c>
      <c r="E852" s="34">
        <v>2852.5</v>
      </c>
      <c r="F852" s="33">
        <f t="shared" si="27"/>
        <v>1.152482269503546E-2</v>
      </c>
      <c r="I852" s="37"/>
      <c r="J852" s="37"/>
    </row>
    <row r="853" spans="1:10" x14ac:dyDescent="0.35">
      <c r="A853" s="35">
        <v>43964</v>
      </c>
      <c r="B853">
        <v>75.22</v>
      </c>
      <c r="C853" s="33">
        <f t="shared" si="26"/>
        <v>-1.2083004990806431E-2</v>
      </c>
      <c r="E853" s="34">
        <v>2820</v>
      </c>
      <c r="F853" s="33">
        <f t="shared" si="27"/>
        <v>-1.7462684487059735E-2</v>
      </c>
      <c r="I853" s="37"/>
      <c r="J853" s="37"/>
    </row>
    <row r="854" spans="1:10" x14ac:dyDescent="0.35">
      <c r="A854" s="35">
        <v>43963</v>
      </c>
      <c r="B854">
        <v>76.14</v>
      </c>
      <c r="C854" s="33">
        <f t="shared" si="26"/>
        <v>-1.1425603739288437E-2</v>
      </c>
      <c r="E854" s="34">
        <v>2870.12</v>
      </c>
      <c r="F854" s="33">
        <f t="shared" si="27"/>
        <v>-2.0500377108651713E-2</v>
      </c>
      <c r="I854" s="37"/>
      <c r="J854" s="37"/>
    </row>
    <row r="855" spans="1:10" x14ac:dyDescent="0.35">
      <c r="A855" s="35">
        <v>43962</v>
      </c>
      <c r="B855">
        <v>77.02</v>
      </c>
      <c r="C855" s="33">
        <f t="shared" si="26"/>
        <v>1.5826958586125071E-2</v>
      </c>
      <c r="E855" s="34">
        <v>2930.19</v>
      </c>
      <c r="F855" s="33">
        <f t="shared" si="27"/>
        <v>1.3311488838824243E-4</v>
      </c>
      <c r="I855" s="37"/>
      <c r="J855" s="37"/>
    </row>
    <row r="856" spans="1:10" x14ac:dyDescent="0.35">
      <c r="A856" s="35">
        <v>43959</v>
      </c>
      <c r="B856">
        <v>75.819999999999993</v>
      </c>
      <c r="C856" s="33">
        <f t="shared" si="26"/>
        <v>2.3764515257898876E-2</v>
      </c>
      <c r="E856" s="34">
        <v>2929.8</v>
      </c>
      <c r="F856" s="33">
        <f t="shared" si="27"/>
        <v>1.6871501011734777E-2</v>
      </c>
      <c r="I856" s="37"/>
      <c r="J856" s="37"/>
    </row>
    <row r="857" spans="1:10" x14ac:dyDescent="0.35">
      <c r="A857" s="35">
        <v>43958</v>
      </c>
      <c r="B857">
        <v>74.06</v>
      </c>
      <c r="C857" s="33">
        <f t="shared" si="26"/>
        <v>1.0368349249659006E-2</v>
      </c>
      <c r="E857" s="34">
        <v>2881.19</v>
      </c>
      <c r="F857" s="33">
        <f t="shared" si="27"/>
        <v>1.1504623615899334E-2</v>
      </c>
      <c r="I857" s="37"/>
      <c r="J857" s="37"/>
    </row>
    <row r="858" spans="1:10" x14ac:dyDescent="0.35">
      <c r="A858" s="35">
        <v>43957</v>
      </c>
      <c r="B858">
        <v>73.3</v>
      </c>
      <c r="C858" s="33">
        <f t="shared" si="26"/>
        <v>1.0337698139214336E-2</v>
      </c>
      <c r="E858" s="34">
        <v>2848.42</v>
      </c>
      <c r="F858" s="33">
        <f t="shared" si="27"/>
        <v>-6.9794034388029665E-3</v>
      </c>
      <c r="I858" s="37"/>
      <c r="J858" s="37"/>
    </row>
    <row r="859" spans="1:10" x14ac:dyDescent="0.35">
      <c r="A859" s="35">
        <v>43956</v>
      </c>
      <c r="B859">
        <v>72.55</v>
      </c>
      <c r="C859" s="33">
        <f t="shared" si="26"/>
        <v>1.4969222160044671E-2</v>
      </c>
      <c r="E859" s="34">
        <v>2868.44</v>
      </c>
      <c r="F859" s="33">
        <f t="shared" si="27"/>
        <v>9.0405735311707286E-3</v>
      </c>
      <c r="I859" s="37"/>
      <c r="J859" s="37"/>
    </row>
    <row r="860" spans="1:10" x14ac:dyDescent="0.35">
      <c r="A860" s="35">
        <v>43955</v>
      </c>
      <c r="B860">
        <v>71.48</v>
      </c>
      <c r="C860" s="33">
        <f t="shared" si="26"/>
        <v>1.4188422247446084E-2</v>
      </c>
      <c r="E860" s="34">
        <v>2842.74</v>
      </c>
      <c r="F860" s="33">
        <f t="shared" si="27"/>
        <v>4.2498171836746774E-3</v>
      </c>
      <c r="I860" s="37"/>
      <c r="J860" s="37"/>
    </row>
    <row r="861" spans="1:10" x14ac:dyDescent="0.35">
      <c r="A861" s="35">
        <v>43952</v>
      </c>
      <c r="B861">
        <v>70.48</v>
      </c>
      <c r="C861" s="33">
        <f t="shared" si="26"/>
        <v>-1.6192071468453331E-2</v>
      </c>
      <c r="E861" s="34">
        <v>2830.71</v>
      </c>
      <c r="F861" s="33">
        <f t="shared" si="27"/>
        <v>-2.8059043479156512E-2</v>
      </c>
      <c r="I861" s="37"/>
      <c r="J861" s="37"/>
    </row>
    <row r="862" spans="1:10" x14ac:dyDescent="0.35">
      <c r="A862" s="35">
        <v>43951</v>
      </c>
      <c r="B862">
        <v>71.64</v>
      </c>
      <c r="C862" s="33">
        <f t="shared" si="26"/>
        <v>2.1094640820980674E-2</v>
      </c>
      <c r="E862" s="34">
        <v>2912.43</v>
      </c>
      <c r="F862" s="33">
        <f t="shared" si="27"/>
        <v>-9.2124197570344641E-3</v>
      </c>
      <c r="I862" s="37"/>
      <c r="J862" s="37"/>
    </row>
    <row r="863" spans="1:10" x14ac:dyDescent="0.35">
      <c r="A863" s="35">
        <v>43950</v>
      </c>
      <c r="B863">
        <v>70.16</v>
      </c>
      <c r="C863" s="33">
        <f t="shared" si="26"/>
        <v>3.2979976442873891E-2</v>
      </c>
      <c r="E863" s="34">
        <v>2939.51</v>
      </c>
      <c r="F863" s="33">
        <f t="shared" si="27"/>
        <v>2.6583874358714791E-2</v>
      </c>
      <c r="I863" s="37"/>
      <c r="J863" s="37"/>
    </row>
    <row r="864" spans="1:10" x14ac:dyDescent="0.35">
      <c r="A864" s="35">
        <v>43949</v>
      </c>
      <c r="B864">
        <v>67.92</v>
      </c>
      <c r="C864" s="33">
        <f t="shared" si="26"/>
        <v>-1.6222479721900412E-2</v>
      </c>
      <c r="E864" s="34">
        <v>2863.39</v>
      </c>
      <c r="F864" s="33">
        <f t="shared" si="27"/>
        <v>-5.2423501292349246E-3</v>
      </c>
      <c r="I864" s="37"/>
      <c r="J864" s="37"/>
    </row>
    <row r="865" spans="1:10" x14ac:dyDescent="0.35">
      <c r="A865" s="35">
        <v>43948</v>
      </c>
      <c r="B865">
        <v>69.040000000000006</v>
      </c>
      <c r="C865" s="33">
        <f t="shared" si="26"/>
        <v>5.7971014492762686E-4</v>
      </c>
      <c r="E865" s="34">
        <v>2878.48</v>
      </c>
      <c r="F865" s="33">
        <f t="shared" si="27"/>
        <v>1.4714073196697703E-2</v>
      </c>
      <c r="I865" s="37"/>
      <c r="J865" s="37"/>
    </row>
    <row r="866" spans="1:10" x14ac:dyDescent="0.35">
      <c r="A866" s="35">
        <v>43945</v>
      </c>
      <c r="B866">
        <v>69</v>
      </c>
      <c r="C866" s="33">
        <f t="shared" si="26"/>
        <v>2.8929317029525763E-2</v>
      </c>
      <c r="E866" s="34">
        <v>2836.74</v>
      </c>
      <c r="F866" s="33">
        <f t="shared" si="27"/>
        <v>1.3918078490242189E-2</v>
      </c>
      <c r="I866" s="37"/>
      <c r="J866" s="37"/>
    </row>
    <row r="867" spans="1:10" x14ac:dyDescent="0.35">
      <c r="A867" s="35">
        <v>43944</v>
      </c>
      <c r="B867">
        <v>67.06</v>
      </c>
      <c r="C867" s="33">
        <f t="shared" si="26"/>
        <v>-3.8621509209743159E-3</v>
      </c>
      <c r="E867" s="34">
        <v>2797.8</v>
      </c>
      <c r="F867" s="33">
        <f t="shared" si="27"/>
        <v>-5.3941864245109097E-4</v>
      </c>
      <c r="I867" s="37"/>
      <c r="J867" s="37"/>
    </row>
    <row r="868" spans="1:10" x14ac:dyDescent="0.35">
      <c r="A868" s="35">
        <v>43943</v>
      </c>
      <c r="B868">
        <v>67.319999999999993</v>
      </c>
      <c r="C868" s="33">
        <f t="shared" si="26"/>
        <v>2.8728606356968146E-2</v>
      </c>
      <c r="E868" s="34">
        <v>2799.31</v>
      </c>
      <c r="F868" s="33">
        <f t="shared" si="27"/>
        <v>2.2930248194813926E-2</v>
      </c>
      <c r="I868" s="37"/>
      <c r="J868" s="37"/>
    </row>
    <row r="869" spans="1:10" x14ac:dyDescent="0.35">
      <c r="A869" s="35">
        <v>43942</v>
      </c>
      <c r="B869">
        <v>65.44</v>
      </c>
      <c r="C869" s="33">
        <f t="shared" si="26"/>
        <v>-3.0805687203791447E-2</v>
      </c>
      <c r="E869" s="34">
        <v>2736.56</v>
      </c>
      <c r="F869" s="33">
        <f t="shared" si="27"/>
        <v>-3.067484662576684E-2</v>
      </c>
      <c r="I869" s="37"/>
      <c r="J869" s="37"/>
    </row>
    <row r="870" spans="1:10" x14ac:dyDescent="0.35">
      <c r="A870" s="35">
        <v>43941</v>
      </c>
      <c r="B870">
        <v>67.52</v>
      </c>
      <c r="C870" s="33">
        <f t="shared" si="26"/>
        <v>-2.0739666424945711E-2</v>
      </c>
      <c r="E870" s="34">
        <v>2823.16</v>
      </c>
      <c r="F870" s="33">
        <f t="shared" si="27"/>
        <v>-1.7880997439608182E-2</v>
      </c>
      <c r="I870" s="37"/>
      <c r="J870" s="37"/>
    </row>
    <row r="871" spans="1:10" x14ac:dyDescent="0.35">
      <c r="A871" s="35">
        <v>43938</v>
      </c>
      <c r="B871">
        <v>68.95</v>
      </c>
      <c r="C871" s="33">
        <f t="shared" si="26"/>
        <v>-1.3590844062947107E-2</v>
      </c>
      <c r="E871" s="34">
        <v>2874.56</v>
      </c>
      <c r="F871" s="33">
        <f t="shared" si="27"/>
        <v>2.6793591827257865E-2</v>
      </c>
      <c r="I871" s="37"/>
      <c r="J871" s="37"/>
    </row>
    <row r="872" spans="1:10" x14ac:dyDescent="0.35">
      <c r="A872" s="35">
        <v>43937</v>
      </c>
      <c r="B872">
        <v>69.900000000000006</v>
      </c>
      <c r="C872" s="33">
        <f t="shared" si="26"/>
        <v>7.9307858687817073E-3</v>
      </c>
      <c r="E872" s="34">
        <v>2799.55</v>
      </c>
      <c r="F872" s="33">
        <f t="shared" si="27"/>
        <v>5.8167107381007326E-3</v>
      </c>
      <c r="I872" s="37"/>
      <c r="J872" s="37"/>
    </row>
    <row r="873" spans="1:10" x14ac:dyDescent="0.35">
      <c r="A873" s="35">
        <v>43936</v>
      </c>
      <c r="B873">
        <v>69.349999999999994</v>
      </c>
      <c r="C873" s="33">
        <f t="shared" si="26"/>
        <v>-9.1441634519217121E-3</v>
      </c>
      <c r="E873" s="34">
        <v>2783.36</v>
      </c>
      <c r="F873" s="33">
        <f t="shared" si="27"/>
        <v>-2.2030456139364531E-2</v>
      </c>
      <c r="I873" s="37"/>
      <c r="J873" s="37"/>
    </row>
    <row r="874" spans="1:10" x14ac:dyDescent="0.35">
      <c r="A874" s="35">
        <v>43935</v>
      </c>
      <c r="B874">
        <v>69.989999999999995</v>
      </c>
      <c r="C874" s="33">
        <f t="shared" si="26"/>
        <v>5.0427735254389906E-2</v>
      </c>
      <c r="E874" s="34">
        <v>2846.06</v>
      </c>
      <c r="F874" s="33">
        <f t="shared" si="27"/>
        <v>3.0572524197665811E-2</v>
      </c>
      <c r="I874" s="37"/>
      <c r="J874" s="37"/>
    </row>
    <row r="875" spans="1:10" x14ac:dyDescent="0.35">
      <c r="A875" s="35">
        <v>43934</v>
      </c>
      <c r="B875">
        <v>66.63</v>
      </c>
      <c r="C875" s="33">
        <f t="shared" si="26"/>
        <v>1.9742883379246894E-2</v>
      </c>
      <c r="E875" s="34">
        <v>2761.63</v>
      </c>
      <c r="F875" s="33">
        <f t="shared" si="27"/>
        <v>-1.0104594561656327E-2</v>
      </c>
      <c r="I875" s="37"/>
      <c r="J875" s="37"/>
    </row>
    <row r="876" spans="1:10" x14ac:dyDescent="0.35">
      <c r="A876" s="35">
        <v>43930</v>
      </c>
      <c r="B876">
        <v>65.34</v>
      </c>
      <c r="C876" s="33">
        <f t="shared" si="26"/>
        <v>7.2452597502697521E-3</v>
      </c>
      <c r="E876" s="34">
        <v>2789.82</v>
      </c>
      <c r="F876" s="33">
        <f t="shared" si="27"/>
        <v>1.4487378090022526E-2</v>
      </c>
      <c r="I876" s="37"/>
      <c r="J876" s="37"/>
    </row>
    <row r="877" spans="1:10" x14ac:dyDescent="0.35">
      <c r="A877" s="35">
        <v>43929</v>
      </c>
      <c r="B877">
        <v>64.87</v>
      </c>
      <c r="C877" s="33">
        <f t="shared" si="26"/>
        <v>2.5450521656655178E-2</v>
      </c>
      <c r="E877" s="34">
        <v>2749.98</v>
      </c>
      <c r="F877" s="33">
        <f t="shared" si="27"/>
        <v>3.4056426049386961E-2</v>
      </c>
      <c r="I877" s="37"/>
      <c r="J877" s="37"/>
    </row>
    <row r="878" spans="1:10" x14ac:dyDescent="0.35">
      <c r="A878" s="35">
        <v>43928</v>
      </c>
      <c r="B878">
        <v>63.26</v>
      </c>
      <c r="C878" s="33">
        <f t="shared" si="26"/>
        <v>-1.1562500000000031E-2</v>
      </c>
      <c r="E878" s="34">
        <v>2659.41</v>
      </c>
      <c r="F878" s="33">
        <f t="shared" si="27"/>
        <v>-1.6030454108601567E-3</v>
      </c>
      <c r="I878" s="37"/>
      <c r="J878" s="37"/>
    </row>
    <row r="879" spans="1:10" x14ac:dyDescent="0.35">
      <c r="A879" s="35">
        <v>43927</v>
      </c>
      <c r="B879">
        <v>64</v>
      </c>
      <c r="C879" s="33">
        <f t="shared" si="26"/>
        <v>8.732585796805982E-2</v>
      </c>
      <c r="E879" s="34">
        <v>2663.68</v>
      </c>
      <c r="F879" s="33">
        <f t="shared" si="27"/>
        <v>7.0331304120707913E-2</v>
      </c>
      <c r="I879" s="37"/>
      <c r="J879" s="37"/>
    </row>
    <row r="880" spans="1:10" x14ac:dyDescent="0.35">
      <c r="A880" s="35">
        <v>43924</v>
      </c>
      <c r="B880">
        <v>58.86</v>
      </c>
      <c r="C880" s="33">
        <f t="shared" si="26"/>
        <v>-1.4400535833891484E-2</v>
      </c>
      <c r="E880" s="34">
        <v>2488.65</v>
      </c>
      <c r="F880" s="33">
        <f t="shared" si="27"/>
        <v>-1.5137124539950137E-2</v>
      </c>
      <c r="I880" s="37"/>
      <c r="J880" s="37"/>
    </row>
    <row r="881" spans="1:10" x14ac:dyDescent="0.35">
      <c r="A881" s="35">
        <v>43923</v>
      </c>
      <c r="B881">
        <v>59.72</v>
      </c>
      <c r="C881" s="33">
        <f t="shared" si="26"/>
        <v>1.6683690840994157E-2</v>
      </c>
      <c r="E881" s="34">
        <v>2526.9</v>
      </c>
      <c r="F881" s="33">
        <f t="shared" si="27"/>
        <v>2.282938676381303E-2</v>
      </c>
      <c r="I881" s="37"/>
      <c r="J881" s="37"/>
    </row>
    <row r="882" spans="1:10" x14ac:dyDescent="0.35">
      <c r="A882" s="35">
        <v>43922</v>
      </c>
      <c r="B882">
        <v>58.74</v>
      </c>
      <c r="C882" s="33">
        <f t="shared" si="26"/>
        <v>-5.2580645161290289E-2</v>
      </c>
      <c r="E882" s="34">
        <v>2470.5</v>
      </c>
      <c r="F882" s="33">
        <f t="shared" si="27"/>
        <v>-4.4142397827121573E-2</v>
      </c>
      <c r="I882" s="37"/>
      <c r="J882" s="37"/>
    </row>
    <row r="883" spans="1:10" x14ac:dyDescent="0.35">
      <c r="A883" s="35">
        <v>43921</v>
      </c>
      <c r="B883">
        <v>62</v>
      </c>
      <c r="C883" s="33">
        <f t="shared" si="26"/>
        <v>-2.0923869306293669E-3</v>
      </c>
      <c r="E883" s="34">
        <v>2584.59</v>
      </c>
      <c r="F883" s="33">
        <f t="shared" si="27"/>
        <v>-1.6012791959339821E-2</v>
      </c>
      <c r="I883" s="37"/>
      <c r="J883" s="37"/>
    </row>
    <row r="884" spans="1:10" x14ac:dyDescent="0.35">
      <c r="A884" s="35">
        <v>43920</v>
      </c>
      <c r="B884">
        <v>62.13</v>
      </c>
      <c r="C884" s="33">
        <f t="shared" si="26"/>
        <v>2.8472107267008873E-2</v>
      </c>
      <c r="E884" s="34">
        <v>2626.65</v>
      </c>
      <c r="F884" s="33">
        <f t="shared" si="27"/>
        <v>3.3516035994916447E-2</v>
      </c>
      <c r="I884" s="37"/>
      <c r="J884" s="37"/>
    </row>
    <row r="885" spans="1:10" x14ac:dyDescent="0.35">
      <c r="A885" s="35">
        <v>43917</v>
      </c>
      <c r="B885">
        <v>60.41</v>
      </c>
      <c r="C885" s="33">
        <f t="shared" si="26"/>
        <v>-4.126329154102526E-2</v>
      </c>
      <c r="E885" s="34">
        <v>2541.4699999999998</v>
      </c>
      <c r="F885" s="33">
        <f t="shared" si="27"/>
        <v>-3.3687316307170666E-2</v>
      </c>
      <c r="I885" s="37"/>
      <c r="J885" s="37"/>
    </row>
    <row r="886" spans="1:10" x14ac:dyDescent="0.35">
      <c r="A886" s="35">
        <v>43916</v>
      </c>
      <c r="B886">
        <v>63.01</v>
      </c>
      <c r="C886" s="33">
        <f t="shared" si="26"/>
        <v>5.2622786501837597E-2</v>
      </c>
      <c r="E886" s="34">
        <v>2630.07</v>
      </c>
      <c r="F886" s="33">
        <f t="shared" si="27"/>
        <v>6.2414160836336108E-2</v>
      </c>
      <c r="I886" s="37"/>
      <c r="J886" s="37"/>
    </row>
    <row r="887" spans="1:10" x14ac:dyDescent="0.35">
      <c r="A887" s="35">
        <v>43915</v>
      </c>
      <c r="B887">
        <v>59.86</v>
      </c>
      <c r="C887" s="33">
        <f t="shared" si="26"/>
        <v>-5.6478405315615182E-3</v>
      </c>
      <c r="E887" s="34">
        <v>2475.56</v>
      </c>
      <c r="F887" s="33">
        <f t="shared" si="27"/>
        <v>1.1535019797084994E-2</v>
      </c>
      <c r="I887" s="37"/>
      <c r="J887" s="37"/>
    </row>
    <row r="888" spans="1:10" x14ac:dyDescent="0.35">
      <c r="A888" s="35">
        <v>43914</v>
      </c>
      <c r="B888">
        <v>60.2</v>
      </c>
      <c r="C888" s="33">
        <f t="shared" si="26"/>
        <v>0.10034728568817404</v>
      </c>
      <c r="E888" s="34">
        <v>2447.33</v>
      </c>
      <c r="F888" s="33">
        <f t="shared" si="27"/>
        <v>9.3827657101993311E-2</v>
      </c>
      <c r="I888" s="37"/>
      <c r="J888" s="37"/>
    </row>
    <row r="889" spans="1:10" x14ac:dyDescent="0.35">
      <c r="A889" s="35">
        <v>43913</v>
      </c>
      <c r="B889">
        <v>54.71</v>
      </c>
      <c r="C889" s="33">
        <f t="shared" si="26"/>
        <v>-2.1112900339953476E-2</v>
      </c>
      <c r="E889" s="34">
        <v>2237.4</v>
      </c>
      <c r="F889" s="33">
        <f t="shared" si="27"/>
        <v>-2.929385835517067E-2</v>
      </c>
      <c r="I889" s="37"/>
      <c r="J889" s="37"/>
    </row>
    <row r="890" spans="1:10" x14ac:dyDescent="0.35">
      <c r="A890" s="35">
        <v>43910</v>
      </c>
      <c r="B890">
        <v>55.89</v>
      </c>
      <c r="C890" s="33">
        <f t="shared" si="26"/>
        <v>-6.3505361930294893E-2</v>
      </c>
      <c r="E890" s="34">
        <v>2304.92</v>
      </c>
      <c r="F890" s="33">
        <f t="shared" si="27"/>
        <v>-4.3359522534749381E-2</v>
      </c>
      <c r="I890" s="37"/>
      <c r="J890" s="37"/>
    </row>
    <row r="891" spans="1:10" x14ac:dyDescent="0.35">
      <c r="A891" s="35">
        <v>43909</v>
      </c>
      <c r="B891">
        <v>59.68</v>
      </c>
      <c r="C891" s="33">
        <f t="shared" si="26"/>
        <v>-7.6488194213501972E-3</v>
      </c>
      <c r="E891" s="34">
        <v>2409.39</v>
      </c>
      <c r="F891" s="33">
        <f t="shared" si="27"/>
        <v>4.7078937492181158E-3</v>
      </c>
      <c r="I891" s="37"/>
      <c r="J891" s="37"/>
    </row>
    <row r="892" spans="1:10" x14ac:dyDescent="0.35">
      <c r="A892" s="35">
        <v>43908</v>
      </c>
      <c r="B892">
        <v>60.14</v>
      </c>
      <c r="C892" s="33">
        <f t="shared" si="26"/>
        <v>-2.4493106244931031E-2</v>
      </c>
      <c r="E892" s="34">
        <v>2398.1</v>
      </c>
      <c r="F892" s="33">
        <f t="shared" si="27"/>
        <v>-5.1830823307066745E-2</v>
      </c>
      <c r="I892" s="37"/>
      <c r="J892" s="37"/>
    </row>
    <row r="893" spans="1:10" x14ac:dyDescent="0.35">
      <c r="A893" s="35">
        <v>43907</v>
      </c>
      <c r="B893">
        <v>61.65</v>
      </c>
      <c r="C893" s="33">
        <f t="shared" si="26"/>
        <v>4.3853708093464207E-2</v>
      </c>
      <c r="E893" s="34">
        <v>2529.19</v>
      </c>
      <c r="F893" s="33">
        <f t="shared" si="27"/>
        <v>5.9954822243549151E-2</v>
      </c>
      <c r="I893" s="37"/>
      <c r="J893" s="37"/>
    </row>
    <row r="894" spans="1:10" x14ac:dyDescent="0.35">
      <c r="A894" s="35">
        <v>43906</v>
      </c>
      <c r="B894">
        <v>59.06</v>
      </c>
      <c r="C894" s="33">
        <f t="shared" si="26"/>
        <v>-0.12865151962230745</v>
      </c>
      <c r="E894" s="34">
        <v>2386.13</v>
      </c>
      <c r="F894" s="33">
        <f t="shared" si="27"/>
        <v>-0.11984050283657069</v>
      </c>
      <c r="I894" s="37"/>
      <c r="J894" s="37"/>
    </row>
    <row r="895" spans="1:10" x14ac:dyDescent="0.35">
      <c r="A895" s="35">
        <v>43903</v>
      </c>
      <c r="B895">
        <v>67.78</v>
      </c>
      <c r="C895" s="33">
        <f t="shared" si="26"/>
        <v>0.11996034368803697</v>
      </c>
      <c r="E895" s="34">
        <v>2711.02</v>
      </c>
      <c r="F895" s="33">
        <f t="shared" si="27"/>
        <v>9.2871194530443804E-2</v>
      </c>
      <c r="I895" s="37"/>
      <c r="J895" s="37"/>
    </row>
    <row r="896" spans="1:10" x14ac:dyDescent="0.35">
      <c r="A896" s="35">
        <v>43902</v>
      </c>
      <c r="B896">
        <v>60.52</v>
      </c>
      <c r="C896" s="33">
        <f t="shared" si="26"/>
        <v>-9.8868374032161907E-2</v>
      </c>
      <c r="E896" s="34">
        <v>2480.64</v>
      </c>
      <c r="F896" s="33">
        <f t="shared" si="27"/>
        <v>-9.5112680474797442E-2</v>
      </c>
      <c r="I896" s="37"/>
      <c r="J896" s="37"/>
    </row>
    <row r="897" spans="1:10" x14ac:dyDescent="0.35">
      <c r="A897" s="35">
        <v>43901</v>
      </c>
      <c r="B897">
        <v>67.16</v>
      </c>
      <c r="C897" s="33">
        <f t="shared" si="26"/>
        <v>-3.4641368405922045E-2</v>
      </c>
      <c r="E897" s="34">
        <v>2741.38</v>
      </c>
      <c r="F897" s="33">
        <f t="shared" si="27"/>
        <v>-4.8868410917935041E-2</v>
      </c>
      <c r="I897" s="37"/>
      <c r="J897" s="37"/>
    </row>
    <row r="898" spans="1:10" x14ac:dyDescent="0.35">
      <c r="A898" s="35">
        <v>43900</v>
      </c>
      <c r="B898">
        <v>69.569999999999993</v>
      </c>
      <c r="C898" s="33">
        <f t="shared" ref="C898:C961" si="28">(B898-B899)/B899</f>
        <v>7.1956856702619212E-2</v>
      </c>
      <c r="E898" s="34">
        <v>2882.23</v>
      </c>
      <c r="F898" s="33">
        <f t="shared" ref="F898:F961" si="29">(E898-E899)/E899</f>
        <v>4.9396335780030318E-2</v>
      </c>
      <c r="I898" s="37"/>
      <c r="J898" s="37"/>
    </row>
    <row r="899" spans="1:10" x14ac:dyDescent="0.35">
      <c r="A899" s="35">
        <v>43899</v>
      </c>
      <c r="B899">
        <v>64.900000000000006</v>
      </c>
      <c r="C899" s="33">
        <f t="shared" si="28"/>
        <v>-7.9040726550305002E-2</v>
      </c>
      <c r="E899" s="34">
        <v>2746.56</v>
      </c>
      <c r="F899" s="33">
        <f t="shared" si="29"/>
        <v>-7.5969680759797723E-2</v>
      </c>
      <c r="I899" s="37"/>
      <c r="J899" s="37"/>
    </row>
    <row r="900" spans="1:10" x14ac:dyDescent="0.35">
      <c r="A900" s="35">
        <v>43896</v>
      </c>
      <c r="B900">
        <v>70.47</v>
      </c>
      <c r="C900" s="33">
        <f t="shared" si="28"/>
        <v>-1.3301596191543025E-2</v>
      </c>
      <c r="E900" s="34">
        <v>2972.37</v>
      </c>
      <c r="F900" s="33">
        <f t="shared" si="29"/>
        <v>-1.7053909799797668E-2</v>
      </c>
      <c r="I900" s="37"/>
      <c r="J900" s="37"/>
    </row>
    <row r="901" spans="1:10" x14ac:dyDescent="0.35">
      <c r="A901" s="35">
        <v>43895</v>
      </c>
      <c r="B901">
        <v>71.42</v>
      </c>
      <c r="C901" s="33">
        <f t="shared" si="28"/>
        <v>-3.2511514494716766E-2</v>
      </c>
      <c r="E901" s="34">
        <v>3023.94</v>
      </c>
      <c r="F901" s="33">
        <f t="shared" si="29"/>
        <v>-3.3922022158894817E-2</v>
      </c>
      <c r="I901" s="37"/>
      <c r="J901" s="37"/>
    </row>
    <row r="902" spans="1:10" x14ac:dyDescent="0.35">
      <c r="A902" s="35">
        <v>43894</v>
      </c>
      <c r="B902">
        <v>73.819999999999993</v>
      </c>
      <c r="C902" s="33">
        <f t="shared" si="28"/>
        <v>4.6498440601077211E-2</v>
      </c>
      <c r="E902" s="34">
        <v>3130.12</v>
      </c>
      <c r="F902" s="33">
        <f t="shared" si="29"/>
        <v>4.2202592421180206E-2</v>
      </c>
      <c r="I902" s="37"/>
      <c r="J902" s="37"/>
    </row>
    <row r="903" spans="1:10" x14ac:dyDescent="0.35">
      <c r="A903" s="35">
        <v>43893</v>
      </c>
      <c r="B903">
        <v>70.540000000000006</v>
      </c>
      <c r="C903" s="33">
        <f t="shared" si="28"/>
        <v>-3.1841888553389971E-2</v>
      </c>
      <c r="E903" s="34">
        <v>3003.37</v>
      </c>
      <c r="F903" s="33">
        <f t="shared" si="29"/>
        <v>-2.8107940185682013E-2</v>
      </c>
      <c r="I903" s="37"/>
      <c r="J903" s="37"/>
    </row>
    <row r="904" spans="1:10" x14ac:dyDescent="0.35">
      <c r="A904" s="35">
        <v>43892</v>
      </c>
      <c r="B904">
        <v>72.86</v>
      </c>
      <c r="C904" s="33">
        <f t="shared" si="28"/>
        <v>9.3173293323330728E-2</v>
      </c>
      <c r="E904" s="34">
        <v>3090.23</v>
      </c>
      <c r="F904" s="33">
        <f t="shared" si="29"/>
        <v>4.6039225243888482E-2</v>
      </c>
      <c r="I904" s="37"/>
      <c r="J904" s="37"/>
    </row>
    <row r="905" spans="1:10" x14ac:dyDescent="0.35">
      <c r="A905" s="35">
        <v>43889</v>
      </c>
      <c r="B905">
        <v>66.650000000000006</v>
      </c>
      <c r="C905" s="33">
        <f t="shared" si="28"/>
        <v>-5.9979007347416469E-4</v>
      </c>
      <c r="E905" s="34">
        <v>2954.22</v>
      </c>
      <c r="F905" s="33">
        <f t="shared" si="29"/>
        <v>-8.2383273576926031E-3</v>
      </c>
      <c r="I905" s="37"/>
      <c r="J905" s="37"/>
    </row>
    <row r="906" spans="1:10" x14ac:dyDescent="0.35">
      <c r="A906" s="35">
        <v>43888</v>
      </c>
      <c r="B906">
        <v>66.69</v>
      </c>
      <c r="C906" s="33">
        <f t="shared" si="28"/>
        <v>-6.5442825112107653E-2</v>
      </c>
      <c r="E906" s="34">
        <v>2978.76</v>
      </c>
      <c r="F906" s="33">
        <f t="shared" si="29"/>
        <v>-4.4163278665378745E-2</v>
      </c>
      <c r="I906" s="37"/>
      <c r="J906" s="37"/>
    </row>
    <row r="907" spans="1:10" x14ac:dyDescent="0.35">
      <c r="A907" s="35">
        <v>43887</v>
      </c>
      <c r="B907">
        <v>71.36</v>
      </c>
      <c r="C907" s="33">
        <f t="shared" si="28"/>
        <v>1.594533029612763E-2</v>
      </c>
      <c r="E907" s="34">
        <v>3116.39</v>
      </c>
      <c r="F907" s="33">
        <f t="shared" si="29"/>
        <v>-3.7785187055856748E-3</v>
      </c>
      <c r="I907" s="37"/>
      <c r="J907" s="37"/>
    </row>
    <row r="908" spans="1:10" x14ac:dyDescent="0.35">
      <c r="A908" s="35">
        <v>43886</v>
      </c>
      <c r="B908">
        <v>70.239999999999995</v>
      </c>
      <c r="C908" s="33">
        <f t="shared" si="28"/>
        <v>-3.3837689133425143E-2</v>
      </c>
      <c r="E908" s="34">
        <v>3128.21</v>
      </c>
      <c r="F908" s="33">
        <f t="shared" si="29"/>
        <v>-3.0280015747592089E-2</v>
      </c>
      <c r="I908" s="37"/>
      <c r="J908" s="37"/>
    </row>
    <row r="909" spans="1:10" x14ac:dyDescent="0.35">
      <c r="A909" s="35">
        <v>43885</v>
      </c>
      <c r="B909">
        <v>72.7</v>
      </c>
      <c r="C909" s="33">
        <f t="shared" si="28"/>
        <v>-4.7556661862963388E-2</v>
      </c>
      <c r="E909" s="34">
        <v>3225.89</v>
      </c>
      <c r="F909" s="33">
        <f t="shared" si="29"/>
        <v>-3.3513594487304357E-2</v>
      </c>
      <c r="I909" s="37"/>
      <c r="J909" s="37"/>
    </row>
    <row r="910" spans="1:10" x14ac:dyDescent="0.35">
      <c r="A910" s="35">
        <v>43882</v>
      </c>
      <c r="B910">
        <v>76.33</v>
      </c>
      <c r="C910" s="33">
        <f t="shared" si="28"/>
        <v>-2.2663252240716979E-2</v>
      </c>
      <c r="E910" s="34">
        <v>3337.75</v>
      </c>
      <c r="F910" s="33">
        <f t="shared" si="29"/>
        <v>-1.0518108756295899E-2</v>
      </c>
      <c r="I910" s="37"/>
      <c r="J910" s="37"/>
    </row>
    <row r="911" spans="1:10" x14ac:dyDescent="0.35">
      <c r="A911" s="35">
        <v>43881</v>
      </c>
      <c r="B911">
        <v>78.099999999999994</v>
      </c>
      <c r="C911" s="33">
        <f t="shared" si="28"/>
        <v>-1.0264858699784593E-2</v>
      </c>
      <c r="E911" s="34">
        <v>3373.23</v>
      </c>
      <c r="F911" s="33">
        <f t="shared" si="29"/>
        <v>-3.8155427255142484E-3</v>
      </c>
      <c r="I911" s="37"/>
      <c r="J911" s="37"/>
    </row>
    <row r="912" spans="1:10" x14ac:dyDescent="0.35">
      <c r="A912" s="35">
        <v>43880</v>
      </c>
      <c r="B912">
        <v>78.91</v>
      </c>
      <c r="C912" s="33">
        <f t="shared" si="28"/>
        <v>1.4528156338390273E-2</v>
      </c>
      <c r="E912" s="34">
        <v>3386.15</v>
      </c>
      <c r="F912" s="33">
        <f t="shared" si="29"/>
        <v>4.7058265015770531E-3</v>
      </c>
      <c r="I912" s="37"/>
      <c r="J912" s="37"/>
    </row>
    <row r="913" spans="1:10" x14ac:dyDescent="0.35">
      <c r="A913" s="35">
        <v>43879</v>
      </c>
      <c r="B913">
        <v>77.78</v>
      </c>
      <c r="C913" s="33">
        <f t="shared" si="28"/>
        <v>-1.8301148554840375E-2</v>
      </c>
      <c r="E913" s="34">
        <v>3370.29</v>
      </c>
      <c r="F913" s="33">
        <f t="shared" si="29"/>
        <v>-2.9199801192842621E-3</v>
      </c>
      <c r="I913" s="37"/>
      <c r="J913" s="37"/>
    </row>
    <row r="914" spans="1:10" x14ac:dyDescent="0.35">
      <c r="A914" s="35">
        <v>43875</v>
      </c>
      <c r="B914">
        <v>79.23</v>
      </c>
      <c r="C914" s="33">
        <f t="shared" si="28"/>
        <v>2.5249337204911288E-4</v>
      </c>
      <c r="E914" s="34">
        <v>3380.16</v>
      </c>
      <c r="F914" s="33">
        <f t="shared" si="29"/>
        <v>1.8435419717006821E-3</v>
      </c>
      <c r="I914" s="37"/>
      <c r="J914" s="37"/>
    </row>
    <row r="915" spans="1:10" x14ac:dyDescent="0.35">
      <c r="A915" s="35">
        <v>43874</v>
      </c>
      <c r="B915">
        <v>79.209999999999994</v>
      </c>
      <c r="C915" s="33">
        <f t="shared" si="28"/>
        <v>-7.1446477813989391E-3</v>
      </c>
      <c r="E915" s="34">
        <v>3373.94</v>
      </c>
      <c r="F915" s="33">
        <f t="shared" si="29"/>
        <v>-1.6304428235363044E-3</v>
      </c>
      <c r="I915" s="37"/>
      <c r="J915" s="37"/>
    </row>
    <row r="916" spans="1:10" x14ac:dyDescent="0.35">
      <c r="A916" s="35">
        <v>43873</v>
      </c>
      <c r="B916">
        <v>79.78</v>
      </c>
      <c r="C916" s="33">
        <f t="shared" si="28"/>
        <v>2.3739253175927039E-2</v>
      </c>
      <c r="E916" s="34">
        <v>3379.45</v>
      </c>
      <c r="F916" s="33">
        <f t="shared" si="29"/>
        <v>6.4626610081154993E-3</v>
      </c>
      <c r="I916" s="37"/>
      <c r="J916" s="37"/>
    </row>
    <row r="917" spans="1:10" x14ac:dyDescent="0.35">
      <c r="A917" s="35">
        <v>43872</v>
      </c>
      <c r="B917">
        <v>77.930000000000007</v>
      </c>
      <c r="C917" s="33">
        <f t="shared" si="28"/>
        <v>-5.9948979591836586E-3</v>
      </c>
      <c r="E917" s="34">
        <v>3357.75</v>
      </c>
      <c r="F917" s="33">
        <f t="shared" si="29"/>
        <v>1.6884988171558205E-3</v>
      </c>
      <c r="I917" s="37"/>
      <c r="J917" s="37"/>
    </row>
    <row r="918" spans="1:10" x14ac:dyDescent="0.35">
      <c r="A918" s="35">
        <v>43871</v>
      </c>
      <c r="B918">
        <v>78.400000000000006</v>
      </c>
      <c r="C918" s="33">
        <f t="shared" si="28"/>
        <v>4.7417659874407865E-3</v>
      </c>
      <c r="E918" s="34">
        <v>3352.09</v>
      </c>
      <c r="F918" s="33">
        <f t="shared" si="29"/>
        <v>7.3263595685922481E-3</v>
      </c>
      <c r="I918" s="37"/>
      <c r="J918" s="37"/>
    </row>
    <row r="919" spans="1:10" x14ac:dyDescent="0.35">
      <c r="A919" s="35">
        <v>43868</v>
      </c>
      <c r="B919">
        <v>78.03</v>
      </c>
      <c r="C919" s="33">
        <f t="shared" si="28"/>
        <v>-1.3651877133105781E-2</v>
      </c>
      <c r="E919" s="34">
        <v>3327.71</v>
      </c>
      <c r="F919" s="33">
        <f t="shared" si="29"/>
        <v>-5.4008332885007865E-3</v>
      </c>
      <c r="I919" s="37"/>
      <c r="J919" s="37"/>
    </row>
    <row r="920" spans="1:10" x14ac:dyDescent="0.35">
      <c r="A920" s="35">
        <v>43867</v>
      </c>
      <c r="B920">
        <v>79.11</v>
      </c>
      <c r="C920" s="33">
        <f t="shared" si="28"/>
        <v>1.1766210512853328E-2</v>
      </c>
      <c r="E920" s="34">
        <v>3345.78</v>
      </c>
      <c r="F920" s="33">
        <f t="shared" si="29"/>
        <v>3.3256464618900542E-3</v>
      </c>
      <c r="I920" s="37"/>
      <c r="J920" s="37"/>
    </row>
    <row r="921" spans="1:10" x14ac:dyDescent="0.35">
      <c r="A921" s="35">
        <v>43866</v>
      </c>
      <c r="B921">
        <v>78.19</v>
      </c>
      <c r="C921" s="33">
        <f t="shared" si="28"/>
        <v>8.1227436823104113E-3</v>
      </c>
      <c r="E921" s="34">
        <v>3334.69</v>
      </c>
      <c r="F921" s="33">
        <f t="shared" si="29"/>
        <v>1.1250640619361384E-2</v>
      </c>
      <c r="I921" s="37"/>
      <c r="J921" s="37"/>
    </row>
    <row r="922" spans="1:10" x14ac:dyDescent="0.35">
      <c r="A922" s="35">
        <v>43865</v>
      </c>
      <c r="B922">
        <v>77.56</v>
      </c>
      <c r="C922" s="33">
        <f t="shared" si="28"/>
        <v>3.3031433137986205E-2</v>
      </c>
      <c r="E922" s="34">
        <v>3297.59</v>
      </c>
      <c r="F922" s="33">
        <f t="shared" si="29"/>
        <v>1.4980362705145116E-2</v>
      </c>
      <c r="I922" s="37"/>
      <c r="J922" s="37"/>
    </row>
    <row r="923" spans="1:10" x14ac:dyDescent="0.35">
      <c r="A923" s="35">
        <v>43864</v>
      </c>
      <c r="B923">
        <v>75.08</v>
      </c>
      <c r="C923" s="33">
        <f t="shared" si="28"/>
        <v>-2.7892150351973427E-3</v>
      </c>
      <c r="E923" s="34">
        <v>3248.92</v>
      </c>
      <c r="F923" s="33">
        <f t="shared" si="29"/>
        <v>7.2546442124060903E-3</v>
      </c>
      <c r="I923" s="37"/>
      <c r="J923" s="37"/>
    </row>
    <row r="924" spans="1:10" x14ac:dyDescent="0.35">
      <c r="A924" s="35">
        <v>43861</v>
      </c>
      <c r="B924">
        <v>75.290000000000006</v>
      </c>
      <c r="C924" s="33">
        <f t="shared" si="28"/>
        <v>-4.4300583904544236E-2</v>
      </c>
      <c r="E924" s="34">
        <v>3225.52</v>
      </c>
      <c r="F924" s="33">
        <f t="shared" si="29"/>
        <v>-1.7705852615678808E-2</v>
      </c>
      <c r="I924" s="37"/>
      <c r="J924" s="37"/>
    </row>
    <row r="925" spans="1:10" x14ac:dyDescent="0.35">
      <c r="A925" s="35">
        <v>43860</v>
      </c>
      <c r="B925">
        <v>78.78</v>
      </c>
      <c r="C925" s="33">
        <f t="shared" si="28"/>
        <v>-1.3943465584991689E-3</v>
      </c>
      <c r="E925" s="34">
        <v>3283.66</v>
      </c>
      <c r="F925" s="33">
        <f t="shared" si="29"/>
        <v>3.1343557157694638E-3</v>
      </c>
      <c r="I925" s="37"/>
      <c r="J925" s="37"/>
    </row>
    <row r="926" spans="1:10" x14ac:dyDescent="0.35">
      <c r="A926" s="35">
        <v>43859</v>
      </c>
      <c r="B926">
        <v>78.89</v>
      </c>
      <c r="C926" s="33">
        <f t="shared" si="28"/>
        <v>2.0833333333333325E-2</v>
      </c>
      <c r="E926" s="34">
        <v>3273.4</v>
      </c>
      <c r="F926" s="33">
        <f t="shared" si="29"/>
        <v>-8.6684736160955579E-4</v>
      </c>
      <c r="I926" s="37"/>
      <c r="J926" s="37"/>
    </row>
    <row r="927" spans="1:10" x14ac:dyDescent="0.35">
      <c r="A927" s="35">
        <v>43858</v>
      </c>
      <c r="B927">
        <v>77.28</v>
      </c>
      <c r="C927" s="33">
        <f t="shared" si="28"/>
        <v>2.834331337325343E-2</v>
      </c>
      <c r="E927" s="34">
        <v>3276.24</v>
      </c>
      <c r="F927" s="33">
        <f t="shared" si="29"/>
        <v>1.0053551114029551E-2</v>
      </c>
      <c r="I927" s="37"/>
      <c r="J927" s="37"/>
    </row>
    <row r="928" spans="1:10" x14ac:dyDescent="0.35">
      <c r="A928" s="35">
        <v>43857</v>
      </c>
      <c r="B928">
        <v>75.150000000000006</v>
      </c>
      <c r="C928" s="33">
        <f t="shared" si="28"/>
        <v>-2.9445951181712525E-2</v>
      </c>
      <c r="E928" s="34">
        <v>3243.63</v>
      </c>
      <c r="F928" s="33">
        <f t="shared" si="29"/>
        <v>-1.5730684849201995E-2</v>
      </c>
      <c r="I928" s="37"/>
      <c r="J928" s="37"/>
    </row>
    <row r="929" spans="1:10" x14ac:dyDescent="0.35">
      <c r="A929" s="35">
        <v>43854</v>
      </c>
      <c r="B929">
        <v>77.430000000000007</v>
      </c>
      <c r="C929" s="33">
        <f t="shared" si="28"/>
        <v>-2.8332260141661152E-3</v>
      </c>
      <c r="E929" s="34">
        <v>3295.47</v>
      </c>
      <c r="F929" s="33">
        <f t="shared" si="29"/>
        <v>-9.0421405245464381E-3</v>
      </c>
      <c r="I929" s="37"/>
      <c r="J929" s="37"/>
    </row>
    <row r="930" spans="1:10" x14ac:dyDescent="0.35">
      <c r="A930" s="35">
        <v>43853</v>
      </c>
      <c r="B930">
        <v>77.650000000000006</v>
      </c>
      <c r="C930" s="33">
        <f t="shared" si="28"/>
        <v>4.787784679089086E-3</v>
      </c>
      <c r="E930" s="34">
        <v>3325.54</v>
      </c>
      <c r="F930" s="33">
        <f t="shared" si="29"/>
        <v>1.1409648528636904E-3</v>
      </c>
      <c r="I930" s="37"/>
      <c r="J930" s="37"/>
    </row>
    <row r="931" spans="1:10" x14ac:dyDescent="0.35">
      <c r="A931" s="35">
        <v>43852</v>
      </c>
      <c r="B931">
        <v>77.28</v>
      </c>
      <c r="C931" s="33">
        <f t="shared" si="28"/>
        <v>3.6363636363636511E-3</v>
      </c>
      <c r="E931" s="34">
        <v>3321.75</v>
      </c>
      <c r="F931" s="33">
        <f t="shared" si="29"/>
        <v>2.8908783753264626E-4</v>
      </c>
      <c r="I931" s="37"/>
      <c r="J931" s="37"/>
    </row>
    <row r="932" spans="1:10" x14ac:dyDescent="0.35">
      <c r="A932" s="35">
        <v>43851</v>
      </c>
      <c r="B932">
        <v>77</v>
      </c>
      <c r="C932" s="33">
        <f t="shared" si="28"/>
        <v>-6.8360634593060896E-3</v>
      </c>
      <c r="E932" s="34">
        <v>3320.79</v>
      </c>
      <c r="F932" s="33">
        <f t="shared" si="29"/>
        <v>-2.6519542770646284E-3</v>
      </c>
      <c r="I932" s="37"/>
      <c r="J932" s="37"/>
    </row>
    <row r="933" spans="1:10" x14ac:dyDescent="0.35">
      <c r="A933" s="35">
        <v>43847</v>
      </c>
      <c r="B933">
        <v>77.53</v>
      </c>
      <c r="C933" s="33">
        <f t="shared" si="28"/>
        <v>1.1085028690662418E-2</v>
      </c>
      <c r="E933" s="34">
        <v>3329.62</v>
      </c>
      <c r="F933" s="33">
        <f t="shared" si="29"/>
        <v>3.8621446510351651E-3</v>
      </c>
      <c r="I933" s="37"/>
      <c r="J933" s="37"/>
    </row>
    <row r="934" spans="1:10" x14ac:dyDescent="0.35">
      <c r="A934" s="35">
        <v>43846</v>
      </c>
      <c r="B934">
        <v>76.680000000000007</v>
      </c>
      <c r="C934" s="33">
        <f t="shared" si="28"/>
        <v>1.2544566222104883E-2</v>
      </c>
      <c r="E934" s="34">
        <v>3316.81</v>
      </c>
      <c r="F934" s="33">
        <f t="shared" si="29"/>
        <v>8.3665471879949722E-3</v>
      </c>
      <c r="I934" s="37"/>
      <c r="J934" s="37"/>
    </row>
    <row r="935" spans="1:10" x14ac:dyDescent="0.35">
      <c r="A935" s="35">
        <v>43845</v>
      </c>
      <c r="B935">
        <v>75.73</v>
      </c>
      <c r="C935" s="33">
        <f t="shared" si="28"/>
        <v>-4.3386799894819658E-3</v>
      </c>
      <c r="E935" s="34">
        <v>3289.29</v>
      </c>
      <c r="F935" s="33">
        <f t="shared" si="29"/>
        <v>1.8701551863301623E-3</v>
      </c>
      <c r="I935" s="37"/>
      <c r="J935" s="37"/>
    </row>
    <row r="936" spans="1:10" x14ac:dyDescent="0.35">
      <c r="A936" s="35">
        <v>43844</v>
      </c>
      <c r="B936">
        <v>76.06</v>
      </c>
      <c r="C936" s="33">
        <f t="shared" si="28"/>
        <v>-1.3488975356679535E-2</v>
      </c>
      <c r="E936" s="34">
        <v>3283.15</v>
      </c>
      <c r="F936" s="33">
        <f t="shared" si="29"/>
        <v>-1.5145386587513323E-3</v>
      </c>
      <c r="I936" s="37"/>
      <c r="J936" s="37"/>
    </row>
    <row r="937" spans="1:10" x14ac:dyDescent="0.35">
      <c r="A937" s="35">
        <v>43843</v>
      </c>
      <c r="B937">
        <v>77.099999999999994</v>
      </c>
      <c r="C937" s="33">
        <f t="shared" si="28"/>
        <v>2.1327328122930183E-2</v>
      </c>
      <c r="E937" s="34">
        <v>3288.13</v>
      </c>
      <c r="F937" s="33">
        <f t="shared" si="29"/>
        <v>6.9762812562206809E-3</v>
      </c>
      <c r="I937" s="37"/>
      <c r="J937" s="37"/>
    </row>
    <row r="938" spans="1:10" x14ac:dyDescent="0.35">
      <c r="A938" s="35">
        <v>43840</v>
      </c>
      <c r="B938">
        <v>75.489999999999995</v>
      </c>
      <c r="C938" s="33">
        <f t="shared" si="28"/>
        <v>2.257036643653767E-3</v>
      </c>
      <c r="E938" s="34">
        <v>3265.35</v>
      </c>
      <c r="F938" s="33">
        <f t="shared" si="29"/>
        <v>-2.8552233792408189E-3</v>
      </c>
      <c r="I938" s="37"/>
      <c r="J938" s="37"/>
    </row>
    <row r="939" spans="1:10" x14ac:dyDescent="0.35">
      <c r="A939" s="35">
        <v>43839</v>
      </c>
      <c r="B939">
        <v>75.319999999999993</v>
      </c>
      <c r="C939" s="33">
        <f t="shared" si="28"/>
        <v>2.1288135593220247E-2</v>
      </c>
      <c r="E939" s="34">
        <v>3274.7</v>
      </c>
      <c r="F939" s="33">
        <f t="shared" si="29"/>
        <v>6.6552927252884631E-3</v>
      </c>
      <c r="I939" s="37"/>
      <c r="J939" s="37"/>
    </row>
    <row r="940" spans="1:10" x14ac:dyDescent="0.35">
      <c r="A940" s="35">
        <v>43838</v>
      </c>
      <c r="B940">
        <v>73.75</v>
      </c>
      <c r="C940" s="33">
        <f t="shared" si="28"/>
        <v>1.6120143290162602E-2</v>
      </c>
      <c r="E940" s="34">
        <v>3253.05</v>
      </c>
      <c r="F940" s="33">
        <f t="shared" si="29"/>
        <v>4.9024150649640569E-3</v>
      </c>
      <c r="I940" s="37"/>
      <c r="J940" s="37"/>
    </row>
    <row r="941" spans="1:10" x14ac:dyDescent="0.35">
      <c r="A941" s="35">
        <v>43837</v>
      </c>
      <c r="B941">
        <v>72.58</v>
      </c>
      <c r="C941" s="33">
        <f t="shared" si="28"/>
        <v>-4.7991224461813864E-3</v>
      </c>
      <c r="E941" s="34">
        <v>3237.18</v>
      </c>
      <c r="F941" s="33">
        <f t="shared" si="29"/>
        <v>-2.8032085956850188E-3</v>
      </c>
      <c r="I941" s="37"/>
      <c r="J941" s="37"/>
    </row>
    <row r="942" spans="1:10" x14ac:dyDescent="0.35">
      <c r="A942" s="35">
        <v>43836</v>
      </c>
      <c r="B942">
        <v>72.930000000000007</v>
      </c>
      <c r="C942" s="33">
        <f t="shared" si="28"/>
        <v>8.0165860400831044E-3</v>
      </c>
      <c r="E942" s="34">
        <v>3246.28</v>
      </c>
      <c r="F942" s="33">
        <f t="shared" si="29"/>
        <v>3.5333941295578749E-3</v>
      </c>
      <c r="I942" s="37"/>
      <c r="J942" s="37"/>
    </row>
    <row r="943" spans="1:10" x14ac:dyDescent="0.35">
      <c r="A943" s="35">
        <v>43833</v>
      </c>
      <c r="B943">
        <v>72.349999999999994</v>
      </c>
      <c r="C943" s="33">
        <f t="shared" si="28"/>
        <v>-9.7180399671503957E-3</v>
      </c>
      <c r="E943" s="34">
        <v>3234.85</v>
      </c>
      <c r="F943" s="33">
        <f t="shared" si="29"/>
        <v>-7.0598707736697517E-3</v>
      </c>
      <c r="I943" s="37"/>
      <c r="J943" s="37"/>
    </row>
    <row r="944" spans="1:10" x14ac:dyDescent="0.35">
      <c r="A944" s="35">
        <v>43832</v>
      </c>
      <c r="B944">
        <v>73.06</v>
      </c>
      <c r="C944" s="33">
        <f t="shared" si="28"/>
        <v>2.2819543609127753E-2</v>
      </c>
      <c r="E944" s="34">
        <v>3257.85</v>
      </c>
      <c r="F944" s="33">
        <f t="shared" si="29"/>
        <v>8.3787815945374506E-3</v>
      </c>
      <c r="I944" s="37"/>
      <c r="J944" s="37"/>
    </row>
    <row r="945" spans="1:10" x14ac:dyDescent="0.35">
      <c r="A945" s="35">
        <v>43830</v>
      </c>
      <c r="B945">
        <v>71.430000000000007</v>
      </c>
      <c r="C945" s="33">
        <f t="shared" si="28"/>
        <v>7.3332393174447928E-3</v>
      </c>
      <c r="E945" s="34">
        <v>3230.78</v>
      </c>
      <c r="F945" s="33">
        <f t="shared" si="29"/>
        <v>2.9460247292234592E-3</v>
      </c>
      <c r="I945" s="37"/>
      <c r="J945" s="37"/>
    </row>
    <row r="946" spans="1:10" x14ac:dyDescent="0.35">
      <c r="A946" s="35">
        <v>43829</v>
      </c>
      <c r="B946">
        <v>70.91</v>
      </c>
      <c r="C946" s="33">
        <f t="shared" si="28"/>
        <v>5.9582919563058835E-3</v>
      </c>
      <c r="E946" s="34">
        <v>3221.29</v>
      </c>
      <c r="F946" s="33">
        <f t="shared" si="29"/>
        <v>-5.7808285134042436E-3</v>
      </c>
      <c r="I946" s="37"/>
      <c r="J946" s="37"/>
    </row>
    <row r="947" spans="1:10" x14ac:dyDescent="0.35">
      <c r="A947" s="35">
        <v>43826</v>
      </c>
      <c r="B947">
        <v>70.489999999999995</v>
      </c>
      <c r="C947" s="33">
        <f t="shared" si="28"/>
        <v>-4.2541123085651077E-4</v>
      </c>
      <c r="E947" s="34">
        <v>3240.02</v>
      </c>
      <c r="F947" s="33">
        <f t="shared" si="29"/>
        <v>3.3951560382889446E-5</v>
      </c>
      <c r="I947" s="37"/>
      <c r="J947" s="37"/>
    </row>
    <row r="948" spans="1:10" x14ac:dyDescent="0.35">
      <c r="A948" s="35">
        <v>43825</v>
      </c>
      <c r="B948">
        <v>70.52</v>
      </c>
      <c r="C948" s="33">
        <f t="shared" si="28"/>
        <v>1.9812002892263054E-2</v>
      </c>
      <c r="E948" s="34">
        <v>3239.91</v>
      </c>
      <c r="F948" s="33">
        <f t="shared" si="29"/>
        <v>5.128157399996198E-3</v>
      </c>
      <c r="I948" s="37"/>
      <c r="J948" s="37"/>
    </row>
    <row r="949" spans="1:10" x14ac:dyDescent="0.35">
      <c r="A949" s="35">
        <v>43823</v>
      </c>
      <c r="B949">
        <v>69.150000000000006</v>
      </c>
      <c r="C949" s="33">
        <f t="shared" si="28"/>
        <v>1.0133178922988909E-3</v>
      </c>
      <c r="E949" s="34">
        <v>3223.38</v>
      </c>
      <c r="F949" s="33">
        <f t="shared" si="29"/>
        <v>-1.9540882317365922E-4</v>
      </c>
      <c r="I949" s="37"/>
      <c r="J949" s="37"/>
    </row>
    <row r="950" spans="1:10" x14ac:dyDescent="0.35">
      <c r="A950" s="35">
        <v>43822</v>
      </c>
      <c r="B950">
        <v>69.08</v>
      </c>
      <c r="C950" s="33">
        <f t="shared" si="28"/>
        <v>1.633073414741797E-2</v>
      </c>
      <c r="E950" s="34">
        <v>3224.01</v>
      </c>
      <c r="F950" s="33">
        <f t="shared" si="29"/>
        <v>8.661314657180877E-4</v>
      </c>
      <c r="I950" s="37"/>
      <c r="J950" s="37"/>
    </row>
    <row r="951" spans="1:10" x14ac:dyDescent="0.35">
      <c r="A951" s="35">
        <v>43819</v>
      </c>
      <c r="B951">
        <v>67.97</v>
      </c>
      <c r="C951" s="33">
        <f t="shared" si="28"/>
        <v>-2.0554984583761645E-3</v>
      </c>
      <c r="E951" s="34">
        <v>3221.22</v>
      </c>
      <c r="F951" s="33">
        <f t="shared" si="29"/>
        <v>4.9448269622539391E-3</v>
      </c>
      <c r="I951" s="37"/>
      <c r="J951" s="37"/>
    </row>
    <row r="952" spans="1:10" x14ac:dyDescent="0.35">
      <c r="A952" s="35">
        <v>43818</v>
      </c>
      <c r="B952">
        <v>68.11</v>
      </c>
      <c r="C952" s="33">
        <f t="shared" si="28"/>
        <v>8.817046289493354E-4</v>
      </c>
      <c r="E952" s="34">
        <v>3205.37</v>
      </c>
      <c r="F952" s="33">
        <f t="shared" si="29"/>
        <v>4.4592214694435276E-3</v>
      </c>
      <c r="I952" s="37"/>
      <c r="J952" s="37"/>
    </row>
    <row r="953" spans="1:10" x14ac:dyDescent="0.35">
      <c r="A953" s="35">
        <v>43817</v>
      </c>
      <c r="B953">
        <v>68.05</v>
      </c>
      <c r="C953" s="33">
        <f t="shared" si="28"/>
        <v>-2.3456971118603811E-3</v>
      </c>
      <c r="E953" s="34">
        <v>3191.14</v>
      </c>
      <c r="F953" s="33">
        <f t="shared" si="29"/>
        <v>-4.3226040870538292E-4</v>
      </c>
      <c r="I953" s="37"/>
      <c r="J953" s="37"/>
    </row>
    <row r="954" spans="1:10" x14ac:dyDescent="0.35">
      <c r="A954" s="35">
        <v>43816</v>
      </c>
      <c r="B954">
        <v>68.209999999999994</v>
      </c>
      <c r="C954" s="33">
        <f t="shared" si="28"/>
        <v>1.9095182138659731E-3</v>
      </c>
      <c r="E954" s="34">
        <v>3192.52</v>
      </c>
      <c r="F954" s="33">
        <f t="shared" si="29"/>
        <v>3.3527080167327196E-4</v>
      </c>
      <c r="I954" s="37"/>
      <c r="J954" s="37"/>
    </row>
    <row r="955" spans="1:10" x14ac:dyDescent="0.35">
      <c r="A955" s="35">
        <v>43815</v>
      </c>
      <c r="B955">
        <v>68.08</v>
      </c>
      <c r="C955" s="33">
        <f t="shared" si="28"/>
        <v>1.7182130584192309E-2</v>
      </c>
      <c r="E955" s="34">
        <v>3191.45</v>
      </c>
      <c r="F955" s="33">
        <f t="shared" si="29"/>
        <v>7.1478162080281602E-3</v>
      </c>
      <c r="I955" s="37"/>
      <c r="J955" s="37"/>
    </row>
    <row r="956" spans="1:10" x14ac:dyDescent="0.35">
      <c r="A956" s="35">
        <v>43812</v>
      </c>
      <c r="B956">
        <v>66.930000000000007</v>
      </c>
      <c r="C956" s="33">
        <f t="shared" si="28"/>
        <v>1.363016810540672E-2</v>
      </c>
      <c r="E956" s="34">
        <v>3168.8</v>
      </c>
      <c r="F956" s="33">
        <f t="shared" si="29"/>
        <v>7.2587949769144491E-5</v>
      </c>
      <c r="I956" s="37"/>
      <c r="J956" s="37"/>
    </row>
    <row r="957" spans="1:10" x14ac:dyDescent="0.35">
      <c r="A957" s="35">
        <v>43811</v>
      </c>
      <c r="B957">
        <v>66.03</v>
      </c>
      <c r="C957" s="33">
        <f t="shared" si="28"/>
        <v>2.5812329183115957E-3</v>
      </c>
      <c r="E957" s="34">
        <v>3168.57</v>
      </c>
      <c r="F957" s="33">
        <f t="shared" si="29"/>
        <v>8.5751663945149662E-3</v>
      </c>
      <c r="I957" s="37"/>
      <c r="J957" s="37"/>
    </row>
    <row r="958" spans="1:10" x14ac:dyDescent="0.35">
      <c r="A958" s="35">
        <v>43810</v>
      </c>
      <c r="B958">
        <v>65.86</v>
      </c>
      <c r="C958" s="33">
        <f t="shared" si="28"/>
        <v>8.4213749808604681E-3</v>
      </c>
      <c r="E958" s="34">
        <v>3141.63</v>
      </c>
      <c r="F958" s="33">
        <f t="shared" si="29"/>
        <v>2.9082017034209287E-3</v>
      </c>
      <c r="I958" s="37"/>
      <c r="J958" s="37"/>
    </row>
    <row r="959" spans="1:10" x14ac:dyDescent="0.35">
      <c r="A959" s="35">
        <v>43809</v>
      </c>
      <c r="B959">
        <v>65.31</v>
      </c>
      <c r="C959" s="33">
        <f t="shared" si="28"/>
        <v>5.8524564916062746E-3</v>
      </c>
      <c r="E959" s="34">
        <v>3132.52</v>
      </c>
      <c r="F959" s="33">
        <f t="shared" si="29"/>
        <v>-1.0969527672547018E-3</v>
      </c>
      <c r="I959" s="37"/>
      <c r="J959" s="37"/>
    </row>
    <row r="960" spans="1:10" x14ac:dyDescent="0.35">
      <c r="A960" s="35">
        <v>43808</v>
      </c>
      <c r="B960">
        <v>64.930000000000007</v>
      </c>
      <c r="C960" s="33">
        <f t="shared" si="28"/>
        <v>-1.3971146545178247E-2</v>
      </c>
      <c r="E960" s="34">
        <v>3135.96</v>
      </c>
      <c r="F960" s="33">
        <f t="shared" si="29"/>
        <v>-3.1628368262282833E-3</v>
      </c>
      <c r="I960" s="37"/>
      <c r="J960" s="37"/>
    </row>
    <row r="961" spans="1:10" x14ac:dyDescent="0.35">
      <c r="A961" s="35">
        <v>43805</v>
      </c>
      <c r="B961">
        <v>65.849999999999994</v>
      </c>
      <c r="C961" s="33">
        <f t="shared" si="28"/>
        <v>1.9349845201238391E-2</v>
      </c>
      <c r="E961" s="34">
        <v>3145.91</v>
      </c>
      <c r="F961" s="33">
        <f t="shared" si="29"/>
        <v>9.135730393304748E-3</v>
      </c>
      <c r="I961" s="37"/>
      <c r="J961" s="37"/>
    </row>
    <row r="962" spans="1:10" x14ac:dyDescent="0.35">
      <c r="A962" s="35">
        <v>43804</v>
      </c>
      <c r="B962">
        <v>64.599999999999994</v>
      </c>
      <c r="C962" s="33">
        <f t="shared" ref="C962:C1025" si="30">(B962-B963)/B963</f>
        <v>1.460656510130348E-2</v>
      </c>
      <c r="E962" s="34">
        <v>3117.43</v>
      </c>
      <c r="F962" s="33">
        <f t="shared" ref="F962:F1025" si="31">(E962-E963)/E963</f>
        <v>1.5002762821417705E-3</v>
      </c>
      <c r="I962" s="37"/>
      <c r="J962" s="37"/>
    </row>
    <row r="963" spans="1:10" x14ac:dyDescent="0.35">
      <c r="A963" s="35">
        <v>43803</v>
      </c>
      <c r="B963">
        <v>63.67</v>
      </c>
      <c r="C963" s="33">
        <f t="shared" si="30"/>
        <v>8.8733956583743039E-3</v>
      </c>
      <c r="E963" s="34">
        <v>3112.76</v>
      </c>
      <c r="F963" s="33">
        <f t="shared" si="31"/>
        <v>6.3235484288117162E-3</v>
      </c>
      <c r="I963" s="37"/>
      <c r="J963" s="37"/>
    </row>
    <row r="964" spans="1:10" x14ac:dyDescent="0.35">
      <c r="A964" s="35">
        <v>43802</v>
      </c>
      <c r="B964">
        <v>63.11</v>
      </c>
      <c r="C964" s="33">
        <f t="shared" si="30"/>
        <v>-1.78960473078121E-2</v>
      </c>
      <c r="E964" s="34">
        <v>3093.2</v>
      </c>
      <c r="F964" s="33">
        <f t="shared" si="31"/>
        <v>-6.638042050567324E-3</v>
      </c>
      <c r="I964" s="37"/>
      <c r="J964" s="37"/>
    </row>
    <row r="965" spans="1:10" x14ac:dyDescent="0.35">
      <c r="A965" s="35">
        <v>43801</v>
      </c>
      <c r="B965">
        <v>64.260000000000005</v>
      </c>
      <c r="C965" s="33">
        <f t="shared" si="30"/>
        <v>-1.1536686663590217E-2</v>
      </c>
      <c r="E965" s="34">
        <v>3113.87</v>
      </c>
      <c r="F965" s="33">
        <f t="shared" si="31"/>
        <v>-8.6310641901572518E-3</v>
      </c>
      <c r="I965" s="37"/>
      <c r="J965" s="37"/>
    </row>
    <row r="966" spans="1:10" x14ac:dyDescent="0.35">
      <c r="A966" s="35">
        <v>43798</v>
      </c>
      <c r="B966">
        <v>65.010000000000005</v>
      </c>
      <c r="C966" s="33">
        <f t="shared" si="30"/>
        <v>-2.1488871834228788E-3</v>
      </c>
      <c r="E966" s="34">
        <v>3140.98</v>
      </c>
      <c r="F966" s="33">
        <f t="shared" si="31"/>
        <v>-4.0112505271703057E-3</v>
      </c>
      <c r="I966" s="37"/>
      <c r="J966" s="37"/>
    </row>
    <row r="967" spans="1:10" x14ac:dyDescent="0.35">
      <c r="A967" s="35">
        <v>43796</v>
      </c>
      <c r="B967">
        <v>65.150000000000006</v>
      </c>
      <c r="C967" s="33">
        <f t="shared" si="30"/>
        <v>1.3376885985378742E-2</v>
      </c>
      <c r="E967" s="34">
        <v>3153.63</v>
      </c>
      <c r="F967" s="33">
        <f t="shared" si="31"/>
        <v>4.1744679225096887E-3</v>
      </c>
      <c r="I967" s="37"/>
      <c r="J967" s="37"/>
    </row>
    <row r="968" spans="1:10" x14ac:dyDescent="0.35">
      <c r="A968" s="35">
        <v>43795</v>
      </c>
      <c r="B968">
        <v>64.290000000000006</v>
      </c>
      <c r="C968" s="33">
        <f t="shared" si="30"/>
        <v>-7.7172403148634038E-3</v>
      </c>
      <c r="E968" s="34">
        <v>3140.52</v>
      </c>
      <c r="F968" s="33">
        <f t="shared" si="31"/>
        <v>2.1955297992111759E-3</v>
      </c>
      <c r="I968" s="37"/>
      <c r="J968" s="37"/>
    </row>
    <row r="969" spans="1:10" x14ac:dyDescent="0.35">
      <c r="A969" s="35">
        <v>43794</v>
      </c>
      <c r="B969">
        <v>64.790000000000006</v>
      </c>
      <c r="C969" s="33">
        <f t="shared" si="30"/>
        <v>1.7430904522613169E-2</v>
      </c>
      <c r="E969" s="34">
        <v>3133.64</v>
      </c>
      <c r="F969" s="33">
        <f t="shared" si="31"/>
        <v>7.5073385439942608E-3</v>
      </c>
      <c r="I969" s="37"/>
      <c r="J969" s="37"/>
    </row>
    <row r="970" spans="1:10" x14ac:dyDescent="0.35">
      <c r="A970" s="35">
        <v>43791</v>
      </c>
      <c r="B970">
        <v>63.68</v>
      </c>
      <c r="C970" s="33">
        <f t="shared" si="30"/>
        <v>-7.845598619174197E-4</v>
      </c>
      <c r="E970" s="34">
        <v>3110.29</v>
      </c>
      <c r="F970" s="33">
        <f t="shared" si="31"/>
        <v>2.1749357185665403E-3</v>
      </c>
      <c r="I970" s="37"/>
      <c r="J970" s="37"/>
    </row>
    <row r="971" spans="1:10" x14ac:dyDescent="0.35">
      <c r="A971" s="35">
        <v>43790</v>
      </c>
      <c r="B971">
        <v>63.73</v>
      </c>
      <c r="C971" s="33">
        <f t="shared" si="30"/>
        <v>-4.5298344267416298E-3</v>
      </c>
      <c r="E971" s="34">
        <v>3103.54</v>
      </c>
      <c r="F971" s="33">
        <f t="shared" si="31"/>
        <v>-1.5827773238195353E-3</v>
      </c>
      <c r="I971" s="37"/>
      <c r="J971" s="37"/>
    </row>
    <row r="972" spans="1:10" x14ac:dyDescent="0.35">
      <c r="A972" s="35">
        <v>43789</v>
      </c>
      <c r="B972">
        <v>64.02</v>
      </c>
      <c r="C972" s="33">
        <f t="shared" si="30"/>
        <v>-1.1579434923575731E-2</v>
      </c>
      <c r="E972" s="34">
        <v>3108.46</v>
      </c>
      <c r="F972" s="33">
        <f t="shared" si="31"/>
        <v>-3.7561935529359844E-3</v>
      </c>
      <c r="I972" s="37"/>
      <c r="J972" s="37"/>
    </row>
    <row r="973" spans="1:10" x14ac:dyDescent="0.35">
      <c r="A973" s="35">
        <v>43788</v>
      </c>
      <c r="B973">
        <v>64.77</v>
      </c>
      <c r="C973" s="33">
        <f t="shared" si="30"/>
        <v>-3.0783438510082013E-3</v>
      </c>
      <c r="E973" s="34">
        <v>3120.18</v>
      </c>
      <c r="F973" s="33">
        <f t="shared" si="31"/>
        <v>-5.9256317203882204E-4</v>
      </c>
      <c r="I973" s="37"/>
      <c r="J973" s="37"/>
    </row>
    <row r="974" spans="1:10" x14ac:dyDescent="0.35">
      <c r="A974" s="35">
        <v>43787</v>
      </c>
      <c r="B974">
        <v>64.97</v>
      </c>
      <c r="C974" s="33">
        <f t="shared" si="30"/>
        <v>4.9497293116781615E-3</v>
      </c>
      <c r="E974" s="34">
        <v>3122.03</v>
      </c>
      <c r="F974" s="33">
        <f t="shared" si="31"/>
        <v>5.0313094864223981E-4</v>
      </c>
      <c r="I974" s="37"/>
      <c r="J974" s="37"/>
    </row>
    <row r="975" spans="1:10" x14ac:dyDescent="0.35">
      <c r="A975" s="35">
        <v>43784</v>
      </c>
      <c r="B975">
        <v>64.650000000000006</v>
      </c>
      <c r="C975" s="33">
        <f t="shared" si="30"/>
        <v>1.1895445296603618E-2</v>
      </c>
      <c r="E975" s="34">
        <v>3120.46</v>
      </c>
      <c r="F975" s="33">
        <f t="shared" si="31"/>
        <v>7.6954624866386774E-3</v>
      </c>
      <c r="I975" s="37"/>
      <c r="J975" s="37"/>
    </row>
    <row r="976" spans="1:10" x14ac:dyDescent="0.35">
      <c r="A976" s="35">
        <v>43783</v>
      </c>
      <c r="B976">
        <v>63.89</v>
      </c>
      <c r="C976" s="33">
        <f t="shared" si="30"/>
        <v>-6.8397326286335726E-3</v>
      </c>
      <c r="E976" s="34">
        <v>3096.63</v>
      </c>
      <c r="F976" s="33">
        <f t="shared" si="31"/>
        <v>8.3709325024891265E-4</v>
      </c>
      <c r="I976" s="37"/>
      <c r="J976" s="37"/>
    </row>
    <row r="977" spans="1:10" x14ac:dyDescent="0.35">
      <c r="A977" s="35">
        <v>43782</v>
      </c>
      <c r="B977">
        <v>64.33</v>
      </c>
      <c r="C977" s="33">
        <f t="shared" si="30"/>
        <v>9.5731324544883773E-3</v>
      </c>
      <c r="E977" s="34">
        <v>3094.04</v>
      </c>
      <c r="F977" s="33">
        <f t="shared" si="31"/>
        <v>7.1155040364307917E-4</v>
      </c>
      <c r="I977" s="37"/>
      <c r="J977" s="37"/>
    </row>
    <row r="978" spans="1:10" x14ac:dyDescent="0.35">
      <c r="A978" s="35">
        <v>43781</v>
      </c>
      <c r="B978">
        <v>63.72</v>
      </c>
      <c r="C978" s="33">
        <f t="shared" si="30"/>
        <v>-9.4073377234246268E-4</v>
      </c>
      <c r="E978" s="34">
        <v>3091.84</v>
      </c>
      <c r="F978" s="33">
        <f t="shared" si="31"/>
        <v>1.5646207819216417E-3</v>
      </c>
      <c r="I978" s="37"/>
      <c r="J978" s="37"/>
    </row>
    <row r="979" spans="1:10" x14ac:dyDescent="0.35">
      <c r="A979" s="35">
        <v>43780</v>
      </c>
      <c r="B979">
        <v>63.78</v>
      </c>
      <c r="C979" s="33">
        <f t="shared" si="30"/>
        <v>7.9013906447534758E-3</v>
      </c>
      <c r="E979" s="34">
        <v>3087.01</v>
      </c>
      <c r="F979" s="33">
        <f t="shared" si="31"/>
        <v>-1.9624452002533748E-3</v>
      </c>
      <c r="I979" s="37"/>
      <c r="J979" s="37"/>
    </row>
    <row r="980" spans="1:10" x14ac:dyDescent="0.35">
      <c r="A980" s="35">
        <v>43777</v>
      </c>
      <c r="B980">
        <v>63.28</v>
      </c>
      <c r="C980" s="33">
        <f t="shared" si="30"/>
        <v>2.6937093962922155E-3</v>
      </c>
      <c r="E980" s="34">
        <v>3093.08</v>
      </c>
      <c r="F980" s="33">
        <f t="shared" si="31"/>
        <v>2.5606285532773099E-3</v>
      </c>
      <c r="I980" s="37"/>
      <c r="J980" s="37"/>
    </row>
    <row r="981" spans="1:10" x14ac:dyDescent="0.35">
      <c r="A981" s="35">
        <v>43776</v>
      </c>
      <c r="B981">
        <v>63.11</v>
      </c>
      <c r="C981" s="33">
        <f t="shared" si="30"/>
        <v>1.1540310947267172E-2</v>
      </c>
      <c r="E981" s="34">
        <v>3085.18</v>
      </c>
      <c r="F981" s="33">
        <f t="shared" si="31"/>
        <v>2.7301269509030987E-3</v>
      </c>
      <c r="I981" s="37"/>
      <c r="J981" s="37"/>
    </row>
    <row r="982" spans="1:10" x14ac:dyDescent="0.35">
      <c r="A982" s="35">
        <v>43775</v>
      </c>
      <c r="B982">
        <v>62.39</v>
      </c>
      <c r="C982" s="33">
        <f t="shared" si="30"/>
        <v>4.8107761385505349E-4</v>
      </c>
      <c r="E982" s="34">
        <v>3076.78</v>
      </c>
      <c r="F982" s="33">
        <f t="shared" si="31"/>
        <v>7.0252584059178342E-4</v>
      </c>
      <c r="I982" s="37"/>
      <c r="J982" s="37"/>
    </row>
    <row r="983" spans="1:10" x14ac:dyDescent="0.35">
      <c r="A983" s="35">
        <v>43774</v>
      </c>
      <c r="B983">
        <v>62.36</v>
      </c>
      <c r="C983" s="33">
        <f t="shared" si="30"/>
        <v>-1.4411529223379248E-3</v>
      </c>
      <c r="E983" s="34">
        <v>3074.62</v>
      </c>
      <c r="F983" s="33">
        <f t="shared" si="31"/>
        <v>-1.1857309462782962E-3</v>
      </c>
      <c r="I983" s="37"/>
      <c r="J983" s="37"/>
    </row>
    <row r="984" spans="1:10" x14ac:dyDescent="0.35">
      <c r="A984" s="35">
        <v>43773</v>
      </c>
      <c r="B984">
        <v>62.45</v>
      </c>
      <c r="C984" s="33">
        <f t="shared" si="30"/>
        <v>6.6086395873630509E-3</v>
      </c>
      <c r="E984" s="34">
        <v>3078.27</v>
      </c>
      <c r="F984" s="33">
        <f t="shared" si="31"/>
        <v>3.7040539174609389E-3</v>
      </c>
      <c r="I984" s="37"/>
      <c r="J984" s="37"/>
    </row>
    <row r="985" spans="1:10" x14ac:dyDescent="0.35">
      <c r="A985" s="35">
        <v>43770</v>
      </c>
      <c r="B985">
        <v>62.04</v>
      </c>
      <c r="C985" s="33">
        <f t="shared" si="30"/>
        <v>2.8344107409249145E-2</v>
      </c>
      <c r="E985" s="34">
        <v>3066.91</v>
      </c>
      <c r="F985" s="33">
        <f t="shared" si="31"/>
        <v>9.6623605788856547E-3</v>
      </c>
      <c r="I985" s="37"/>
      <c r="J985" s="37"/>
    </row>
    <row r="986" spans="1:10" x14ac:dyDescent="0.35">
      <c r="A986" s="35">
        <v>43769</v>
      </c>
      <c r="B986">
        <v>60.33</v>
      </c>
      <c r="C986" s="33">
        <f t="shared" si="30"/>
        <v>2.2542372881355903E-2</v>
      </c>
      <c r="E986" s="34">
        <v>3037.56</v>
      </c>
      <c r="F986" s="33">
        <f t="shared" si="31"/>
        <v>-3.0228734036373064E-3</v>
      </c>
      <c r="I986" s="37"/>
      <c r="J986" s="37"/>
    </row>
    <row r="987" spans="1:10" x14ac:dyDescent="0.35">
      <c r="A987" s="35">
        <v>43768</v>
      </c>
      <c r="B987">
        <v>59</v>
      </c>
      <c r="C987" s="33">
        <f t="shared" si="30"/>
        <v>0</v>
      </c>
      <c r="E987" s="34">
        <v>3046.77</v>
      </c>
      <c r="F987" s="33">
        <f t="shared" si="31"/>
        <v>3.2533282404038702E-3</v>
      </c>
      <c r="I987" s="37"/>
      <c r="J987" s="37"/>
    </row>
    <row r="988" spans="1:10" x14ac:dyDescent="0.35">
      <c r="A988" s="35">
        <v>43767</v>
      </c>
      <c r="B988">
        <v>59</v>
      </c>
      <c r="C988" s="33">
        <f t="shared" si="30"/>
        <v>-2.3178807947019844E-2</v>
      </c>
      <c r="E988" s="34">
        <v>3036.89</v>
      </c>
      <c r="F988" s="33">
        <f t="shared" si="31"/>
        <v>-8.3239565443413545E-4</v>
      </c>
      <c r="I988" s="37"/>
      <c r="J988" s="37"/>
    </row>
    <row r="989" spans="1:10" x14ac:dyDescent="0.35">
      <c r="A989" s="35">
        <v>43766</v>
      </c>
      <c r="B989">
        <v>60.4</v>
      </c>
      <c r="C989" s="33">
        <f t="shared" si="30"/>
        <v>1.0033444816053536E-2</v>
      </c>
      <c r="E989" s="34">
        <v>3039.42</v>
      </c>
      <c r="F989" s="33">
        <f t="shared" si="31"/>
        <v>5.5813799606292333E-3</v>
      </c>
      <c r="I989" s="37"/>
      <c r="J989" s="37"/>
    </row>
    <row r="990" spans="1:10" x14ac:dyDescent="0.35">
      <c r="A990" s="35">
        <v>43763</v>
      </c>
      <c r="B990">
        <v>59.8</v>
      </c>
      <c r="C990" s="33">
        <f t="shared" si="30"/>
        <v>1.2358219062129625E-2</v>
      </c>
      <c r="E990" s="34">
        <v>3022.55</v>
      </c>
      <c r="F990" s="33">
        <f t="shared" si="31"/>
        <v>4.0726973148767125E-3</v>
      </c>
      <c r="I990" s="37"/>
      <c r="J990" s="37"/>
    </row>
    <row r="991" spans="1:10" x14ac:dyDescent="0.35">
      <c r="A991" s="35">
        <v>43762</v>
      </c>
      <c r="B991">
        <v>59.07</v>
      </c>
      <c r="C991" s="33">
        <f t="shared" si="30"/>
        <v>1.5259409969481759E-3</v>
      </c>
      <c r="E991" s="34">
        <v>3010.29</v>
      </c>
      <c r="F991" s="33">
        <f t="shared" si="31"/>
        <v>1.9204398705949643E-3</v>
      </c>
      <c r="I991" s="37"/>
      <c r="J991" s="37"/>
    </row>
    <row r="992" spans="1:10" x14ac:dyDescent="0.35">
      <c r="A992" s="35">
        <v>43761</v>
      </c>
      <c r="B992">
        <v>58.98</v>
      </c>
      <c r="C992" s="33">
        <f t="shared" si="30"/>
        <v>1.3576215844646832E-2</v>
      </c>
      <c r="E992" s="34">
        <v>3004.52</v>
      </c>
      <c r="F992" s="33">
        <f t="shared" si="31"/>
        <v>2.847139009142287E-3</v>
      </c>
      <c r="I992" s="37"/>
      <c r="J992" s="37"/>
    </row>
    <row r="993" spans="1:10" x14ac:dyDescent="0.35">
      <c r="A993" s="35">
        <v>43760</v>
      </c>
      <c r="B993">
        <v>58.19</v>
      </c>
      <c r="C993" s="33">
        <f t="shared" si="30"/>
        <v>-2.4001371506943352E-3</v>
      </c>
      <c r="E993" s="34">
        <v>2995.99</v>
      </c>
      <c r="F993" s="33">
        <f t="shared" si="31"/>
        <v>-3.5686728395061791E-3</v>
      </c>
      <c r="I993" s="37"/>
      <c r="J993" s="37"/>
    </row>
    <row r="994" spans="1:10" x14ac:dyDescent="0.35">
      <c r="A994" s="35">
        <v>43759</v>
      </c>
      <c r="B994">
        <v>58.33</v>
      </c>
      <c r="C994" s="33">
        <f t="shared" si="30"/>
        <v>1.7442874585731728E-2</v>
      </c>
      <c r="E994" s="34">
        <v>3006.72</v>
      </c>
      <c r="F994" s="33">
        <f t="shared" si="31"/>
        <v>6.8716094032549675E-3</v>
      </c>
      <c r="I994" s="37"/>
      <c r="J994" s="37"/>
    </row>
    <row r="995" spans="1:10" x14ac:dyDescent="0.35">
      <c r="A995" s="35">
        <v>43756</v>
      </c>
      <c r="B995">
        <v>57.33</v>
      </c>
      <c r="C995" s="33">
        <f t="shared" si="30"/>
        <v>4.7318611987381002E-3</v>
      </c>
      <c r="E995" s="34">
        <v>2986.2</v>
      </c>
      <c r="F995" s="33">
        <f t="shared" si="31"/>
        <v>-3.9193448856718761E-3</v>
      </c>
      <c r="I995" s="37"/>
      <c r="J995" s="37"/>
    </row>
    <row r="996" spans="1:10" x14ac:dyDescent="0.35">
      <c r="A996" s="35">
        <v>43755</v>
      </c>
      <c r="B996">
        <v>57.06</v>
      </c>
      <c r="C996" s="33">
        <f t="shared" si="30"/>
        <v>3.8705137227304513E-3</v>
      </c>
      <c r="E996" s="34">
        <v>2997.95</v>
      </c>
      <c r="F996" s="33">
        <f t="shared" si="31"/>
        <v>2.7628282530963956E-3</v>
      </c>
      <c r="I996" s="37"/>
      <c r="J996" s="37"/>
    </row>
    <row r="997" spans="1:10" x14ac:dyDescent="0.35">
      <c r="A997" s="35">
        <v>43754</v>
      </c>
      <c r="B997">
        <v>56.84</v>
      </c>
      <c r="C997" s="33">
        <f t="shared" si="30"/>
        <v>-4.0301384264937248E-3</v>
      </c>
      <c r="E997" s="34">
        <v>2989.69</v>
      </c>
      <c r="F997" s="33">
        <f t="shared" si="31"/>
        <v>-1.9995460129252065E-3</v>
      </c>
      <c r="I997" s="37"/>
      <c r="J997" s="37"/>
    </row>
    <row r="998" spans="1:10" x14ac:dyDescent="0.35">
      <c r="A998" s="35">
        <v>43753</v>
      </c>
      <c r="B998">
        <v>57.07</v>
      </c>
      <c r="C998" s="33">
        <f t="shared" si="30"/>
        <v>-2.2727272727273173E-3</v>
      </c>
      <c r="E998" s="34">
        <v>2995.68</v>
      </c>
      <c r="F998" s="33">
        <f t="shared" si="31"/>
        <v>9.9556664362893798E-3</v>
      </c>
      <c r="I998" s="37"/>
      <c r="J998" s="37"/>
    </row>
    <row r="999" spans="1:10" x14ac:dyDescent="0.35">
      <c r="A999" s="35">
        <v>43752</v>
      </c>
      <c r="B999">
        <v>57.2</v>
      </c>
      <c r="C999" s="33">
        <f t="shared" si="30"/>
        <v>-1.5709547914120492E-3</v>
      </c>
      <c r="E999" s="34">
        <v>2966.15</v>
      </c>
      <c r="F999" s="33">
        <f t="shared" si="31"/>
        <v>-1.3870792890881606E-3</v>
      </c>
      <c r="I999" s="37"/>
      <c r="J999" s="37"/>
    </row>
    <row r="1000" spans="1:10" x14ac:dyDescent="0.35">
      <c r="A1000" s="35">
        <v>43749</v>
      </c>
      <c r="B1000">
        <v>57.29</v>
      </c>
      <c r="C1000" s="33">
        <f t="shared" si="30"/>
        <v>2.6702508960573513E-2</v>
      </c>
      <c r="E1000" s="34">
        <v>2970.27</v>
      </c>
      <c r="F1000" s="33">
        <f t="shared" si="31"/>
        <v>1.0938930544257699E-2</v>
      </c>
      <c r="I1000" s="37"/>
      <c r="J1000" s="37"/>
    </row>
    <row r="1001" spans="1:10" x14ac:dyDescent="0.35">
      <c r="A1001" s="35">
        <v>43748</v>
      </c>
      <c r="B1001">
        <v>55.8</v>
      </c>
      <c r="C1001" s="33">
        <f t="shared" si="30"/>
        <v>1.3439883763167361E-2</v>
      </c>
      <c r="E1001" s="34">
        <v>2938.13</v>
      </c>
      <c r="F1001" s="33">
        <f t="shared" si="31"/>
        <v>6.4157018565458718E-3</v>
      </c>
      <c r="I1001" s="37"/>
      <c r="J1001" s="37"/>
    </row>
    <row r="1002" spans="1:10" x14ac:dyDescent="0.35">
      <c r="A1002" s="35">
        <v>43747</v>
      </c>
      <c r="B1002">
        <v>55.06</v>
      </c>
      <c r="C1002" s="33">
        <f t="shared" si="30"/>
        <v>1.1760382212421913E-2</v>
      </c>
      <c r="E1002" s="34">
        <v>2919.4</v>
      </c>
      <c r="F1002" s="33">
        <f t="shared" si="31"/>
        <v>9.1045467428951168E-3</v>
      </c>
      <c r="I1002" s="37"/>
      <c r="J1002" s="37"/>
    </row>
    <row r="1003" spans="1:10" x14ac:dyDescent="0.35">
      <c r="A1003" s="35">
        <v>43746</v>
      </c>
      <c r="B1003">
        <v>54.42</v>
      </c>
      <c r="C1003" s="33">
        <f t="shared" si="30"/>
        <v>-1.1803159615035384E-2</v>
      </c>
      <c r="E1003" s="34">
        <v>2893.06</v>
      </c>
      <c r="F1003" s="33">
        <f t="shared" si="31"/>
        <v>-1.5560826054260433E-2</v>
      </c>
      <c r="I1003" s="37"/>
      <c r="J1003" s="37"/>
    </row>
    <row r="1004" spans="1:10" x14ac:dyDescent="0.35">
      <c r="A1004" s="35">
        <v>43745</v>
      </c>
      <c r="B1004">
        <v>55.07</v>
      </c>
      <c r="C1004" s="33">
        <f t="shared" si="30"/>
        <v>3.6330608537698687E-4</v>
      </c>
      <c r="E1004" s="34">
        <v>2938.79</v>
      </c>
      <c r="F1004" s="33">
        <f t="shared" si="31"/>
        <v>-4.4783046127893382E-3</v>
      </c>
      <c r="I1004" s="37"/>
      <c r="J1004" s="37"/>
    </row>
    <row r="1005" spans="1:10" x14ac:dyDescent="0.35">
      <c r="A1005" s="35">
        <v>43742</v>
      </c>
      <c r="B1005">
        <v>55.05</v>
      </c>
      <c r="C1005" s="33">
        <f t="shared" si="30"/>
        <v>2.8011204481792718E-2</v>
      </c>
      <c r="E1005" s="34">
        <v>2952.01</v>
      </c>
      <c r="F1005" s="33">
        <f t="shared" si="31"/>
        <v>1.4216853396000215E-2</v>
      </c>
      <c r="I1005" s="37"/>
      <c r="J1005" s="37"/>
    </row>
    <row r="1006" spans="1:10" x14ac:dyDescent="0.35">
      <c r="A1006" s="35">
        <v>43741</v>
      </c>
      <c r="B1006">
        <v>53.55</v>
      </c>
      <c r="C1006" s="33">
        <f t="shared" si="30"/>
        <v>8.4745762711863609E-3</v>
      </c>
      <c r="E1006" s="34">
        <v>2910.63</v>
      </c>
      <c r="F1006" s="33">
        <f t="shared" si="31"/>
        <v>7.9719906774114169E-3</v>
      </c>
      <c r="I1006" s="37"/>
      <c r="J1006" s="37"/>
    </row>
    <row r="1007" spans="1:10" x14ac:dyDescent="0.35">
      <c r="A1007" s="35">
        <v>43740</v>
      </c>
      <c r="B1007">
        <v>53.1</v>
      </c>
      <c r="C1007" s="33">
        <f t="shared" si="30"/>
        <v>-2.5151459519001239E-2</v>
      </c>
      <c r="E1007" s="34">
        <v>2887.61</v>
      </c>
      <c r="F1007" s="33">
        <f t="shared" si="31"/>
        <v>-1.7903239520448897E-2</v>
      </c>
      <c r="I1007" s="37"/>
      <c r="J1007" s="37"/>
    </row>
    <row r="1008" spans="1:10" x14ac:dyDescent="0.35">
      <c r="A1008" s="35">
        <v>43739</v>
      </c>
      <c r="B1008">
        <v>54.47</v>
      </c>
      <c r="C1008" s="33">
        <f t="shared" si="30"/>
        <v>2.7614138438880444E-3</v>
      </c>
      <c r="E1008" s="34">
        <v>2940.25</v>
      </c>
      <c r="F1008" s="33">
        <f t="shared" si="31"/>
        <v>-1.225837661334204E-2</v>
      </c>
      <c r="I1008" s="37"/>
      <c r="J1008" s="37"/>
    </row>
    <row r="1009" spans="1:10" x14ac:dyDescent="0.35">
      <c r="A1009" s="35">
        <v>43738</v>
      </c>
      <c r="B1009">
        <v>54.32</v>
      </c>
      <c r="C1009" s="33">
        <f t="shared" si="30"/>
        <v>2.3553796872055777E-2</v>
      </c>
      <c r="E1009" s="34">
        <v>2976.74</v>
      </c>
      <c r="F1009" s="33">
        <f t="shared" si="31"/>
        <v>5.047623227845262E-3</v>
      </c>
      <c r="I1009" s="37"/>
      <c r="J1009" s="37"/>
    </row>
    <row r="1010" spans="1:10" x14ac:dyDescent="0.35">
      <c r="A1010" s="35">
        <v>43735</v>
      </c>
      <c r="B1010">
        <v>53.07</v>
      </c>
      <c r="C1010" s="33">
        <f t="shared" si="30"/>
        <v>-4.8753047065441223E-3</v>
      </c>
      <c r="E1010" s="34">
        <v>2961.79</v>
      </c>
      <c r="F1010" s="33">
        <f t="shared" si="31"/>
        <v>-5.3163264620737123E-3</v>
      </c>
      <c r="I1010" s="37"/>
      <c r="J1010" s="37"/>
    </row>
    <row r="1011" spans="1:10" x14ac:dyDescent="0.35">
      <c r="A1011" s="35">
        <v>43734</v>
      </c>
      <c r="B1011">
        <v>53.33</v>
      </c>
      <c r="C1011" s="33">
        <f t="shared" si="30"/>
        <v>-5.037313432835879E-3</v>
      </c>
      <c r="E1011" s="34">
        <v>2977.62</v>
      </c>
      <c r="F1011" s="33">
        <f t="shared" si="31"/>
        <v>-2.4289165022262278E-3</v>
      </c>
      <c r="I1011" s="37"/>
      <c r="J1011" s="37"/>
    </row>
    <row r="1012" spans="1:10" x14ac:dyDescent="0.35">
      <c r="A1012" s="35">
        <v>43733</v>
      </c>
      <c r="B1012">
        <v>53.6</v>
      </c>
      <c r="C1012" s="33">
        <f t="shared" si="30"/>
        <v>1.534381511649938E-2</v>
      </c>
      <c r="E1012" s="34">
        <v>2984.87</v>
      </c>
      <c r="F1012" s="33">
        <f t="shared" si="31"/>
        <v>6.1585653610193424E-3</v>
      </c>
      <c r="I1012" s="37"/>
      <c r="J1012" s="37"/>
    </row>
    <row r="1013" spans="1:10" x14ac:dyDescent="0.35">
      <c r="A1013" s="35">
        <v>43732</v>
      </c>
      <c r="B1013">
        <v>52.79</v>
      </c>
      <c r="C1013" s="33">
        <f t="shared" si="30"/>
        <v>-4.7134238310708896E-3</v>
      </c>
      <c r="E1013" s="34">
        <v>2966.6</v>
      </c>
      <c r="F1013" s="33">
        <f t="shared" si="31"/>
        <v>-8.4163942535882622E-3</v>
      </c>
      <c r="I1013" s="37"/>
      <c r="J1013" s="37"/>
    </row>
    <row r="1014" spans="1:10" x14ac:dyDescent="0.35">
      <c r="A1014" s="35">
        <v>43731</v>
      </c>
      <c r="B1014">
        <v>53.04</v>
      </c>
      <c r="C1014" s="33">
        <f t="shared" si="30"/>
        <v>4.5454545454545834E-3</v>
      </c>
      <c r="E1014" s="34">
        <v>2991.78</v>
      </c>
      <c r="F1014" s="33">
        <f t="shared" si="31"/>
        <v>-9.6922866109403724E-5</v>
      </c>
      <c r="I1014" s="37"/>
      <c r="J1014" s="37"/>
    </row>
    <row r="1015" spans="1:10" x14ac:dyDescent="0.35">
      <c r="A1015" s="35">
        <v>43728</v>
      </c>
      <c r="B1015">
        <v>52.8</v>
      </c>
      <c r="C1015" s="33">
        <f t="shared" si="30"/>
        <v>-1.4741556260496476E-2</v>
      </c>
      <c r="E1015" s="34">
        <v>2992.07</v>
      </c>
      <c r="F1015" s="33">
        <f t="shared" si="31"/>
        <v>-4.8955863229556435E-3</v>
      </c>
      <c r="I1015" s="37"/>
      <c r="J1015" s="37"/>
    </row>
    <row r="1016" spans="1:10" x14ac:dyDescent="0.35">
      <c r="A1016" s="35">
        <v>43727</v>
      </c>
      <c r="B1016">
        <v>53.59</v>
      </c>
      <c r="C1016" s="33">
        <f t="shared" si="30"/>
        <v>-8.1436239126410834E-3</v>
      </c>
      <c r="E1016" s="34">
        <v>3006.79</v>
      </c>
      <c r="F1016" s="33">
        <f t="shared" si="31"/>
        <v>1.9955233758915976E-5</v>
      </c>
      <c r="I1016" s="37"/>
      <c r="J1016" s="37"/>
    </row>
    <row r="1017" spans="1:10" x14ac:dyDescent="0.35">
      <c r="A1017" s="35">
        <v>43726</v>
      </c>
      <c r="B1017">
        <v>54.03</v>
      </c>
      <c r="C1017" s="33">
        <f t="shared" si="30"/>
        <v>9.5291479820627419E-3</v>
      </c>
      <c r="E1017" s="34">
        <v>3006.73</v>
      </c>
      <c r="F1017" s="33">
        <f t="shared" si="31"/>
        <v>3.4268223708294244E-4</v>
      </c>
      <c r="I1017" s="37"/>
      <c r="J1017" s="37"/>
    </row>
    <row r="1018" spans="1:10" x14ac:dyDescent="0.35">
      <c r="A1018" s="35">
        <v>43725</v>
      </c>
      <c r="B1018">
        <v>53.52</v>
      </c>
      <c r="C1018" s="33">
        <f t="shared" si="30"/>
        <v>3.5627226701669761E-3</v>
      </c>
      <c r="E1018" s="34">
        <v>3005.7</v>
      </c>
      <c r="F1018" s="33">
        <f t="shared" si="31"/>
        <v>2.5817555938037139E-3</v>
      </c>
      <c r="I1018" s="37"/>
      <c r="J1018" s="37"/>
    </row>
    <row r="1019" spans="1:10" x14ac:dyDescent="0.35">
      <c r="A1019" s="35">
        <v>43724</v>
      </c>
      <c r="B1019">
        <v>53.33</v>
      </c>
      <c r="C1019" s="33">
        <f t="shared" si="30"/>
        <v>5.2780395852969116E-3</v>
      </c>
      <c r="E1019" s="34">
        <v>2997.96</v>
      </c>
      <c r="F1019" s="33">
        <f t="shared" si="31"/>
        <v>-3.1356092824674675E-3</v>
      </c>
      <c r="I1019" s="37"/>
      <c r="J1019" s="37"/>
    </row>
    <row r="1020" spans="1:10" x14ac:dyDescent="0.35">
      <c r="A1020" s="35">
        <v>43721</v>
      </c>
      <c r="B1020">
        <v>53.05</v>
      </c>
      <c r="C1020" s="33">
        <f t="shared" si="30"/>
        <v>-1.9408502772643332E-2</v>
      </c>
      <c r="E1020" s="34">
        <v>3007.39</v>
      </c>
      <c r="F1020" s="33">
        <f t="shared" si="31"/>
        <v>-7.2435597111889438E-4</v>
      </c>
      <c r="I1020" s="37"/>
      <c r="J1020" s="37"/>
    </row>
    <row r="1021" spans="1:10" x14ac:dyDescent="0.35">
      <c r="A1021" s="35">
        <v>43720</v>
      </c>
      <c r="B1021">
        <v>54.1</v>
      </c>
      <c r="C1021" s="33">
        <f t="shared" si="30"/>
        <v>-2.2132054592400858E-3</v>
      </c>
      <c r="E1021" s="34">
        <v>3009.57</v>
      </c>
      <c r="F1021" s="33">
        <f t="shared" si="31"/>
        <v>2.8791074766823378E-3</v>
      </c>
      <c r="I1021" s="37"/>
      <c r="J1021" s="37"/>
    </row>
    <row r="1022" spans="1:10" x14ac:dyDescent="0.35">
      <c r="A1022" s="35">
        <v>43719</v>
      </c>
      <c r="B1022">
        <v>54.22</v>
      </c>
      <c r="C1022" s="33">
        <f t="shared" si="30"/>
        <v>3.1779257849667016E-2</v>
      </c>
      <c r="E1022" s="34">
        <v>3000.93</v>
      </c>
      <c r="F1022" s="33">
        <f t="shared" si="31"/>
        <v>7.229667817909023E-3</v>
      </c>
      <c r="I1022" s="37"/>
      <c r="J1022" s="37"/>
    </row>
    <row r="1023" spans="1:10" x14ac:dyDescent="0.35">
      <c r="A1023" s="35">
        <v>43718</v>
      </c>
      <c r="B1023">
        <v>52.55</v>
      </c>
      <c r="C1023" s="33">
        <f t="shared" si="30"/>
        <v>1.1744320369657286E-2</v>
      </c>
      <c r="E1023" s="34">
        <v>2979.39</v>
      </c>
      <c r="F1023" s="33">
        <f t="shared" si="31"/>
        <v>3.2231746255578824E-4</v>
      </c>
      <c r="I1023" s="37"/>
      <c r="J1023" s="37"/>
    </row>
    <row r="1024" spans="1:10" x14ac:dyDescent="0.35">
      <c r="A1024" s="35">
        <v>43717</v>
      </c>
      <c r="B1024">
        <v>51.94</v>
      </c>
      <c r="C1024" s="33">
        <f t="shared" si="30"/>
        <v>4.2536736272234896E-3</v>
      </c>
      <c r="E1024" s="34">
        <v>2978.43</v>
      </c>
      <c r="F1024" s="33">
        <f t="shared" si="31"/>
        <v>-9.4000423001970685E-5</v>
      </c>
      <c r="I1024" s="37"/>
      <c r="J1024" s="37"/>
    </row>
    <row r="1025" spans="1:10" x14ac:dyDescent="0.35">
      <c r="A1025" s="35">
        <v>43714</v>
      </c>
      <c r="B1025">
        <v>51.72</v>
      </c>
      <c r="C1025" s="33">
        <f t="shared" si="30"/>
        <v>0</v>
      </c>
      <c r="E1025" s="34">
        <v>2978.71</v>
      </c>
      <c r="F1025" s="33">
        <f t="shared" si="31"/>
        <v>9.1061827956990474E-4</v>
      </c>
      <c r="I1025" s="37"/>
      <c r="J1025" s="37"/>
    </row>
    <row r="1026" spans="1:10" x14ac:dyDescent="0.35">
      <c r="A1026" s="35">
        <v>43713</v>
      </c>
      <c r="B1026">
        <v>51.72</v>
      </c>
      <c r="C1026" s="33">
        <f t="shared" ref="C1026:C1089" si="32">(B1026-B1027)/B1027</f>
        <v>1.9515079834417543E-2</v>
      </c>
      <c r="E1026" s="34">
        <v>2976</v>
      </c>
      <c r="F1026" s="33">
        <f t="shared" ref="F1026:F1089" si="33">(E1026-E1027)/E1027</f>
        <v>1.3009823744460034E-2</v>
      </c>
      <c r="I1026" s="37"/>
      <c r="J1026" s="37"/>
    </row>
    <row r="1027" spans="1:10" x14ac:dyDescent="0.35">
      <c r="A1027" s="35">
        <v>43712</v>
      </c>
      <c r="B1027">
        <v>50.73</v>
      </c>
      <c r="C1027" s="33">
        <f t="shared" si="32"/>
        <v>1.6837041491280742E-2</v>
      </c>
      <c r="E1027" s="34">
        <v>2937.78</v>
      </c>
      <c r="F1027" s="33">
        <f t="shared" si="33"/>
        <v>1.0842075925499083E-2</v>
      </c>
      <c r="I1027" s="37"/>
      <c r="J1027" s="37"/>
    </row>
    <row r="1028" spans="1:10" x14ac:dyDescent="0.35">
      <c r="A1028" s="35">
        <v>43711</v>
      </c>
      <c r="B1028">
        <v>49.89</v>
      </c>
      <c r="C1028" s="33">
        <f t="shared" si="32"/>
        <v>-1.4421177400237E-2</v>
      </c>
      <c r="E1028" s="34">
        <v>2906.27</v>
      </c>
      <c r="F1028" s="33">
        <f t="shared" si="33"/>
        <v>-6.899120439028743E-3</v>
      </c>
      <c r="I1028" s="37"/>
      <c r="J1028" s="37"/>
    </row>
    <row r="1029" spans="1:10" x14ac:dyDescent="0.35">
      <c r="A1029" s="35">
        <v>43707</v>
      </c>
      <c r="B1029">
        <v>50.62</v>
      </c>
      <c r="C1029" s="33">
        <f t="shared" si="32"/>
        <v>-1.3809429867824084E-3</v>
      </c>
      <c r="E1029" s="34">
        <v>2926.46</v>
      </c>
      <c r="F1029" s="33">
        <f t="shared" si="33"/>
        <v>6.4282734614888603E-4</v>
      </c>
      <c r="I1029" s="37"/>
      <c r="J1029" s="37"/>
    </row>
    <row r="1030" spans="1:10" x14ac:dyDescent="0.35">
      <c r="A1030" s="35">
        <v>43706</v>
      </c>
      <c r="B1030">
        <v>50.69</v>
      </c>
      <c r="C1030" s="33">
        <f t="shared" si="32"/>
        <v>1.685055165496482E-2</v>
      </c>
      <c r="E1030" s="34">
        <v>2924.58</v>
      </c>
      <c r="F1030" s="33">
        <f t="shared" si="33"/>
        <v>1.2687244194823947E-2</v>
      </c>
      <c r="I1030" s="37"/>
      <c r="J1030" s="37"/>
    </row>
    <row r="1031" spans="1:10" x14ac:dyDescent="0.35">
      <c r="A1031" s="35">
        <v>43705</v>
      </c>
      <c r="B1031">
        <v>49.85</v>
      </c>
      <c r="C1031" s="33">
        <f t="shared" si="32"/>
        <v>6.8672995354474532E-3</v>
      </c>
      <c r="E1031" s="34">
        <v>2887.94</v>
      </c>
      <c r="F1031" s="33">
        <f t="shared" si="33"/>
        <v>6.5454697542138467E-3</v>
      </c>
      <c r="I1031" s="37"/>
      <c r="J1031" s="37"/>
    </row>
    <row r="1032" spans="1:10" x14ac:dyDescent="0.35">
      <c r="A1032" s="35">
        <v>43704</v>
      </c>
      <c r="B1032">
        <v>49.51</v>
      </c>
      <c r="C1032" s="33">
        <f t="shared" si="32"/>
        <v>-1.1381789137380197E-2</v>
      </c>
      <c r="E1032" s="34">
        <v>2869.16</v>
      </c>
      <c r="F1032" s="33">
        <f t="shared" si="33"/>
        <v>-3.2031906836485296E-3</v>
      </c>
      <c r="I1032" s="37"/>
      <c r="J1032" s="37"/>
    </row>
    <row r="1033" spans="1:10" x14ac:dyDescent="0.35">
      <c r="A1033" s="35">
        <v>43703</v>
      </c>
      <c r="B1033">
        <v>50.08</v>
      </c>
      <c r="C1033" s="33">
        <f t="shared" si="32"/>
        <v>1.9129019129019084E-2</v>
      </c>
      <c r="E1033" s="34">
        <v>2878.38</v>
      </c>
      <c r="F1033" s="33">
        <f t="shared" si="33"/>
        <v>1.098306703991064E-2</v>
      </c>
      <c r="I1033" s="37"/>
      <c r="J1033" s="37"/>
    </row>
    <row r="1034" spans="1:10" x14ac:dyDescent="0.35">
      <c r="A1034" s="35">
        <v>43700</v>
      </c>
      <c r="B1034">
        <v>49.14</v>
      </c>
      <c r="C1034" s="33">
        <f t="shared" si="32"/>
        <v>-4.6380749078206877E-2</v>
      </c>
      <c r="E1034" s="34">
        <v>2847.11</v>
      </c>
      <c r="F1034" s="33">
        <f t="shared" si="33"/>
        <v>-2.594638977745076E-2</v>
      </c>
      <c r="I1034" s="37"/>
      <c r="J1034" s="37"/>
    </row>
    <row r="1035" spans="1:10" x14ac:dyDescent="0.35">
      <c r="A1035" s="35">
        <v>43699</v>
      </c>
      <c r="B1035">
        <v>51.53</v>
      </c>
      <c r="C1035" s="33">
        <f t="shared" si="32"/>
        <v>-7.7564475470232974E-4</v>
      </c>
      <c r="E1035" s="34">
        <v>2922.95</v>
      </c>
      <c r="F1035" s="33">
        <f t="shared" si="33"/>
        <v>-5.0608152699842983E-4</v>
      </c>
      <c r="I1035" s="37"/>
      <c r="J1035" s="37"/>
    </row>
    <row r="1036" spans="1:10" x14ac:dyDescent="0.35">
      <c r="A1036" s="35">
        <v>43698</v>
      </c>
      <c r="B1036">
        <v>51.57</v>
      </c>
      <c r="C1036" s="33">
        <f t="shared" si="32"/>
        <v>1.0780086240689869E-2</v>
      </c>
      <c r="E1036" s="34">
        <v>2924.43</v>
      </c>
      <c r="F1036" s="33">
        <f t="shared" si="33"/>
        <v>8.2468255582637592E-3</v>
      </c>
      <c r="I1036" s="37"/>
      <c r="J1036" s="37"/>
    </row>
    <row r="1037" spans="1:10" x14ac:dyDescent="0.35">
      <c r="A1037" s="35">
        <v>43697</v>
      </c>
      <c r="B1037">
        <v>51.02</v>
      </c>
      <c r="C1037" s="33">
        <f t="shared" si="32"/>
        <v>1.960399921585006E-4</v>
      </c>
      <c r="E1037" s="34">
        <v>2900.51</v>
      </c>
      <c r="F1037" s="33">
        <f t="shared" si="33"/>
        <v>-7.9147640791475977E-3</v>
      </c>
      <c r="I1037" s="37"/>
      <c r="J1037" s="37"/>
    </row>
    <row r="1038" spans="1:10" x14ac:dyDescent="0.35">
      <c r="A1038" s="35">
        <v>43696</v>
      </c>
      <c r="B1038">
        <v>51.01</v>
      </c>
      <c r="C1038" s="33">
        <f t="shared" si="32"/>
        <v>1.8570287539936097E-2</v>
      </c>
      <c r="E1038" s="34">
        <v>2923.65</v>
      </c>
      <c r="F1038" s="33">
        <f t="shared" si="33"/>
        <v>1.2105875347909861E-2</v>
      </c>
      <c r="I1038" s="37"/>
      <c r="J1038" s="37"/>
    </row>
    <row r="1039" spans="1:10" x14ac:dyDescent="0.35">
      <c r="A1039" s="35">
        <v>43693</v>
      </c>
      <c r="B1039">
        <v>50.08</v>
      </c>
      <c r="C1039" s="33">
        <f t="shared" si="32"/>
        <v>2.3502963417126477E-2</v>
      </c>
      <c r="E1039" s="34">
        <v>2888.68</v>
      </c>
      <c r="F1039" s="33">
        <f t="shared" si="33"/>
        <v>1.44261834527321E-2</v>
      </c>
      <c r="I1039" s="37"/>
      <c r="J1039" s="37"/>
    </row>
    <row r="1040" spans="1:10" x14ac:dyDescent="0.35">
      <c r="A1040" s="35">
        <v>43692</v>
      </c>
      <c r="B1040">
        <v>48.93</v>
      </c>
      <c r="C1040" s="33">
        <f t="shared" si="32"/>
        <v>-4.8810250152532438E-3</v>
      </c>
      <c r="E1040" s="34">
        <v>2847.6</v>
      </c>
      <c r="F1040" s="33">
        <f t="shared" si="33"/>
        <v>2.4642681123706262E-3</v>
      </c>
      <c r="I1040" s="37"/>
      <c r="J1040" s="37"/>
    </row>
    <row r="1041" spans="1:10" x14ac:dyDescent="0.35">
      <c r="A1041" s="35">
        <v>43691</v>
      </c>
      <c r="B1041">
        <v>49.17</v>
      </c>
      <c r="C1041" s="33">
        <f t="shared" si="32"/>
        <v>-2.9794790844514564E-2</v>
      </c>
      <c r="E1041" s="34">
        <v>2840.6</v>
      </c>
      <c r="F1041" s="33">
        <f t="shared" si="33"/>
        <v>-2.9292763607534463E-2</v>
      </c>
      <c r="I1041" s="37"/>
      <c r="J1041" s="37"/>
    </row>
    <row r="1042" spans="1:10" x14ac:dyDescent="0.35">
      <c r="A1042" s="35">
        <v>43690</v>
      </c>
      <c r="B1042">
        <v>50.68</v>
      </c>
      <c r="C1042" s="33">
        <f t="shared" si="32"/>
        <v>4.2369395310571829E-2</v>
      </c>
      <c r="E1042" s="34">
        <v>2926.32</v>
      </c>
      <c r="F1042" s="33">
        <f t="shared" si="33"/>
        <v>1.513164741388294E-2</v>
      </c>
      <c r="I1042" s="37"/>
      <c r="J1042" s="37"/>
    </row>
    <row r="1043" spans="1:10" x14ac:dyDescent="0.35">
      <c r="A1043" s="35">
        <v>43689</v>
      </c>
      <c r="B1043">
        <v>48.62</v>
      </c>
      <c r="C1043" s="33">
        <f t="shared" si="32"/>
        <v>-2.4620434961018576E-3</v>
      </c>
      <c r="E1043" s="34">
        <v>2882.7</v>
      </c>
      <c r="F1043" s="33">
        <f t="shared" si="33"/>
        <v>-1.2317338495537414E-2</v>
      </c>
      <c r="I1043" s="37"/>
      <c r="J1043" s="37"/>
    </row>
    <row r="1044" spans="1:10" x14ac:dyDescent="0.35">
      <c r="A1044" s="35">
        <v>43686</v>
      </c>
      <c r="B1044">
        <v>48.74</v>
      </c>
      <c r="C1044" s="33">
        <f t="shared" si="32"/>
        <v>-8.3418107833163092E-3</v>
      </c>
      <c r="E1044" s="34">
        <v>2918.65</v>
      </c>
      <c r="F1044" s="33">
        <f t="shared" si="33"/>
        <v>-6.6165434006446545E-3</v>
      </c>
      <c r="I1044" s="37"/>
      <c r="J1044" s="37"/>
    </row>
    <row r="1045" spans="1:10" x14ac:dyDescent="0.35">
      <c r="A1045" s="35">
        <v>43685</v>
      </c>
      <c r="B1045">
        <v>49.15</v>
      </c>
      <c r="C1045" s="33">
        <f t="shared" si="32"/>
        <v>2.2042004574755563E-2</v>
      </c>
      <c r="E1045" s="34">
        <v>2938.09</v>
      </c>
      <c r="F1045" s="33">
        <f t="shared" si="33"/>
        <v>1.876226603513205E-2</v>
      </c>
      <c r="I1045" s="37"/>
      <c r="J1045" s="37"/>
    </row>
    <row r="1046" spans="1:10" x14ac:dyDescent="0.35">
      <c r="A1046" s="35">
        <v>43684</v>
      </c>
      <c r="B1046">
        <v>48.09</v>
      </c>
      <c r="C1046" s="33">
        <f t="shared" si="32"/>
        <v>1.0294117647058865E-2</v>
      </c>
      <c r="E1046" s="34">
        <v>2883.98</v>
      </c>
      <c r="F1046" s="33">
        <f t="shared" si="33"/>
        <v>7.6688979342558097E-4</v>
      </c>
      <c r="I1046" s="37"/>
      <c r="J1046" s="37"/>
    </row>
    <row r="1047" spans="1:10" x14ac:dyDescent="0.35">
      <c r="A1047" s="35">
        <v>43683</v>
      </c>
      <c r="B1047">
        <v>47.6</v>
      </c>
      <c r="C1047" s="33">
        <f t="shared" si="32"/>
        <v>1.9053735816741611E-2</v>
      </c>
      <c r="E1047" s="34">
        <v>2881.77</v>
      </c>
      <c r="F1047" s="33">
        <f t="shared" si="33"/>
        <v>1.3017006826634491E-2</v>
      </c>
      <c r="I1047" s="37"/>
      <c r="J1047" s="37"/>
    </row>
    <row r="1048" spans="1:10" x14ac:dyDescent="0.35">
      <c r="A1048" s="35">
        <v>43682</v>
      </c>
      <c r="B1048">
        <v>46.71</v>
      </c>
      <c r="C1048" s="33">
        <f t="shared" si="32"/>
        <v>-5.234327449786972E-2</v>
      </c>
      <c r="E1048" s="34">
        <v>2844.74</v>
      </c>
      <c r="F1048" s="33">
        <f t="shared" si="33"/>
        <v>-2.9777800514998173E-2</v>
      </c>
      <c r="I1048" s="37"/>
      <c r="J1048" s="37"/>
    </row>
    <row r="1049" spans="1:10" x14ac:dyDescent="0.35">
      <c r="A1049" s="35">
        <v>43679</v>
      </c>
      <c r="B1049">
        <v>49.29</v>
      </c>
      <c r="C1049" s="33">
        <f t="shared" si="32"/>
        <v>-2.1247021445591745E-2</v>
      </c>
      <c r="E1049" s="34">
        <v>2932.05</v>
      </c>
      <c r="F1049" s="33">
        <f t="shared" si="33"/>
        <v>-7.2827367651240411E-3</v>
      </c>
      <c r="I1049" s="37"/>
      <c r="J1049" s="37"/>
    </row>
    <row r="1050" spans="1:10" x14ac:dyDescent="0.35">
      <c r="A1050" s="35">
        <v>43678</v>
      </c>
      <c r="B1050">
        <v>50.36</v>
      </c>
      <c r="C1050" s="33">
        <f t="shared" si="32"/>
        <v>-2.1565960753837175E-2</v>
      </c>
      <c r="E1050" s="34">
        <v>2953.56</v>
      </c>
      <c r="F1050" s="33">
        <f t="shared" si="33"/>
        <v>-8.9988524953194433E-3</v>
      </c>
      <c r="I1050" s="37"/>
      <c r="J1050" s="37"/>
    </row>
    <row r="1051" spans="1:10" x14ac:dyDescent="0.35">
      <c r="A1051" s="35">
        <v>43677</v>
      </c>
      <c r="B1051">
        <v>51.47</v>
      </c>
      <c r="C1051" s="33">
        <f t="shared" si="32"/>
        <v>2.0420301348136424E-2</v>
      </c>
      <c r="E1051" s="34">
        <v>2980.38</v>
      </c>
      <c r="F1051" s="33">
        <f t="shared" si="33"/>
        <v>-1.0885509660889733E-2</v>
      </c>
      <c r="I1051" s="37"/>
      <c r="J1051" s="37"/>
    </row>
    <row r="1052" spans="1:10" x14ac:dyDescent="0.35">
      <c r="A1052" s="35">
        <v>43676</v>
      </c>
      <c r="B1052">
        <v>50.44</v>
      </c>
      <c r="C1052" s="33">
        <f t="shared" si="32"/>
        <v>-4.3426766679826069E-3</v>
      </c>
      <c r="E1052" s="34">
        <v>3013.18</v>
      </c>
      <c r="F1052" s="33">
        <f t="shared" si="33"/>
        <v>-2.5786419593706537E-3</v>
      </c>
      <c r="I1052" s="37"/>
      <c r="J1052" s="37"/>
    </row>
    <row r="1053" spans="1:10" x14ac:dyDescent="0.35">
      <c r="A1053" s="35">
        <v>43675</v>
      </c>
      <c r="B1053">
        <v>50.66</v>
      </c>
      <c r="C1053" s="33">
        <f t="shared" si="32"/>
        <v>9.364415222155786E-3</v>
      </c>
      <c r="E1053" s="34">
        <v>3020.97</v>
      </c>
      <c r="F1053" s="33">
        <f t="shared" si="33"/>
        <v>-1.6160694810732575E-3</v>
      </c>
      <c r="I1053" s="37"/>
      <c r="J1053" s="37"/>
    </row>
    <row r="1054" spans="1:10" x14ac:dyDescent="0.35">
      <c r="A1054" s="35">
        <v>43672</v>
      </c>
      <c r="B1054">
        <v>50.19</v>
      </c>
      <c r="C1054" s="33">
        <f t="shared" si="32"/>
        <v>3.398640543782379E-3</v>
      </c>
      <c r="E1054" s="34">
        <v>3025.86</v>
      </c>
      <c r="F1054" s="33">
        <f t="shared" si="33"/>
        <v>7.3876291336931335E-3</v>
      </c>
      <c r="I1054" s="37"/>
      <c r="J1054" s="37"/>
    </row>
    <row r="1055" spans="1:10" x14ac:dyDescent="0.35">
      <c r="A1055" s="35">
        <v>43671</v>
      </c>
      <c r="B1055">
        <v>50.02</v>
      </c>
      <c r="C1055" s="33">
        <f t="shared" si="32"/>
        <v>-7.7365602063081433E-3</v>
      </c>
      <c r="E1055" s="34">
        <v>3003.67</v>
      </c>
      <c r="F1055" s="33">
        <f t="shared" si="33"/>
        <v>-5.262356104862918E-3</v>
      </c>
      <c r="I1055" s="37"/>
      <c r="J1055" s="37"/>
    </row>
    <row r="1056" spans="1:10" x14ac:dyDescent="0.35">
      <c r="A1056" s="35">
        <v>43670</v>
      </c>
      <c r="B1056">
        <v>50.41</v>
      </c>
      <c r="C1056" s="33">
        <f t="shared" si="32"/>
        <v>-9.9088386841070675E-4</v>
      </c>
      <c r="E1056" s="34">
        <v>3019.56</v>
      </c>
      <c r="F1056" s="33">
        <f t="shared" si="33"/>
        <v>4.6881186636366845E-3</v>
      </c>
      <c r="I1056" s="37"/>
      <c r="J1056" s="37"/>
    </row>
    <row r="1057" spans="1:10" x14ac:dyDescent="0.35">
      <c r="A1057" s="35">
        <v>43669</v>
      </c>
      <c r="B1057">
        <v>50.46</v>
      </c>
      <c r="C1057" s="33">
        <f t="shared" si="32"/>
        <v>7.9904115061925404E-3</v>
      </c>
      <c r="E1057" s="34">
        <v>3005.47</v>
      </c>
      <c r="F1057" s="33">
        <f t="shared" si="33"/>
        <v>6.8475023701602992E-3</v>
      </c>
      <c r="I1057" s="37"/>
      <c r="J1057" s="37"/>
    </row>
    <row r="1058" spans="1:10" x14ac:dyDescent="0.35">
      <c r="A1058" s="35">
        <v>43668</v>
      </c>
      <c r="B1058">
        <v>50.06</v>
      </c>
      <c r="C1058" s="33">
        <f t="shared" si="32"/>
        <v>2.2676200204290078E-2</v>
      </c>
      <c r="E1058" s="34">
        <v>2985.03</v>
      </c>
      <c r="F1058" s="33">
        <f t="shared" si="33"/>
        <v>2.8287212634507284E-3</v>
      </c>
      <c r="I1058" s="37"/>
      <c r="J1058" s="37"/>
    </row>
    <row r="1059" spans="1:10" x14ac:dyDescent="0.35">
      <c r="A1059" s="35">
        <v>43665</v>
      </c>
      <c r="B1059">
        <v>48.95</v>
      </c>
      <c r="C1059" s="33">
        <f t="shared" si="32"/>
        <v>-1.4892332461259709E-2</v>
      </c>
      <c r="E1059" s="34">
        <v>2976.61</v>
      </c>
      <c r="F1059" s="33">
        <f t="shared" si="33"/>
        <v>-6.1767347442998749E-3</v>
      </c>
      <c r="I1059" s="37"/>
      <c r="J1059" s="37"/>
    </row>
    <row r="1060" spans="1:10" x14ac:dyDescent="0.35">
      <c r="A1060" s="35">
        <v>43664</v>
      </c>
      <c r="B1060">
        <v>49.69</v>
      </c>
      <c r="C1060" s="33">
        <f t="shared" si="32"/>
        <v>1.1398330958680951E-2</v>
      </c>
      <c r="E1060" s="34">
        <v>2995.11</v>
      </c>
      <c r="F1060" s="33">
        <f t="shared" si="33"/>
        <v>3.5819355184592162E-3</v>
      </c>
      <c r="I1060" s="37"/>
      <c r="J1060" s="37"/>
    </row>
    <row r="1061" spans="1:10" x14ac:dyDescent="0.35">
      <c r="A1061" s="35">
        <v>43663</v>
      </c>
      <c r="B1061">
        <v>49.13</v>
      </c>
      <c r="C1061" s="33">
        <f t="shared" si="32"/>
        <v>-5.6668690548470763E-3</v>
      </c>
      <c r="E1061" s="34">
        <v>2984.42</v>
      </c>
      <c r="F1061" s="33">
        <f t="shared" si="33"/>
        <v>-6.5312046444121552E-3</v>
      </c>
      <c r="I1061" s="37"/>
      <c r="J1061" s="37"/>
    </row>
    <row r="1062" spans="1:10" x14ac:dyDescent="0.35">
      <c r="A1062" s="35">
        <v>43662</v>
      </c>
      <c r="B1062">
        <v>49.41</v>
      </c>
      <c r="C1062" s="33">
        <f t="shared" si="32"/>
        <v>-3.4288019362646574E-3</v>
      </c>
      <c r="E1062" s="34">
        <v>3004.04</v>
      </c>
      <c r="F1062" s="33">
        <f t="shared" si="33"/>
        <v>-3.4037753375577139E-3</v>
      </c>
      <c r="I1062" s="37"/>
      <c r="J1062" s="37"/>
    </row>
    <row r="1063" spans="1:10" x14ac:dyDescent="0.35">
      <c r="A1063" s="35">
        <v>43661</v>
      </c>
      <c r="B1063">
        <v>49.58</v>
      </c>
      <c r="C1063" s="33">
        <f t="shared" si="32"/>
        <v>9.3648208469055555E-3</v>
      </c>
      <c r="E1063" s="34">
        <v>3014.3</v>
      </c>
      <c r="F1063" s="33">
        <f t="shared" si="33"/>
        <v>1.7585947169166861E-4</v>
      </c>
      <c r="I1063" s="37"/>
      <c r="J1063" s="37"/>
    </row>
    <row r="1064" spans="1:10" x14ac:dyDescent="0.35">
      <c r="A1064" s="35">
        <v>43658</v>
      </c>
      <c r="B1064">
        <v>49.12</v>
      </c>
      <c r="C1064" s="33">
        <f t="shared" si="32"/>
        <v>7.7964710709888269E-3</v>
      </c>
      <c r="E1064" s="34">
        <v>3013.77</v>
      </c>
      <c r="F1064" s="33">
        <f t="shared" si="33"/>
        <v>4.6201386041581673E-3</v>
      </c>
      <c r="I1064" s="37"/>
      <c r="J1064" s="37"/>
    </row>
    <row r="1065" spans="1:10" x14ac:dyDescent="0.35">
      <c r="A1065" s="35">
        <v>43657</v>
      </c>
      <c r="B1065">
        <v>48.74</v>
      </c>
      <c r="C1065" s="33">
        <f t="shared" si="32"/>
        <v>-7.3319755600814544E-3</v>
      </c>
      <c r="E1065" s="34">
        <v>2999.91</v>
      </c>
      <c r="F1065" s="33">
        <f t="shared" si="33"/>
        <v>2.2852789944771391E-3</v>
      </c>
      <c r="I1065" s="37"/>
      <c r="J1065" s="37"/>
    </row>
    <row r="1066" spans="1:10" x14ac:dyDescent="0.35">
      <c r="A1066" s="35">
        <v>43656</v>
      </c>
      <c r="B1066">
        <v>49.1</v>
      </c>
      <c r="C1066" s="33">
        <f t="shared" si="32"/>
        <v>9.8724804607158365E-3</v>
      </c>
      <c r="E1066" s="34">
        <v>2993.07</v>
      </c>
      <c r="F1066" s="33">
        <f t="shared" si="33"/>
        <v>4.5106271584055922E-3</v>
      </c>
      <c r="I1066" s="37"/>
      <c r="J1066" s="37"/>
    </row>
    <row r="1067" spans="1:10" x14ac:dyDescent="0.35">
      <c r="A1067" s="35">
        <v>43655</v>
      </c>
      <c r="B1067">
        <v>48.62</v>
      </c>
      <c r="C1067" s="33">
        <f t="shared" si="32"/>
        <v>6.0004138216428549E-3</v>
      </c>
      <c r="E1067" s="34">
        <v>2979.63</v>
      </c>
      <c r="F1067" s="33">
        <f t="shared" si="33"/>
        <v>1.2365799156572829E-3</v>
      </c>
      <c r="I1067" s="37"/>
      <c r="J1067" s="37"/>
    </row>
    <row r="1068" spans="1:10" x14ac:dyDescent="0.35">
      <c r="A1068" s="35">
        <v>43654</v>
      </c>
      <c r="B1068">
        <v>48.33</v>
      </c>
      <c r="C1068" s="33">
        <f t="shared" si="32"/>
        <v>-2.0470206728820533E-2</v>
      </c>
      <c r="E1068" s="34">
        <v>2975.95</v>
      </c>
      <c r="F1068" s="33">
        <f t="shared" si="33"/>
        <v>-4.8354573453138656E-3</v>
      </c>
      <c r="I1068" s="37"/>
      <c r="J1068" s="37"/>
    </row>
    <row r="1069" spans="1:10" x14ac:dyDescent="0.35">
      <c r="A1069" s="35">
        <v>43651</v>
      </c>
      <c r="B1069">
        <v>49.34</v>
      </c>
      <c r="C1069" s="33">
        <f t="shared" si="32"/>
        <v>-1.0123506782748969E-3</v>
      </c>
      <c r="E1069" s="34">
        <v>2990.41</v>
      </c>
      <c r="F1069" s="33">
        <f t="shared" si="33"/>
        <v>-1.8058494836139384E-3</v>
      </c>
      <c r="I1069" s="37"/>
      <c r="J1069" s="37"/>
    </row>
    <row r="1070" spans="1:10" x14ac:dyDescent="0.35">
      <c r="A1070" s="35">
        <v>43649</v>
      </c>
      <c r="B1070">
        <v>49.39</v>
      </c>
      <c r="C1070" s="33">
        <f t="shared" si="32"/>
        <v>8.3707635769702683E-3</v>
      </c>
      <c r="E1070" s="34">
        <v>2995.82</v>
      </c>
      <c r="F1070" s="33">
        <f t="shared" si="33"/>
        <v>7.6723589897107454E-3</v>
      </c>
      <c r="I1070" s="37"/>
      <c r="J1070" s="37"/>
    </row>
    <row r="1071" spans="1:10" x14ac:dyDescent="0.35">
      <c r="A1071" s="35">
        <v>43648</v>
      </c>
      <c r="B1071">
        <v>48.98</v>
      </c>
      <c r="C1071" s="33">
        <f t="shared" si="32"/>
        <v>5.9560484699116688E-3</v>
      </c>
      <c r="E1071" s="34">
        <v>2973.01</v>
      </c>
      <c r="F1071" s="33">
        <f t="shared" si="33"/>
        <v>2.9281490252435764E-3</v>
      </c>
      <c r="I1071" s="37"/>
      <c r="J1071" s="37"/>
    </row>
    <row r="1072" spans="1:10" x14ac:dyDescent="0.35">
      <c r="A1072" s="35">
        <v>43647</v>
      </c>
      <c r="B1072">
        <v>48.69</v>
      </c>
      <c r="C1072" s="33">
        <f t="shared" si="32"/>
        <v>1.8193224592220773E-2</v>
      </c>
      <c r="E1072" s="34">
        <v>2964.33</v>
      </c>
      <c r="F1072" s="33">
        <f t="shared" si="33"/>
        <v>7.6722778200803967E-3</v>
      </c>
      <c r="I1072" s="37"/>
      <c r="J1072" s="37"/>
    </row>
    <row r="1073" spans="1:10" x14ac:dyDescent="0.35">
      <c r="A1073" s="35">
        <v>43644</v>
      </c>
      <c r="B1073">
        <v>47.82</v>
      </c>
      <c r="C1073" s="33">
        <f t="shared" si="32"/>
        <v>-9.1172813924574742E-3</v>
      </c>
      <c r="E1073" s="34">
        <v>2941.76</v>
      </c>
      <c r="F1073" s="33">
        <f t="shared" si="33"/>
        <v>5.757422425228774E-3</v>
      </c>
      <c r="I1073" s="37"/>
      <c r="J1073" s="37"/>
    </row>
    <row r="1074" spans="1:10" x14ac:dyDescent="0.35">
      <c r="A1074" s="35">
        <v>43643</v>
      </c>
      <c r="B1074">
        <v>48.26</v>
      </c>
      <c r="C1074" s="33">
        <f t="shared" si="32"/>
        <v>-2.0716801325885883E-4</v>
      </c>
      <c r="E1074" s="34">
        <v>2924.92</v>
      </c>
      <c r="F1074" s="33">
        <f t="shared" si="33"/>
        <v>3.8232124594169332E-3</v>
      </c>
      <c r="I1074" s="37"/>
      <c r="J1074" s="37"/>
    </row>
    <row r="1075" spans="1:10" x14ac:dyDescent="0.35">
      <c r="A1075" s="35">
        <v>43642</v>
      </c>
      <c r="B1075">
        <v>48.27</v>
      </c>
      <c r="C1075" s="33">
        <f t="shared" si="32"/>
        <v>2.1587301587301655E-2</v>
      </c>
      <c r="E1075" s="34">
        <v>2913.78</v>
      </c>
      <c r="F1075" s="33">
        <f t="shared" si="33"/>
        <v>-1.2339839170762495E-3</v>
      </c>
      <c r="I1075" s="37"/>
      <c r="J1075" s="37"/>
    </row>
    <row r="1076" spans="1:10" x14ac:dyDescent="0.35">
      <c r="A1076" s="35">
        <v>43641</v>
      </c>
      <c r="B1076">
        <v>47.25</v>
      </c>
      <c r="C1076" s="33">
        <f t="shared" si="32"/>
        <v>-1.521467278032507E-2</v>
      </c>
      <c r="E1076" s="34">
        <v>2917.38</v>
      </c>
      <c r="F1076" s="33">
        <f t="shared" si="33"/>
        <v>-9.4963247152290223E-3</v>
      </c>
      <c r="I1076" s="37"/>
      <c r="J1076" s="37"/>
    </row>
    <row r="1077" spans="1:10" x14ac:dyDescent="0.35">
      <c r="A1077" s="35">
        <v>43640</v>
      </c>
      <c r="B1077">
        <v>47.98</v>
      </c>
      <c r="C1077" s="33">
        <f t="shared" si="32"/>
        <v>-1.0410160316469761E-3</v>
      </c>
      <c r="E1077" s="34">
        <v>2945.35</v>
      </c>
      <c r="F1077" s="33">
        <f t="shared" si="33"/>
        <v>-1.7319333256509586E-3</v>
      </c>
      <c r="I1077" s="37"/>
      <c r="J1077" s="37"/>
    </row>
    <row r="1078" spans="1:10" x14ac:dyDescent="0.35">
      <c r="A1078" s="35">
        <v>43637</v>
      </c>
      <c r="B1078">
        <v>48.03</v>
      </c>
      <c r="C1078" s="33">
        <f t="shared" si="32"/>
        <v>-3.3201909109773107E-3</v>
      </c>
      <c r="E1078" s="34">
        <v>2950.46</v>
      </c>
      <c r="F1078" s="33">
        <f t="shared" si="33"/>
        <v>-1.2592326804730246E-3</v>
      </c>
      <c r="I1078" s="37"/>
      <c r="J1078" s="37"/>
    </row>
    <row r="1079" spans="1:10" x14ac:dyDescent="0.35">
      <c r="A1079" s="35">
        <v>43636</v>
      </c>
      <c r="B1079">
        <v>48.19</v>
      </c>
      <c r="C1079" s="33">
        <f t="shared" si="32"/>
        <v>7.948128006693065E-3</v>
      </c>
      <c r="E1079" s="34">
        <v>2954.18</v>
      </c>
      <c r="F1079" s="33">
        <f t="shared" si="33"/>
        <v>9.4721950752785951E-3</v>
      </c>
      <c r="I1079" s="37"/>
      <c r="J1079" s="37"/>
    </row>
    <row r="1080" spans="1:10" x14ac:dyDescent="0.35">
      <c r="A1080" s="35">
        <v>43635</v>
      </c>
      <c r="B1080">
        <v>47.81</v>
      </c>
      <c r="C1080" s="33">
        <f t="shared" si="32"/>
        <v>-2.9197080291970918E-3</v>
      </c>
      <c r="E1080" s="34">
        <v>2926.46</v>
      </c>
      <c r="F1080" s="33">
        <f t="shared" si="33"/>
        <v>2.9851769342815648E-3</v>
      </c>
      <c r="I1080" s="37"/>
      <c r="J1080" s="37"/>
    </row>
    <row r="1081" spans="1:10" x14ac:dyDescent="0.35">
      <c r="A1081" s="35">
        <v>43634</v>
      </c>
      <c r="B1081">
        <v>47.95</v>
      </c>
      <c r="C1081" s="33">
        <f t="shared" si="32"/>
        <v>2.3697694278394521E-2</v>
      </c>
      <c r="E1081" s="34">
        <v>2917.75</v>
      </c>
      <c r="F1081" s="33">
        <f t="shared" si="33"/>
        <v>9.7173725719545568E-3</v>
      </c>
      <c r="I1081" s="37"/>
      <c r="J1081" s="37"/>
    </row>
    <row r="1082" spans="1:10" x14ac:dyDescent="0.35">
      <c r="A1082" s="35">
        <v>43633</v>
      </c>
      <c r="B1082">
        <v>46.84</v>
      </c>
      <c r="C1082" s="33">
        <f t="shared" si="32"/>
        <v>5.7977238565600844E-3</v>
      </c>
      <c r="E1082" s="34">
        <v>2889.67</v>
      </c>
      <c r="F1082" s="33">
        <f t="shared" si="33"/>
        <v>9.3176953078997929E-4</v>
      </c>
      <c r="I1082" s="37"/>
      <c r="J1082" s="37"/>
    </row>
    <row r="1083" spans="1:10" x14ac:dyDescent="0.35">
      <c r="A1083" s="35">
        <v>43630</v>
      </c>
      <c r="B1083">
        <v>46.57</v>
      </c>
      <c r="C1083" s="33">
        <f t="shared" si="32"/>
        <v>-7.2479215519078303E-3</v>
      </c>
      <c r="E1083" s="34">
        <v>2886.98</v>
      </c>
      <c r="F1083" s="33">
        <f t="shared" si="33"/>
        <v>-1.6115422390061884E-3</v>
      </c>
      <c r="I1083" s="37"/>
      <c r="J1083" s="37"/>
    </row>
    <row r="1084" spans="1:10" x14ac:dyDescent="0.35">
      <c r="A1084" s="35">
        <v>43629</v>
      </c>
      <c r="B1084">
        <v>46.91</v>
      </c>
      <c r="C1084" s="33">
        <f t="shared" si="32"/>
        <v>-2.1312872975287969E-4</v>
      </c>
      <c r="E1084" s="34">
        <v>2891.64</v>
      </c>
      <c r="F1084" s="33">
        <f t="shared" si="33"/>
        <v>4.0974498583253678E-3</v>
      </c>
      <c r="I1084" s="37"/>
      <c r="J1084" s="37"/>
    </row>
    <row r="1085" spans="1:10" x14ac:dyDescent="0.35">
      <c r="A1085" s="35">
        <v>43628</v>
      </c>
      <c r="B1085">
        <v>46.92</v>
      </c>
      <c r="C1085" s="33">
        <f t="shared" si="32"/>
        <v>-3.1867431485022007E-3</v>
      </c>
      <c r="E1085" s="34">
        <v>2879.84</v>
      </c>
      <c r="F1085" s="33">
        <f t="shared" si="33"/>
        <v>-2.0376197274855684E-3</v>
      </c>
      <c r="I1085" s="37"/>
      <c r="J1085" s="37"/>
    </row>
    <row r="1086" spans="1:10" x14ac:dyDescent="0.35">
      <c r="A1086" s="35">
        <v>43627</v>
      </c>
      <c r="B1086">
        <v>47.07</v>
      </c>
      <c r="C1086" s="33">
        <f t="shared" si="32"/>
        <v>1.1605415860734991E-2</v>
      </c>
      <c r="E1086" s="34">
        <v>2885.72</v>
      </c>
      <c r="F1086" s="33">
        <f t="shared" si="33"/>
        <v>-3.4987685027703259E-4</v>
      </c>
      <c r="I1086" s="37"/>
      <c r="J1086" s="37"/>
    </row>
    <row r="1087" spans="1:10" x14ac:dyDescent="0.35">
      <c r="A1087" s="35">
        <v>43626</v>
      </c>
      <c r="B1087">
        <v>46.53</v>
      </c>
      <c r="C1087" s="33">
        <f t="shared" si="32"/>
        <v>1.2842838484980483E-2</v>
      </c>
      <c r="E1087" s="34">
        <v>2886.73</v>
      </c>
      <c r="F1087" s="33">
        <f t="shared" si="33"/>
        <v>4.6600819951693401E-3</v>
      </c>
      <c r="I1087" s="37"/>
      <c r="J1087" s="37"/>
    </row>
    <row r="1088" spans="1:10" x14ac:dyDescent="0.35">
      <c r="A1088" s="35">
        <v>43623</v>
      </c>
      <c r="B1088">
        <v>45.94</v>
      </c>
      <c r="C1088" s="33">
        <f t="shared" si="32"/>
        <v>2.659217877094967E-2</v>
      </c>
      <c r="E1088" s="34">
        <v>2873.34</v>
      </c>
      <c r="F1088" s="33">
        <f t="shared" si="33"/>
        <v>1.0497663083042447E-2</v>
      </c>
      <c r="I1088" s="37"/>
      <c r="J1088" s="37"/>
    </row>
    <row r="1089" spans="1:10" x14ac:dyDescent="0.35">
      <c r="A1089" s="35">
        <v>43622</v>
      </c>
      <c r="B1089">
        <v>44.75</v>
      </c>
      <c r="C1089" s="33">
        <f t="shared" si="32"/>
        <v>1.4739229024943278E-2</v>
      </c>
      <c r="E1089" s="34">
        <v>2843.49</v>
      </c>
      <c r="F1089" s="33">
        <f t="shared" si="33"/>
        <v>6.1355554376093593E-3</v>
      </c>
      <c r="I1089" s="37"/>
      <c r="J1089" s="37"/>
    </row>
    <row r="1090" spans="1:10" x14ac:dyDescent="0.35">
      <c r="A1090" s="35">
        <v>43621</v>
      </c>
      <c r="B1090">
        <v>44.1</v>
      </c>
      <c r="C1090" s="33">
        <f t="shared" ref="C1090:C1153" si="34">(B1090-B1091)/B1091</f>
        <v>1.6129032258064582E-2</v>
      </c>
      <c r="E1090" s="34">
        <v>2826.15</v>
      </c>
      <c r="F1090" s="33">
        <f t="shared" ref="F1090:F1153" si="35">(E1090-E1091)/E1091</f>
        <v>8.1618966421358307E-3</v>
      </c>
      <c r="I1090" s="37"/>
      <c r="J1090" s="37"/>
    </row>
    <row r="1091" spans="1:10" x14ac:dyDescent="0.35">
      <c r="A1091" s="35">
        <v>43620</v>
      </c>
      <c r="B1091">
        <v>43.4</v>
      </c>
      <c r="C1091" s="33">
        <f t="shared" si="34"/>
        <v>3.6541676618103681E-2</v>
      </c>
      <c r="E1091" s="34">
        <v>2803.27</v>
      </c>
      <c r="F1091" s="33">
        <f t="shared" si="35"/>
        <v>2.1432345278653342E-2</v>
      </c>
      <c r="I1091" s="37"/>
      <c r="J1091" s="37"/>
    </row>
    <row r="1092" spans="1:10" x14ac:dyDescent="0.35">
      <c r="A1092" s="35">
        <v>43619</v>
      </c>
      <c r="B1092">
        <v>41.87</v>
      </c>
      <c r="C1092" s="33">
        <f t="shared" si="34"/>
        <v>-1.0165484633569734E-2</v>
      </c>
      <c r="E1092" s="34">
        <v>2744.45</v>
      </c>
      <c r="F1092" s="33">
        <f t="shared" si="35"/>
        <v>-2.7652013400871083E-3</v>
      </c>
      <c r="I1092" s="37"/>
      <c r="J1092" s="37"/>
    </row>
    <row r="1093" spans="1:10" x14ac:dyDescent="0.35">
      <c r="A1093" s="35">
        <v>43616</v>
      </c>
      <c r="B1093">
        <v>42.3</v>
      </c>
      <c r="C1093" s="33">
        <f t="shared" si="34"/>
        <v>-1.810584958217273E-2</v>
      </c>
      <c r="E1093" s="34">
        <v>2752.06</v>
      </c>
      <c r="F1093" s="33">
        <f t="shared" si="35"/>
        <v>-1.3195355808466607E-2</v>
      </c>
      <c r="I1093" s="37"/>
      <c r="J1093" s="37"/>
    </row>
    <row r="1094" spans="1:10" x14ac:dyDescent="0.35">
      <c r="A1094" s="35">
        <v>43615</v>
      </c>
      <c r="B1094">
        <v>43.08</v>
      </c>
      <c r="C1094" s="33">
        <f t="shared" si="34"/>
        <v>5.1329911339243785E-3</v>
      </c>
      <c r="E1094" s="34">
        <v>2788.86</v>
      </c>
      <c r="F1094" s="33">
        <f t="shared" si="35"/>
        <v>2.0984398243635138E-3</v>
      </c>
      <c r="I1094" s="37"/>
      <c r="J1094" s="37"/>
    </row>
    <row r="1095" spans="1:10" x14ac:dyDescent="0.35">
      <c r="A1095" s="35">
        <v>43614</v>
      </c>
      <c r="B1095">
        <v>42.86</v>
      </c>
      <c r="C1095" s="33">
        <f t="shared" si="34"/>
        <v>-4.6446818392940738E-3</v>
      </c>
      <c r="E1095" s="34">
        <v>2783.02</v>
      </c>
      <c r="F1095" s="33">
        <f t="shared" si="35"/>
        <v>-6.9119572935957847E-3</v>
      </c>
      <c r="I1095" s="37"/>
      <c r="J1095" s="37"/>
    </row>
    <row r="1096" spans="1:10" x14ac:dyDescent="0.35">
      <c r="A1096" s="35">
        <v>43613</v>
      </c>
      <c r="B1096">
        <v>43.06</v>
      </c>
      <c r="C1096" s="33">
        <f t="shared" si="34"/>
        <v>-4.1628122109158118E-3</v>
      </c>
      <c r="E1096" s="34">
        <v>2802.39</v>
      </c>
      <c r="F1096" s="33">
        <f t="shared" si="35"/>
        <v>-8.375618352052E-3</v>
      </c>
      <c r="I1096" s="37"/>
      <c r="J1096" s="37"/>
    </row>
    <row r="1097" spans="1:10" x14ac:dyDescent="0.35">
      <c r="A1097" s="35">
        <v>43609</v>
      </c>
      <c r="B1097">
        <v>43.24</v>
      </c>
      <c r="C1097" s="33">
        <f t="shared" si="34"/>
        <v>-3.916148352913951E-3</v>
      </c>
      <c r="E1097" s="34">
        <v>2826.06</v>
      </c>
      <c r="F1097" s="33">
        <f t="shared" si="35"/>
        <v>1.353534780883328E-3</v>
      </c>
      <c r="I1097" s="37"/>
      <c r="J1097" s="37"/>
    </row>
    <row r="1098" spans="1:10" x14ac:dyDescent="0.35">
      <c r="A1098" s="35">
        <v>43608</v>
      </c>
      <c r="B1098">
        <v>43.41</v>
      </c>
      <c r="C1098" s="33">
        <f t="shared" si="34"/>
        <v>-1.6983695652173916E-2</v>
      </c>
      <c r="E1098" s="34">
        <v>2822.24</v>
      </c>
      <c r="F1098" s="33">
        <f t="shared" si="35"/>
        <v>-1.1914139769699713E-2</v>
      </c>
      <c r="I1098" s="37"/>
      <c r="J1098" s="37"/>
    </row>
    <row r="1099" spans="1:10" x14ac:dyDescent="0.35">
      <c r="A1099" s="35">
        <v>43607</v>
      </c>
      <c r="B1099">
        <v>44.16</v>
      </c>
      <c r="C1099" s="33">
        <f t="shared" si="34"/>
        <v>-2.0408163265306162E-2</v>
      </c>
      <c r="E1099" s="34">
        <v>2856.27</v>
      </c>
      <c r="F1099" s="33">
        <f t="shared" si="35"/>
        <v>-2.8243656523621839E-3</v>
      </c>
      <c r="I1099" s="37"/>
      <c r="J1099" s="37"/>
    </row>
    <row r="1100" spans="1:10" x14ac:dyDescent="0.35">
      <c r="A1100" s="35">
        <v>43606</v>
      </c>
      <c r="B1100">
        <v>45.08</v>
      </c>
      <c r="C1100" s="33">
        <f t="shared" si="34"/>
        <v>1.9217725525661349E-2</v>
      </c>
      <c r="E1100" s="34">
        <v>2864.36</v>
      </c>
      <c r="F1100" s="33">
        <f t="shared" si="35"/>
        <v>8.4957908338409594E-3</v>
      </c>
      <c r="I1100" s="37"/>
      <c r="J1100" s="37"/>
    </row>
    <row r="1101" spans="1:10" x14ac:dyDescent="0.35">
      <c r="A1101" s="35">
        <v>43605</v>
      </c>
      <c r="B1101">
        <v>44.23</v>
      </c>
      <c r="C1101" s="33">
        <f t="shared" si="34"/>
        <v>-3.1318440648269816E-2</v>
      </c>
      <c r="E1101" s="34">
        <v>2840.23</v>
      </c>
      <c r="F1101" s="33">
        <f t="shared" si="35"/>
        <v>-6.7493609089606266E-3</v>
      </c>
      <c r="I1101" s="37"/>
      <c r="J1101" s="37"/>
    </row>
    <row r="1102" spans="1:10" x14ac:dyDescent="0.35">
      <c r="A1102" s="35">
        <v>43602</v>
      </c>
      <c r="B1102">
        <v>45.66</v>
      </c>
      <c r="C1102" s="33">
        <f t="shared" si="34"/>
        <v>-5.6620209059234563E-3</v>
      </c>
      <c r="E1102" s="34">
        <v>2859.53</v>
      </c>
      <c r="F1102" s="33">
        <f t="shared" si="35"/>
        <v>-5.8373199087723071E-3</v>
      </c>
      <c r="I1102" s="37"/>
      <c r="J1102" s="37"/>
    </row>
    <row r="1103" spans="1:10" x14ac:dyDescent="0.35">
      <c r="A1103" s="35">
        <v>43601</v>
      </c>
      <c r="B1103">
        <v>45.92</v>
      </c>
      <c r="C1103" s="33">
        <f t="shared" si="34"/>
        <v>-4.5523520485584402E-3</v>
      </c>
      <c r="E1103" s="34">
        <v>2876.32</v>
      </c>
      <c r="F1103" s="33">
        <f t="shared" si="35"/>
        <v>8.8952493195275026E-3</v>
      </c>
      <c r="I1103" s="37"/>
      <c r="J1103" s="37"/>
    </row>
    <row r="1104" spans="1:10" x14ac:dyDescent="0.35">
      <c r="A1104" s="35">
        <v>43600</v>
      </c>
      <c r="B1104">
        <v>46.13</v>
      </c>
      <c r="C1104" s="33">
        <f t="shared" si="34"/>
        <v>1.2066695919262928E-2</v>
      </c>
      <c r="E1104" s="34">
        <v>2850.96</v>
      </c>
      <c r="F1104" s="33">
        <f t="shared" si="35"/>
        <v>5.8389576666749632E-3</v>
      </c>
      <c r="I1104" s="37"/>
      <c r="J1104" s="37"/>
    </row>
    <row r="1105" spans="1:10" x14ac:dyDescent="0.35">
      <c r="A1105" s="35">
        <v>43599</v>
      </c>
      <c r="B1105">
        <v>45.58</v>
      </c>
      <c r="C1105" s="33">
        <f t="shared" si="34"/>
        <v>1.5823490082460461E-2</v>
      </c>
      <c r="E1105" s="34">
        <v>2834.41</v>
      </c>
      <c r="F1105" s="33">
        <f t="shared" si="35"/>
        <v>8.0160178102116966E-3</v>
      </c>
      <c r="I1105" s="37"/>
      <c r="J1105" s="37"/>
    </row>
    <row r="1106" spans="1:10" x14ac:dyDescent="0.35">
      <c r="A1106" s="35">
        <v>43598</v>
      </c>
      <c r="B1106">
        <v>44.87</v>
      </c>
      <c r="C1106" s="33">
        <f t="shared" si="34"/>
        <v>-5.8144416456759093E-2</v>
      </c>
      <c r="E1106" s="34">
        <v>2811.87</v>
      </c>
      <c r="F1106" s="33">
        <f t="shared" si="35"/>
        <v>-2.4130630943291525E-2</v>
      </c>
      <c r="I1106" s="37"/>
      <c r="J1106" s="37"/>
    </row>
    <row r="1107" spans="1:10" x14ac:dyDescent="0.35">
      <c r="A1107" s="35">
        <v>43595</v>
      </c>
      <c r="B1107">
        <v>47.64</v>
      </c>
      <c r="C1107" s="33">
        <f t="shared" si="34"/>
        <v>-1.3868764231008107E-2</v>
      </c>
      <c r="E1107" s="34">
        <v>2881.4</v>
      </c>
      <c r="F1107" s="33">
        <f t="shared" si="35"/>
        <v>3.7203210344444221E-3</v>
      </c>
      <c r="I1107" s="37"/>
      <c r="J1107" s="37"/>
    </row>
    <row r="1108" spans="1:10" x14ac:dyDescent="0.35">
      <c r="A1108" s="35">
        <v>43594</v>
      </c>
      <c r="B1108">
        <v>48.31</v>
      </c>
      <c r="C1108" s="33">
        <f t="shared" si="34"/>
        <v>-1.064919107106279E-2</v>
      </c>
      <c r="E1108" s="34">
        <v>2870.72</v>
      </c>
      <c r="F1108" s="33">
        <f t="shared" si="35"/>
        <v>-3.0214418181440266E-3</v>
      </c>
      <c r="I1108" s="37"/>
      <c r="J1108" s="37"/>
    </row>
    <row r="1109" spans="1:10" x14ac:dyDescent="0.35">
      <c r="A1109" s="35">
        <v>43593</v>
      </c>
      <c r="B1109">
        <v>48.83</v>
      </c>
      <c r="C1109" s="33">
        <f t="shared" si="34"/>
        <v>2.0483408439160201E-4</v>
      </c>
      <c r="E1109" s="34">
        <v>2879.42</v>
      </c>
      <c r="F1109" s="33">
        <f t="shared" si="35"/>
        <v>-1.6053813214056999E-3</v>
      </c>
      <c r="I1109" s="37"/>
      <c r="J1109" s="37"/>
    </row>
    <row r="1110" spans="1:10" x14ac:dyDescent="0.35">
      <c r="A1110" s="35">
        <v>43592</v>
      </c>
      <c r="B1110">
        <v>48.82</v>
      </c>
      <c r="C1110" s="33">
        <f t="shared" si="34"/>
        <v>-2.7102431247508958E-2</v>
      </c>
      <c r="E1110" s="34">
        <v>2884.05</v>
      </c>
      <c r="F1110" s="33">
        <f t="shared" si="35"/>
        <v>-1.6511677868827172E-2</v>
      </c>
      <c r="I1110" s="37"/>
      <c r="J1110" s="37"/>
    </row>
    <row r="1111" spans="1:10" x14ac:dyDescent="0.35">
      <c r="A1111" s="35">
        <v>43591</v>
      </c>
      <c r="B1111">
        <v>50.18</v>
      </c>
      <c r="C1111" s="33">
        <f t="shared" si="34"/>
        <v>-1.5306122448979614E-2</v>
      </c>
      <c r="E1111" s="34">
        <v>2932.47</v>
      </c>
      <c r="F1111" s="33">
        <f t="shared" si="35"/>
        <v>-4.4710147879578202E-3</v>
      </c>
      <c r="I1111" s="37"/>
      <c r="J1111" s="37"/>
    </row>
    <row r="1112" spans="1:10" x14ac:dyDescent="0.35">
      <c r="A1112" s="35">
        <v>43588</v>
      </c>
      <c r="B1112">
        <v>50.96</v>
      </c>
      <c r="C1112" s="33">
        <f t="shared" si="34"/>
        <v>1.2316249503376984E-2</v>
      </c>
      <c r="E1112" s="34">
        <v>2945.64</v>
      </c>
      <c r="F1112" s="33">
        <f t="shared" si="35"/>
        <v>9.6383229592256064E-3</v>
      </c>
      <c r="I1112" s="37"/>
      <c r="J1112" s="37"/>
    </row>
    <row r="1113" spans="1:10" x14ac:dyDescent="0.35">
      <c r="A1113" s="35">
        <v>43587</v>
      </c>
      <c r="B1113">
        <v>50.34</v>
      </c>
      <c r="C1113" s="33">
        <f t="shared" si="34"/>
        <v>-6.5127294256956438E-3</v>
      </c>
      <c r="E1113" s="34">
        <v>2917.52</v>
      </c>
      <c r="F1113" s="33">
        <f t="shared" si="35"/>
        <v>-2.1239991380873186E-3</v>
      </c>
      <c r="I1113" s="37"/>
      <c r="J1113" s="37"/>
    </row>
    <row r="1114" spans="1:10" x14ac:dyDescent="0.35">
      <c r="A1114" s="35">
        <v>43586</v>
      </c>
      <c r="B1114">
        <v>50.67</v>
      </c>
      <c r="C1114" s="33">
        <f t="shared" si="34"/>
        <v>4.9068322981366555E-2</v>
      </c>
      <c r="E1114" s="34">
        <v>2923.73</v>
      </c>
      <c r="F1114" s="33">
        <f t="shared" si="35"/>
        <v>-7.5021301297087438E-3</v>
      </c>
      <c r="I1114" s="37"/>
      <c r="J1114" s="37"/>
    </row>
    <row r="1115" spans="1:10" x14ac:dyDescent="0.35">
      <c r="A1115" s="35">
        <v>43585</v>
      </c>
      <c r="B1115">
        <v>48.3</v>
      </c>
      <c r="C1115" s="33">
        <f t="shared" si="34"/>
        <v>-1.9090170593013909E-2</v>
      </c>
      <c r="E1115" s="34">
        <v>2945.83</v>
      </c>
      <c r="F1115" s="33">
        <f t="shared" si="35"/>
        <v>9.5140042745052781E-4</v>
      </c>
      <c r="I1115" s="37"/>
      <c r="J1115" s="37"/>
    </row>
    <row r="1116" spans="1:10" x14ac:dyDescent="0.35">
      <c r="A1116" s="35">
        <v>43584</v>
      </c>
      <c r="B1116">
        <v>49.24</v>
      </c>
      <c r="C1116" s="33">
        <f t="shared" si="34"/>
        <v>1.4236322961155234E-3</v>
      </c>
      <c r="E1116" s="34">
        <v>2943.03</v>
      </c>
      <c r="F1116" s="33">
        <f t="shared" si="35"/>
        <v>1.0714723049920715E-3</v>
      </c>
      <c r="I1116" s="37"/>
      <c r="J1116" s="37"/>
    </row>
    <row r="1117" spans="1:10" x14ac:dyDescent="0.35">
      <c r="A1117" s="35">
        <v>43581</v>
      </c>
      <c r="B1117">
        <v>49.17</v>
      </c>
      <c r="C1117" s="33">
        <f t="shared" si="34"/>
        <v>-4.8573163327260659E-3</v>
      </c>
      <c r="E1117" s="34">
        <v>2939.88</v>
      </c>
      <c r="F1117" s="33">
        <f t="shared" si="35"/>
        <v>4.6853053650334859E-3</v>
      </c>
      <c r="I1117" s="37"/>
      <c r="J1117" s="37"/>
    </row>
    <row r="1118" spans="1:10" x14ac:dyDescent="0.35">
      <c r="A1118" s="35">
        <v>43580</v>
      </c>
      <c r="B1118">
        <v>49.41</v>
      </c>
      <c r="C1118" s="33">
        <f t="shared" si="34"/>
        <v>-9.0252707581228008E-3</v>
      </c>
      <c r="E1118" s="34">
        <v>2926.17</v>
      </c>
      <c r="F1118" s="33">
        <f t="shared" si="35"/>
        <v>-3.6894696387391828E-4</v>
      </c>
      <c r="I1118" s="37"/>
      <c r="J1118" s="37"/>
    </row>
    <row r="1119" spans="1:10" x14ac:dyDescent="0.35">
      <c r="A1119" s="35">
        <v>43579</v>
      </c>
      <c r="B1119">
        <v>49.86</v>
      </c>
      <c r="C1119" s="33">
        <f t="shared" si="34"/>
        <v>-1.6019223067680877E-3</v>
      </c>
      <c r="E1119" s="34">
        <v>2927.25</v>
      </c>
      <c r="F1119" s="33">
        <f t="shared" si="35"/>
        <v>-2.1917864252405978E-3</v>
      </c>
      <c r="I1119" s="37"/>
      <c r="J1119" s="37"/>
    </row>
    <row r="1120" spans="1:10" x14ac:dyDescent="0.35">
      <c r="A1120" s="35">
        <v>43578</v>
      </c>
      <c r="B1120">
        <v>49.94</v>
      </c>
      <c r="C1120" s="33">
        <f t="shared" si="34"/>
        <v>1.4422100345317913E-2</v>
      </c>
      <c r="E1120" s="34">
        <v>2933.68</v>
      </c>
      <c r="F1120" s="33">
        <f t="shared" si="35"/>
        <v>8.841219132246907E-3</v>
      </c>
      <c r="I1120" s="37"/>
      <c r="J1120" s="37"/>
    </row>
    <row r="1121" spans="1:10" x14ac:dyDescent="0.35">
      <c r="A1121" s="35">
        <v>43577</v>
      </c>
      <c r="B1121">
        <v>49.23</v>
      </c>
      <c r="C1121" s="33">
        <f t="shared" si="34"/>
        <v>3.4651447207499917E-3</v>
      </c>
      <c r="E1121" s="34">
        <v>2907.97</v>
      </c>
      <c r="F1121" s="33">
        <f t="shared" si="35"/>
        <v>1.0120377414345461E-3</v>
      </c>
      <c r="I1121" s="37"/>
      <c r="J1121" s="37"/>
    </row>
    <row r="1122" spans="1:10" x14ac:dyDescent="0.35">
      <c r="A1122" s="35">
        <v>43573</v>
      </c>
      <c r="B1122">
        <v>49.06</v>
      </c>
      <c r="C1122" s="33">
        <f t="shared" si="34"/>
        <v>3.4771937001432133E-3</v>
      </c>
      <c r="E1122" s="34">
        <v>2905.03</v>
      </c>
      <c r="F1122" s="33">
        <f t="shared" si="35"/>
        <v>1.5790653174508722E-3</v>
      </c>
      <c r="I1122" s="37"/>
      <c r="J1122" s="37"/>
    </row>
    <row r="1123" spans="1:10" x14ac:dyDescent="0.35">
      <c r="A1123" s="35">
        <v>43572</v>
      </c>
      <c r="B1123">
        <v>48.89</v>
      </c>
      <c r="C1123" s="33">
        <f t="shared" si="34"/>
        <v>1.9603753910323204E-2</v>
      </c>
      <c r="E1123" s="34">
        <v>2900.45</v>
      </c>
      <c r="F1123" s="33">
        <f t="shared" si="35"/>
        <v>-2.2737748790875069E-3</v>
      </c>
      <c r="I1123" s="37"/>
      <c r="J1123" s="37"/>
    </row>
    <row r="1124" spans="1:10" x14ac:dyDescent="0.35">
      <c r="A1124" s="35">
        <v>43571</v>
      </c>
      <c r="B1124">
        <v>47.95</v>
      </c>
      <c r="C1124" s="33">
        <f t="shared" si="34"/>
        <v>0</v>
      </c>
      <c r="E1124" s="34">
        <v>2907.06</v>
      </c>
      <c r="F1124" s="33">
        <f t="shared" si="35"/>
        <v>5.0936473957007488E-4</v>
      </c>
      <c r="I1124" s="37"/>
      <c r="J1124" s="37"/>
    </row>
    <row r="1125" spans="1:10" x14ac:dyDescent="0.35">
      <c r="A1125" s="35">
        <v>43570</v>
      </c>
      <c r="B1125">
        <v>47.95</v>
      </c>
      <c r="C1125" s="33">
        <f t="shared" si="34"/>
        <v>1.8804847471793442E-3</v>
      </c>
      <c r="E1125" s="34">
        <v>2905.58</v>
      </c>
      <c r="F1125" s="33">
        <f t="shared" si="35"/>
        <v>-6.2942619032056962E-4</v>
      </c>
      <c r="I1125" s="37"/>
      <c r="J1125" s="37"/>
    </row>
    <row r="1126" spans="1:10" x14ac:dyDescent="0.35">
      <c r="A1126" s="35">
        <v>43567</v>
      </c>
      <c r="B1126">
        <v>47.86</v>
      </c>
      <c r="C1126" s="33">
        <f t="shared" si="34"/>
        <v>-4.177109440267988E-4</v>
      </c>
      <c r="E1126" s="34">
        <v>2907.41</v>
      </c>
      <c r="F1126" s="33">
        <f t="shared" si="35"/>
        <v>6.6093784622201449E-3</v>
      </c>
      <c r="I1126" s="37"/>
      <c r="J1126" s="37"/>
    </row>
    <row r="1127" spans="1:10" x14ac:dyDescent="0.35">
      <c r="A1127" s="35">
        <v>43566</v>
      </c>
      <c r="B1127">
        <v>47.88</v>
      </c>
      <c r="C1127" s="33">
        <f t="shared" si="34"/>
        <v>-8.2850041425020417E-3</v>
      </c>
      <c r="E1127" s="34">
        <v>2888.32</v>
      </c>
      <c r="F1127" s="33">
        <f t="shared" si="35"/>
        <v>3.8085873257182588E-5</v>
      </c>
      <c r="I1127" s="37"/>
      <c r="J1127" s="37"/>
    </row>
    <row r="1128" spans="1:10" x14ac:dyDescent="0.35">
      <c r="A1128" s="35">
        <v>43565</v>
      </c>
      <c r="B1128">
        <v>48.28</v>
      </c>
      <c r="C1128" s="33">
        <f t="shared" si="34"/>
        <v>5.6238283690898385E-3</v>
      </c>
      <c r="E1128" s="34">
        <v>2888.21</v>
      </c>
      <c r="F1128" s="33">
        <f t="shared" si="35"/>
        <v>3.4778681120145294E-3</v>
      </c>
      <c r="I1128" s="37"/>
      <c r="J1128" s="37"/>
    </row>
    <row r="1129" spans="1:10" x14ac:dyDescent="0.35">
      <c r="A1129" s="35">
        <v>43564</v>
      </c>
      <c r="B1129">
        <v>48.01</v>
      </c>
      <c r="C1129" s="33">
        <f t="shared" si="34"/>
        <v>-3.1146179401993061E-3</v>
      </c>
      <c r="E1129" s="34">
        <v>2878.2</v>
      </c>
      <c r="F1129" s="33">
        <f t="shared" si="35"/>
        <v>-6.0674708281390315E-3</v>
      </c>
      <c r="I1129" s="37"/>
      <c r="J1129" s="37"/>
    </row>
    <row r="1130" spans="1:10" x14ac:dyDescent="0.35">
      <c r="A1130" s="35">
        <v>43563</v>
      </c>
      <c r="B1130">
        <v>48.16</v>
      </c>
      <c r="C1130" s="33">
        <f t="shared" si="34"/>
        <v>1.5819447373971736E-2</v>
      </c>
      <c r="E1130" s="34">
        <v>2895.77</v>
      </c>
      <c r="F1130" s="33">
        <f t="shared" si="35"/>
        <v>1.0474498226595546E-3</v>
      </c>
      <c r="I1130" s="37"/>
      <c r="J1130" s="37"/>
    </row>
    <row r="1131" spans="1:10" x14ac:dyDescent="0.35">
      <c r="A1131" s="35">
        <v>43560</v>
      </c>
      <c r="B1131">
        <v>47.41</v>
      </c>
      <c r="C1131" s="33">
        <f t="shared" si="34"/>
        <v>6.5817409766453323E-3</v>
      </c>
      <c r="E1131" s="34">
        <v>2892.74</v>
      </c>
      <c r="F1131" s="33">
        <f t="shared" si="35"/>
        <v>4.6363986816651825E-3</v>
      </c>
      <c r="I1131" s="37"/>
      <c r="J1131" s="37"/>
    </row>
    <row r="1132" spans="1:10" x14ac:dyDescent="0.35">
      <c r="A1132" s="35">
        <v>43559</v>
      </c>
      <c r="B1132">
        <v>47.1</v>
      </c>
      <c r="C1132" s="33">
        <f t="shared" si="34"/>
        <v>1.7014036580178284E-3</v>
      </c>
      <c r="E1132" s="34">
        <v>2879.39</v>
      </c>
      <c r="F1132" s="33">
        <f t="shared" si="35"/>
        <v>2.084638407461468E-3</v>
      </c>
      <c r="I1132" s="37"/>
      <c r="J1132" s="37"/>
    </row>
    <row r="1133" spans="1:10" x14ac:dyDescent="0.35">
      <c r="A1133" s="35">
        <v>43558</v>
      </c>
      <c r="B1133">
        <v>47.02</v>
      </c>
      <c r="C1133" s="33">
        <f t="shared" si="34"/>
        <v>6.8522483940042884E-3</v>
      </c>
      <c r="E1133" s="34">
        <v>2873.4</v>
      </c>
      <c r="F1133" s="33">
        <f t="shared" si="35"/>
        <v>2.1484075277968741E-3</v>
      </c>
      <c r="I1133" s="37"/>
      <c r="J1133" s="37"/>
    </row>
    <row r="1134" spans="1:10" x14ac:dyDescent="0.35">
      <c r="A1134" s="35">
        <v>43557</v>
      </c>
      <c r="B1134">
        <v>46.7</v>
      </c>
      <c r="C1134" s="33">
        <f t="shared" si="34"/>
        <v>1.4555724527482114E-2</v>
      </c>
      <c r="E1134" s="34">
        <v>2867.24</v>
      </c>
      <c r="F1134" s="33">
        <f t="shared" si="35"/>
        <v>1.7438676892611635E-5</v>
      </c>
      <c r="I1134" s="37"/>
      <c r="J1134" s="37"/>
    </row>
    <row r="1135" spans="1:10" x14ac:dyDescent="0.35">
      <c r="A1135" s="35">
        <v>43556</v>
      </c>
      <c r="B1135">
        <v>46.03</v>
      </c>
      <c r="C1135" s="33">
        <f t="shared" si="34"/>
        <v>6.7804024496938382E-3</v>
      </c>
      <c r="E1135" s="34">
        <v>2867.19</v>
      </c>
      <c r="F1135" s="33">
        <f t="shared" si="35"/>
        <v>1.1568585944115143E-2</v>
      </c>
      <c r="I1135" s="37"/>
      <c r="J1135" s="37"/>
    </row>
    <row r="1136" spans="1:10" x14ac:dyDescent="0.35">
      <c r="A1136" s="35">
        <v>43553</v>
      </c>
      <c r="B1136">
        <v>45.72</v>
      </c>
      <c r="C1136" s="33">
        <f t="shared" si="34"/>
        <v>6.6050198150593821E-3</v>
      </c>
      <c r="E1136" s="34">
        <v>2834.4</v>
      </c>
      <c r="F1136" s="33">
        <f t="shared" si="35"/>
        <v>6.7342937515983423E-3</v>
      </c>
      <c r="I1136" s="37"/>
      <c r="J1136" s="37"/>
    </row>
    <row r="1137" spans="1:10" x14ac:dyDescent="0.35">
      <c r="A1137" s="35">
        <v>43552</v>
      </c>
      <c r="B1137">
        <v>45.42</v>
      </c>
      <c r="C1137" s="33">
        <f t="shared" si="34"/>
        <v>1.322751322751373E-3</v>
      </c>
      <c r="E1137" s="34">
        <v>2815.44</v>
      </c>
      <c r="F1137" s="33">
        <f t="shared" si="35"/>
        <v>3.5895443381800491E-3</v>
      </c>
      <c r="I1137" s="37"/>
      <c r="J1137" s="37"/>
    </row>
    <row r="1138" spans="1:10" x14ac:dyDescent="0.35">
      <c r="A1138" s="35">
        <v>43551</v>
      </c>
      <c r="B1138">
        <v>45.36</v>
      </c>
      <c r="C1138" s="33">
        <f t="shared" si="34"/>
        <v>8.8967971530248789E-3</v>
      </c>
      <c r="E1138" s="34">
        <v>2805.37</v>
      </c>
      <c r="F1138" s="33">
        <f t="shared" si="35"/>
        <v>-4.6443802643997591E-3</v>
      </c>
      <c r="I1138" s="37"/>
      <c r="J1138" s="37"/>
    </row>
    <row r="1139" spans="1:10" x14ac:dyDescent="0.35">
      <c r="A1139" s="35">
        <v>43550</v>
      </c>
      <c r="B1139">
        <v>44.96</v>
      </c>
      <c r="C1139" s="33">
        <f t="shared" si="34"/>
        <v>-1.0127697049757835E-2</v>
      </c>
      <c r="E1139" s="34">
        <v>2818.46</v>
      </c>
      <c r="F1139" s="33">
        <f t="shared" si="35"/>
        <v>7.1827784845409125E-3</v>
      </c>
      <c r="I1139" s="37"/>
      <c r="J1139" s="37"/>
    </row>
    <row r="1140" spans="1:10" x14ac:dyDescent="0.35">
      <c r="A1140" s="35">
        <v>43549</v>
      </c>
      <c r="B1140">
        <v>45.42</v>
      </c>
      <c r="C1140" s="33">
        <f t="shared" si="34"/>
        <v>-1.2179208351457051E-2</v>
      </c>
      <c r="E1140" s="34">
        <v>2798.36</v>
      </c>
      <c r="F1140" s="33">
        <f t="shared" si="35"/>
        <v>-8.3907294935923712E-4</v>
      </c>
      <c r="I1140" s="37"/>
      <c r="J1140" s="37"/>
    </row>
    <row r="1141" spans="1:10" x14ac:dyDescent="0.35">
      <c r="A1141" s="35">
        <v>43546</v>
      </c>
      <c r="B1141">
        <v>45.98</v>
      </c>
      <c r="C1141" s="33">
        <f t="shared" si="34"/>
        <v>-2.0660276890308964E-2</v>
      </c>
      <c r="E1141" s="34">
        <v>2800.71</v>
      </c>
      <c r="F1141" s="33">
        <f t="shared" si="35"/>
        <v>-1.8974527826038246E-2</v>
      </c>
      <c r="I1141" s="37"/>
      <c r="J1141" s="37"/>
    </row>
    <row r="1142" spans="1:10" x14ac:dyDescent="0.35">
      <c r="A1142" s="35">
        <v>43545</v>
      </c>
      <c r="B1142">
        <v>46.95</v>
      </c>
      <c r="C1142" s="33">
        <f t="shared" si="34"/>
        <v>3.6652682711415405E-2</v>
      </c>
      <c r="E1142" s="34">
        <v>2854.88</v>
      </c>
      <c r="F1142" s="33">
        <f t="shared" si="35"/>
        <v>1.08525155529118E-2</v>
      </c>
      <c r="I1142" s="37"/>
      <c r="J1142" s="37"/>
    </row>
    <row r="1143" spans="1:10" x14ac:dyDescent="0.35">
      <c r="A1143" s="35">
        <v>43544</v>
      </c>
      <c r="B1143">
        <v>45.29</v>
      </c>
      <c r="C1143" s="33">
        <f t="shared" si="34"/>
        <v>8.9106705279571978E-3</v>
      </c>
      <c r="E1143" s="34">
        <v>2824.23</v>
      </c>
      <c r="F1143" s="33">
        <f t="shared" si="35"/>
        <v>-2.9443226469249286E-3</v>
      </c>
      <c r="I1143" s="37"/>
      <c r="J1143" s="37"/>
    </row>
    <row r="1144" spans="1:10" x14ac:dyDescent="0.35">
      <c r="A1144" s="35">
        <v>43543</v>
      </c>
      <c r="B1144">
        <v>44.89</v>
      </c>
      <c r="C1144" s="33">
        <f t="shared" si="34"/>
        <v>-7.9558011049723626E-3</v>
      </c>
      <c r="E1144" s="34">
        <v>2832.57</v>
      </c>
      <c r="F1144" s="33">
        <f t="shared" si="35"/>
        <v>-1.3060636653084459E-4</v>
      </c>
      <c r="I1144" s="37"/>
      <c r="J1144" s="37"/>
    </row>
    <row r="1145" spans="1:10" x14ac:dyDescent="0.35">
      <c r="A1145" s="35">
        <v>43542</v>
      </c>
      <c r="B1145">
        <v>45.25</v>
      </c>
      <c r="C1145" s="33">
        <f t="shared" si="34"/>
        <v>1.0270149586961395E-2</v>
      </c>
      <c r="E1145" s="34">
        <v>2832.94</v>
      </c>
      <c r="F1145" s="33">
        <f t="shared" si="35"/>
        <v>3.7059607153992363E-3</v>
      </c>
      <c r="I1145" s="37"/>
      <c r="J1145" s="37"/>
    </row>
    <row r="1146" spans="1:10" x14ac:dyDescent="0.35">
      <c r="A1146" s="35">
        <v>43539</v>
      </c>
      <c r="B1146">
        <v>44.79</v>
      </c>
      <c r="C1146" s="33">
        <f t="shared" si="34"/>
        <v>1.2890094979647226E-2</v>
      </c>
      <c r="E1146" s="34">
        <v>2822.48</v>
      </c>
      <c r="F1146" s="33">
        <f t="shared" si="35"/>
        <v>4.9849028656070186E-3</v>
      </c>
      <c r="I1146" s="37"/>
      <c r="J1146" s="37"/>
    </row>
    <row r="1147" spans="1:10" x14ac:dyDescent="0.35">
      <c r="A1147" s="35">
        <v>43538</v>
      </c>
      <c r="B1147">
        <v>44.22</v>
      </c>
      <c r="C1147" s="33">
        <f t="shared" si="34"/>
        <v>1.120512234164194E-2</v>
      </c>
      <c r="E1147" s="34">
        <v>2808.48</v>
      </c>
      <c r="F1147" s="33">
        <f t="shared" si="35"/>
        <v>-8.6804320293713605E-4</v>
      </c>
      <c r="I1147" s="37"/>
      <c r="J1147" s="37"/>
    </row>
    <row r="1148" spans="1:10" x14ac:dyDescent="0.35">
      <c r="A1148" s="35">
        <v>43537</v>
      </c>
      <c r="B1148">
        <v>43.73</v>
      </c>
      <c r="C1148" s="33">
        <f t="shared" si="34"/>
        <v>4.3638033991731219E-3</v>
      </c>
      <c r="E1148" s="34">
        <v>2810.92</v>
      </c>
      <c r="F1148" s="33">
        <f t="shared" si="35"/>
        <v>6.9496188456468488E-3</v>
      </c>
      <c r="I1148" s="37"/>
      <c r="J1148" s="37"/>
    </row>
    <row r="1149" spans="1:10" x14ac:dyDescent="0.35">
      <c r="A1149" s="35">
        <v>43536</v>
      </c>
      <c r="B1149">
        <v>43.54</v>
      </c>
      <c r="C1149" s="33">
        <f t="shared" si="34"/>
        <v>1.1147236414305546E-2</v>
      </c>
      <c r="E1149" s="34">
        <v>2791.52</v>
      </c>
      <c r="F1149" s="33">
        <f t="shared" si="35"/>
        <v>2.9533287823805552E-3</v>
      </c>
      <c r="I1149" s="37"/>
      <c r="J1149" s="37"/>
    </row>
    <row r="1150" spans="1:10" x14ac:dyDescent="0.35">
      <c r="A1150" s="35">
        <v>43535</v>
      </c>
      <c r="B1150">
        <v>43.06</v>
      </c>
      <c r="C1150" s="33">
        <f t="shared" si="34"/>
        <v>3.459875060067287E-2</v>
      </c>
      <c r="E1150" s="34">
        <v>2783.3</v>
      </c>
      <c r="F1150" s="33">
        <f t="shared" si="35"/>
        <v>1.4666049353461639E-2</v>
      </c>
      <c r="I1150" s="37"/>
      <c r="J1150" s="37"/>
    </row>
    <row r="1151" spans="1:10" x14ac:dyDescent="0.35">
      <c r="A1151" s="35">
        <v>43532</v>
      </c>
      <c r="B1151">
        <v>41.62</v>
      </c>
      <c r="C1151" s="33">
        <f t="shared" si="34"/>
        <v>2.4084778420037163E-3</v>
      </c>
      <c r="E1151" s="34">
        <v>2743.07</v>
      </c>
      <c r="F1151" s="33">
        <f t="shared" si="35"/>
        <v>-2.1317385309919399E-3</v>
      </c>
      <c r="I1151" s="37"/>
      <c r="J1151" s="37"/>
    </row>
    <row r="1152" spans="1:10" x14ac:dyDescent="0.35">
      <c r="A1152" s="35">
        <v>43531</v>
      </c>
      <c r="B1152">
        <v>41.52</v>
      </c>
      <c r="C1152" s="33">
        <f t="shared" si="34"/>
        <v>-1.1428571428571354E-2</v>
      </c>
      <c r="E1152" s="34">
        <v>2748.93</v>
      </c>
      <c r="F1152" s="33">
        <f t="shared" si="35"/>
        <v>-8.125710368218797E-3</v>
      </c>
      <c r="I1152" s="37"/>
      <c r="J1152" s="37"/>
    </row>
    <row r="1153" spans="1:10" x14ac:dyDescent="0.35">
      <c r="A1153" s="35">
        <v>43530</v>
      </c>
      <c r="B1153">
        <v>42</v>
      </c>
      <c r="C1153" s="33">
        <f t="shared" si="34"/>
        <v>-5.9171597633136093E-3</v>
      </c>
      <c r="E1153" s="34">
        <v>2771.45</v>
      </c>
      <c r="F1153" s="33">
        <f t="shared" si="35"/>
        <v>-6.5241159285215969E-3</v>
      </c>
      <c r="I1153" s="37"/>
      <c r="J1153" s="37"/>
    </row>
    <row r="1154" spans="1:10" x14ac:dyDescent="0.35">
      <c r="A1154" s="35">
        <v>43529</v>
      </c>
      <c r="B1154">
        <v>42.25</v>
      </c>
      <c r="C1154" s="33">
        <f t="shared" ref="C1154:C1217" si="36">(B1154-B1155)/B1155</f>
        <v>-1.6540642722117269E-3</v>
      </c>
      <c r="E1154" s="34">
        <v>2789.65</v>
      </c>
      <c r="F1154" s="33">
        <f t="shared" ref="F1154:F1217" si="37">(E1154-E1155)/E1155</f>
        <v>-1.131476899610018E-3</v>
      </c>
      <c r="I1154" s="37"/>
      <c r="J1154" s="37"/>
    </row>
    <row r="1155" spans="1:10" x14ac:dyDescent="0.35">
      <c r="A1155" s="35">
        <v>43528</v>
      </c>
      <c r="B1155">
        <v>42.32</v>
      </c>
      <c r="C1155" s="33">
        <f t="shared" si="36"/>
        <v>4.9869389693659666E-3</v>
      </c>
      <c r="E1155" s="34">
        <v>2792.81</v>
      </c>
      <c r="F1155" s="33">
        <f t="shared" si="37"/>
        <v>-3.8806002090103074E-3</v>
      </c>
      <c r="I1155" s="37"/>
      <c r="J1155" s="37"/>
    </row>
    <row r="1156" spans="1:10" x14ac:dyDescent="0.35">
      <c r="A1156" s="35">
        <v>43525</v>
      </c>
      <c r="B1156">
        <v>42.11</v>
      </c>
      <c r="C1156" s="33">
        <f t="shared" si="36"/>
        <v>1.0559155267578538E-2</v>
      </c>
      <c r="E1156" s="34">
        <v>2803.69</v>
      </c>
      <c r="F1156" s="33">
        <f t="shared" si="37"/>
        <v>6.8953381050031693E-3</v>
      </c>
      <c r="I1156" s="37"/>
      <c r="J1156" s="37"/>
    </row>
    <row r="1157" spans="1:10" x14ac:dyDescent="0.35">
      <c r="A1157" s="35">
        <v>43524</v>
      </c>
      <c r="B1157">
        <v>41.67</v>
      </c>
      <c r="C1157" s="33">
        <f t="shared" si="36"/>
        <v>-9.9786172487527133E-3</v>
      </c>
      <c r="E1157" s="34">
        <v>2784.49</v>
      </c>
      <c r="F1157" s="33">
        <f t="shared" si="37"/>
        <v>-2.8255466662847921E-3</v>
      </c>
      <c r="I1157" s="37"/>
      <c r="J1157" s="37"/>
    </row>
    <row r="1158" spans="1:10" x14ac:dyDescent="0.35">
      <c r="A1158" s="35">
        <v>43523</v>
      </c>
      <c r="B1158">
        <v>42.09</v>
      </c>
      <c r="C1158" s="33">
        <f t="shared" si="36"/>
        <v>3.0981887511916718E-3</v>
      </c>
      <c r="E1158" s="34">
        <v>2792.38</v>
      </c>
      <c r="F1158" s="33">
        <f t="shared" si="37"/>
        <v>-5.4404237803786165E-4</v>
      </c>
      <c r="I1158" s="37"/>
      <c r="J1158" s="37"/>
    </row>
    <row r="1159" spans="1:10" x14ac:dyDescent="0.35">
      <c r="A1159" s="35">
        <v>43522</v>
      </c>
      <c r="B1159">
        <v>41.96</v>
      </c>
      <c r="C1159" s="33">
        <f t="shared" si="36"/>
        <v>7.1547817791560073E-4</v>
      </c>
      <c r="E1159" s="34">
        <v>2793.9</v>
      </c>
      <c r="F1159" s="33">
        <f t="shared" si="37"/>
        <v>-7.9038378318450854E-4</v>
      </c>
      <c r="I1159" s="37"/>
      <c r="J1159" s="37"/>
    </row>
    <row r="1160" spans="1:10" x14ac:dyDescent="0.35">
      <c r="A1160" s="35">
        <v>43521</v>
      </c>
      <c r="B1160">
        <v>41.93</v>
      </c>
      <c r="C1160" s="33">
        <f t="shared" si="36"/>
        <v>7.2063415805908512E-3</v>
      </c>
      <c r="E1160" s="34">
        <v>2796.11</v>
      </c>
      <c r="F1160" s="33">
        <f t="shared" si="37"/>
        <v>1.2317960947767028E-3</v>
      </c>
      <c r="I1160" s="37"/>
      <c r="J1160" s="37"/>
    </row>
    <row r="1161" spans="1:10" x14ac:dyDescent="0.35">
      <c r="A1161" s="35">
        <v>43518</v>
      </c>
      <c r="B1161">
        <v>41.63</v>
      </c>
      <c r="C1161" s="33">
        <f t="shared" si="36"/>
        <v>1.1173184357541919E-2</v>
      </c>
      <c r="E1161" s="34">
        <v>2792.67</v>
      </c>
      <c r="F1161" s="33">
        <f t="shared" si="37"/>
        <v>6.4110880470506703E-3</v>
      </c>
      <c r="I1161" s="37"/>
      <c r="J1161" s="37"/>
    </row>
    <row r="1162" spans="1:10" x14ac:dyDescent="0.35">
      <c r="A1162" s="35">
        <v>43517</v>
      </c>
      <c r="B1162">
        <v>41.17</v>
      </c>
      <c r="C1162" s="33">
        <f t="shared" si="36"/>
        <v>-5.5555555555554803E-3</v>
      </c>
      <c r="E1162" s="34">
        <v>2774.88</v>
      </c>
      <c r="F1162" s="33">
        <f t="shared" si="37"/>
        <v>-3.526412180845229E-3</v>
      </c>
      <c r="I1162" s="37"/>
      <c r="J1162" s="37"/>
    </row>
    <row r="1163" spans="1:10" x14ac:dyDescent="0.35">
      <c r="A1163" s="35">
        <v>43516</v>
      </c>
      <c r="B1163">
        <v>41.4</v>
      </c>
      <c r="C1163" s="33">
        <f t="shared" si="36"/>
        <v>6.3198833252308701E-3</v>
      </c>
      <c r="E1163" s="34">
        <v>2784.7</v>
      </c>
      <c r="F1163" s="33">
        <f t="shared" si="37"/>
        <v>1.7771318387197453E-3</v>
      </c>
      <c r="I1163" s="37"/>
      <c r="J1163" s="37"/>
    </row>
    <row r="1164" spans="1:10" x14ac:dyDescent="0.35">
      <c r="A1164" s="35">
        <v>43515</v>
      </c>
      <c r="B1164">
        <v>41.14</v>
      </c>
      <c r="C1164" s="33">
        <f t="shared" si="36"/>
        <v>2.9254022428083235E-3</v>
      </c>
      <c r="E1164" s="34">
        <v>2779.76</v>
      </c>
      <c r="F1164" s="33">
        <f t="shared" si="37"/>
        <v>1.4987750396311822E-3</v>
      </c>
      <c r="I1164" s="37"/>
      <c r="J1164" s="37"/>
    </row>
    <row r="1165" spans="1:10" x14ac:dyDescent="0.35">
      <c r="A1165" s="35">
        <v>43511</v>
      </c>
      <c r="B1165">
        <v>41.02</v>
      </c>
      <c r="C1165" s="33">
        <f t="shared" si="36"/>
        <v>-2.1892483580636416E-3</v>
      </c>
      <c r="E1165" s="34">
        <v>2775.6</v>
      </c>
      <c r="F1165" s="33">
        <f t="shared" si="37"/>
        <v>1.0878709851296338E-2</v>
      </c>
      <c r="I1165" s="37"/>
      <c r="J1165" s="37"/>
    </row>
    <row r="1166" spans="1:10" x14ac:dyDescent="0.35">
      <c r="A1166" s="35">
        <v>43510</v>
      </c>
      <c r="B1166">
        <v>41.11</v>
      </c>
      <c r="C1166" s="33">
        <f t="shared" si="36"/>
        <v>3.6621093749999653E-3</v>
      </c>
      <c r="E1166" s="34">
        <v>2745.73</v>
      </c>
      <c r="F1166" s="33">
        <f t="shared" si="37"/>
        <v>-2.6516238471793554E-3</v>
      </c>
      <c r="I1166" s="37"/>
      <c r="J1166" s="37"/>
    </row>
    <row r="1167" spans="1:10" x14ac:dyDescent="0.35">
      <c r="A1167" s="35">
        <v>43509</v>
      </c>
      <c r="B1167">
        <v>40.96</v>
      </c>
      <c r="C1167" s="33">
        <f t="shared" si="36"/>
        <v>-4.1332360807197106E-3</v>
      </c>
      <c r="E1167" s="34">
        <v>2753.03</v>
      </c>
      <c r="F1167" s="33">
        <f t="shared" si="37"/>
        <v>3.0239768574687425E-3</v>
      </c>
      <c r="I1167" s="37"/>
      <c r="J1167" s="37"/>
    </row>
    <row r="1168" spans="1:10" x14ac:dyDescent="0.35">
      <c r="A1168" s="35">
        <v>43508</v>
      </c>
      <c r="B1168">
        <v>41.13</v>
      </c>
      <c r="C1168" s="33">
        <f t="shared" si="36"/>
        <v>8.5826385483080293E-3</v>
      </c>
      <c r="E1168" s="34">
        <v>2744.73</v>
      </c>
      <c r="F1168" s="33">
        <f t="shared" si="37"/>
        <v>1.2890250202966948E-2</v>
      </c>
      <c r="I1168" s="37"/>
      <c r="J1168" s="37"/>
    </row>
    <row r="1169" spans="1:10" x14ac:dyDescent="0.35">
      <c r="A1169" s="35">
        <v>43507</v>
      </c>
      <c r="B1169">
        <v>40.78</v>
      </c>
      <c r="C1169" s="33">
        <f t="shared" si="36"/>
        <v>-5.6083881980004118E-3</v>
      </c>
      <c r="E1169" s="34">
        <v>2709.8</v>
      </c>
      <c r="F1169" s="33">
        <f t="shared" si="37"/>
        <v>7.0904175960532698E-4</v>
      </c>
      <c r="I1169" s="37"/>
      <c r="J1169" s="37"/>
    </row>
    <row r="1170" spans="1:10" x14ac:dyDescent="0.35">
      <c r="A1170" s="35">
        <v>43504</v>
      </c>
      <c r="B1170">
        <v>41.01</v>
      </c>
      <c r="C1170" s="33">
        <f t="shared" si="36"/>
        <v>9.7632413961433115E-4</v>
      </c>
      <c r="E1170" s="34">
        <v>2707.88</v>
      </c>
      <c r="F1170" s="33">
        <f t="shared" si="37"/>
        <v>6.7626244895693983E-4</v>
      </c>
      <c r="I1170" s="37"/>
      <c r="J1170" s="37"/>
    </row>
    <row r="1171" spans="1:10" x14ac:dyDescent="0.35">
      <c r="A1171" s="35">
        <v>43503</v>
      </c>
      <c r="B1171">
        <v>40.97</v>
      </c>
      <c r="C1171" s="33">
        <f t="shared" si="36"/>
        <v>-1.8917624521072776E-2</v>
      </c>
      <c r="E1171" s="34">
        <v>2706.05</v>
      </c>
      <c r="F1171" s="33">
        <f t="shared" si="37"/>
        <v>-9.3571190616522654E-3</v>
      </c>
      <c r="I1171" s="37"/>
      <c r="J1171" s="37"/>
    </row>
    <row r="1172" spans="1:10" x14ac:dyDescent="0.35">
      <c r="A1172" s="35">
        <v>43502</v>
      </c>
      <c r="B1172">
        <v>41.76</v>
      </c>
      <c r="C1172" s="33">
        <f t="shared" si="36"/>
        <v>4.7915668423564975E-4</v>
      </c>
      <c r="E1172" s="34">
        <v>2731.61</v>
      </c>
      <c r="F1172" s="33">
        <f t="shared" si="37"/>
        <v>-2.2244950140627869E-3</v>
      </c>
      <c r="I1172" s="37"/>
      <c r="J1172" s="37"/>
    </row>
    <row r="1173" spans="1:10" x14ac:dyDescent="0.35">
      <c r="A1173" s="35">
        <v>43501</v>
      </c>
      <c r="B1173">
        <v>41.74</v>
      </c>
      <c r="C1173" s="33">
        <f t="shared" si="36"/>
        <v>1.705653021442502E-2</v>
      </c>
      <c r="E1173" s="34">
        <v>2737.7</v>
      </c>
      <c r="F1173" s="33">
        <f t="shared" si="37"/>
        <v>4.708481505539687E-3</v>
      </c>
      <c r="I1173" s="37"/>
      <c r="J1173" s="37"/>
    </row>
    <row r="1174" spans="1:10" x14ac:dyDescent="0.35">
      <c r="A1174" s="35">
        <v>43500</v>
      </c>
      <c r="B1174">
        <v>41.04</v>
      </c>
      <c r="C1174" s="33">
        <f t="shared" si="36"/>
        <v>2.8313705838135871E-2</v>
      </c>
      <c r="E1174" s="34">
        <v>2724.87</v>
      </c>
      <c r="F1174" s="33">
        <f t="shared" si="37"/>
        <v>6.7762042172078967E-3</v>
      </c>
      <c r="I1174" s="37"/>
      <c r="J1174" s="37"/>
    </row>
    <row r="1175" spans="1:10" x14ac:dyDescent="0.35">
      <c r="A1175" s="35">
        <v>43497</v>
      </c>
      <c r="B1175">
        <v>39.909999999999997</v>
      </c>
      <c r="C1175" s="33">
        <f t="shared" si="36"/>
        <v>5.0137879167701227E-4</v>
      </c>
      <c r="E1175" s="34">
        <v>2706.53</v>
      </c>
      <c r="F1175" s="33">
        <f t="shared" si="37"/>
        <v>8.9863540549546658E-4</v>
      </c>
      <c r="I1175" s="37"/>
      <c r="J1175" s="37"/>
    </row>
    <row r="1176" spans="1:10" x14ac:dyDescent="0.35">
      <c r="A1176" s="35">
        <v>43496</v>
      </c>
      <c r="B1176">
        <v>39.89</v>
      </c>
      <c r="C1176" s="33">
        <f t="shared" si="36"/>
        <v>7.3232323232323019E-3</v>
      </c>
      <c r="E1176" s="34">
        <v>2704.1</v>
      </c>
      <c r="F1176" s="33">
        <f t="shared" si="37"/>
        <v>8.5973778929895849E-3</v>
      </c>
      <c r="I1176" s="37"/>
      <c r="J1176" s="37"/>
    </row>
    <row r="1177" spans="1:10" x14ac:dyDescent="0.35">
      <c r="A1177" s="35">
        <v>43495</v>
      </c>
      <c r="B1177">
        <v>39.6</v>
      </c>
      <c r="C1177" s="33">
        <f t="shared" si="36"/>
        <v>6.8249258160237414E-2</v>
      </c>
      <c r="E1177" s="34">
        <v>2681.05</v>
      </c>
      <c r="F1177" s="33">
        <f t="shared" si="37"/>
        <v>1.5549242424242493E-2</v>
      </c>
      <c r="I1177" s="37"/>
      <c r="J1177" s="37"/>
    </row>
    <row r="1178" spans="1:10" x14ac:dyDescent="0.35">
      <c r="A1178" s="35">
        <v>43494</v>
      </c>
      <c r="B1178">
        <v>37.07</v>
      </c>
      <c r="C1178" s="33">
        <f t="shared" si="36"/>
        <v>-1.0411105178857462E-2</v>
      </c>
      <c r="E1178" s="34">
        <v>2640</v>
      </c>
      <c r="F1178" s="33">
        <f t="shared" si="37"/>
        <v>-1.4562096941959299E-3</v>
      </c>
      <c r="I1178" s="37"/>
      <c r="J1178" s="37"/>
    </row>
    <row r="1179" spans="1:10" x14ac:dyDescent="0.35">
      <c r="A1179" s="35">
        <v>43493</v>
      </c>
      <c r="B1179">
        <v>37.46</v>
      </c>
      <c r="C1179" s="33">
        <f t="shared" si="36"/>
        <v>-9.2568103676276495E-3</v>
      </c>
      <c r="E1179" s="34">
        <v>2643.85</v>
      </c>
      <c r="F1179" s="33">
        <f t="shared" si="37"/>
        <v>-7.8468605052613768E-3</v>
      </c>
      <c r="I1179" s="37"/>
      <c r="J1179" s="37"/>
    </row>
    <row r="1180" spans="1:10" x14ac:dyDescent="0.35">
      <c r="A1180" s="35">
        <v>43490</v>
      </c>
      <c r="B1180">
        <v>37.81</v>
      </c>
      <c r="C1180" s="33">
        <f t="shared" si="36"/>
        <v>3.3342443290516499E-2</v>
      </c>
      <c r="E1180" s="34">
        <v>2664.76</v>
      </c>
      <c r="F1180" s="33">
        <f t="shared" si="37"/>
        <v>8.4887201825662555E-3</v>
      </c>
      <c r="I1180" s="37"/>
      <c r="J1180" s="37"/>
    </row>
    <row r="1181" spans="1:10" x14ac:dyDescent="0.35">
      <c r="A1181" s="35">
        <v>43489</v>
      </c>
      <c r="B1181">
        <v>36.590000000000003</v>
      </c>
      <c r="C1181" s="33">
        <f t="shared" si="36"/>
        <v>-8.1322851721332915E-3</v>
      </c>
      <c r="E1181" s="34">
        <v>2642.33</v>
      </c>
      <c r="F1181" s="33">
        <f t="shared" si="37"/>
        <v>1.3756774169098834E-3</v>
      </c>
      <c r="I1181" s="37"/>
      <c r="J1181" s="37"/>
    </row>
    <row r="1182" spans="1:10" x14ac:dyDescent="0.35">
      <c r="A1182" s="35">
        <v>43488</v>
      </c>
      <c r="B1182">
        <v>36.89</v>
      </c>
      <c r="C1182" s="33">
        <f t="shared" si="36"/>
        <v>4.0827436037016484E-3</v>
      </c>
      <c r="E1182" s="34">
        <v>2638.7</v>
      </c>
      <c r="F1182" s="33">
        <f t="shared" si="37"/>
        <v>2.202894147138033E-3</v>
      </c>
      <c r="I1182" s="37"/>
      <c r="J1182" s="37"/>
    </row>
    <row r="1183" spans="1:10" x14ac:dyDescent="0.35">
      <c r="A1183" s="35">
        <v>43487</v>
      </c>
      <c r="B1183">
        <v>36.74</v>
      </c>
      <c r="C1183" s="33">
        <f t="shared" si="36"/>
        <v>-2.2352315061202669E-2</v>
      </c>
      <c r="E1183" s="34">
        <v>2632.9</v>
      </c>
      <c r="F1183" s="33">
        <f t="shared" si="37"/>
        <v>-1.4157284018107523E-2</v>
      </c>
      <c r="I1183" s="37"/>
      <c r="J1183" s="37"/>
    </row>
    <row r="1184" spans="1:10" x14ac:dyDescent="0.35">
      <c r="A1184" s="35">
        <v>43483</v>
      </c>
      <c r="B1184">
        <v>37.58</v>
      </c>
      <c r="C1184" s="33">
        <f t="shared" si="36"/>
        <v>6.1579651941096889E-3</v>
      </c>
      <c r="E1184" s="34">
        <v>2670.71</v>
      </c>
      <c r="F1184" s="33">
        <f t="shared" si="37"/>
        <v>1.3183052853609311E-2</v>
      </c>
      <c r="I1184" s="37"/>
      <c r="J1184" s="37"/>
    </row>
    <row r="1185" spans="1:10" x14ac:dyDescent="0.35">
      <c r="A1185" s="35">
        <v>43482</v>
      </c>
      <c r="B1185">
        <v>37.35</v>
      </c>
      <c r="C1185" s="33">
        <f t="shared" si="36"/>
        <v>5.9251279288984335E-3</v>
      </c>
      <c r="E1185" s="34">
        <v>2635.96</v>
      </c>
      <c r="F1185" s="33">
        <f t="shared" si="37"/>
        <v>7.5914529261114361E-3</v>
      </c>
      <c r="I1185" s="37"/>
      <c r="J1185" s="37"/>
    </row>
    <row r="1186" spans="1:10" x14ac:dyDescent="0.35">
      <c r="A1186" s="35">
        <v>43481</v>
      </c>
      <c r="B1186">
        <v>37.130000000000003</v>
      </c>
      <c r="C1186" s="33">
        <f t="shared" si="36"/>
        <v>1.2268266085060056E-2</v>
      </c>
      <c r="E1186" s="34">
        <v>2616.1</v>
      </c>
      <c r="F1186" s="33">
        <f t="shared" si="37"/>
        <v>2.2219668237366307E-3</v>
      </c>
      <c r="I1186" s="37"/>
      <c r="J1186" s="37"/>
    </row>
    <row r="1187" spans="1:10" x14ac:dyDescent="0.35">
      <c r="A1187" s="35">
        <v>43480</v>
      </c>
      <c r="B1187">
        <v>36.68</v>
      </c>
      <c r="C1187" s="33">
        <f t="shared" si="36"/>
        <v>2.0305980528511732E-2</v>
      </c>
      <c r="E1187" s="34">
        <v>2610.3000000000002</v>
      </c>
      <c r="F1187" s="33">
        <f t="shared" si="37"/>
        <v>1.0721711756711255E-2</v>
      </c>
      <c r="I1187" s="37"/>
      <c r="J1187" s="37"/>
    </row>
    <row r="1188" spans="1:10" x14ac:dyDescent="0.35">
      <c r="A1188" s="35">
        <v>43479</v>
      </c>
      <c r="B1188">
        <v>35.950000000000003</v>
      </c>
      <c r="C1188" s="33">
        <f t="shared" si="36"/>
        <v>-1.5068493150684854E-2</v>
      </c>
      <c r="E1188" s="34">
        <v>2582.61</v>
      </c>
      <c r="F1188" s="33">
        <f t="shared" si="37"/>
        <v>-5.2575628018765802E-3</v>
      </c>
      <c r="I1188" s="37"/>
      <c r="J1188" s="37"/>
    </row>
    <row r="1189" spans="1:10" x14ac:dyDescent="0.35">
      <c r="A1189" s="35">
        <v>43476</v>
      </c>
      <c r="B1189">
        <v>36.5</v>
      </c>
      <c r="C1189" s="33">
        <f t="shared" si="36"/>
        <v>-9.7666847531198975E-3</v>
      </c>
      <c r="E1189" s="34">
        <v>2596.2600000000002</v>
      </c>
      <c r="F1189" s="33">
        <f t="shared" si="37"/>
        <v>-1.463429662947711E-4</v>
      </c>
      <c r="I1189" s="37"/>
      <c r="J1189" s="37"/>
    </row>
    <row r="1190" spans="1:10" x14ac:dyDescent="0.35">
      <c r="A1190" s="35">
        <v>43475</v>
      </c>
      <c r="B1190">
        <v>36.86</v>
      </c>
      <c r="C1190" s="33">
        <f t="shared" si="36"/>
        <v>3.2661948829612801E-3</v>
      </c>
      <c r="E1190" s="34">
        <v>2596.64</v>
      </c>
      <c r="F1190" s="33">
        <f t="shared" si="37"/>
        <v>4.5184451596929302E-3</v>
      </c>
      <c r="I1190" s="37"/>
      <c r="J1190" s="37"/>
    </row>
    <row r="1191" spans="1:10" x14ac:dyDescent="0.35">
      <c r="A1191" s="35">
        <v>43474</v>
      </c>
      <c r="B1191">
        <v>36.74</v>
      </c>
      <c r="C1191" s="33">
        <f t="shared" si="36"/>
        <v>1.6883476335455283E-2</v>
      </c>
      <c r="E1191" s="34">
        <v>2584.96</v>
      </c>
      <c r="F1191" s="33">
        <f t="shared" si="37"/>
        <v>4.0980263439002263E-3</v>
      </c>
      <c r="I1191" s="37"/>
      <c r="J1191" s="37"/>
    </row>
    <row r="1192" spans="1:10" x14ac:dyDescent="0.35">
      <c r="A1192" s="35">
        <v>43473</v>
      </c>
      <c r="B1192">
        <v>36.130000000000003</v>
      </c>
      <c r="C1192" s="33">
        <f t="shared" si="36"/>
        <v>1.9181946403385039E-2</v>
      </c>
      <c r="E1192" s="34">
        <v>2574.41</v>
      </c>
      <c r="F1192" s="33">
        <f t="shared" si="37"/>
        <v>9.695296290921562E-3</v>
      </c>
      <c r="I1192" s="37"/>
      <c r="J1192" s="37"/>
    </row>
    <row r="1193" spans="1:10" x14ac:dyDescent="0.35">
      <c r="A1193" s="35">
        <v>43472</v>
      </c>
      <c r="B1193">
        <v>35.450000000000003</v>
      </c>
      <c r="C1193" s="33">
        <f t="shared" si="36"/>
        <v>-2.2516183506895099E-3</v>
      </c>
      <c r="E1193" s="34">
        <v>2549.69</v>
      </c>
      <c r="F1193" s="33">
        <f t="shared" si="37"/>
        <v>7.0104346864459663E-3</v>
      </c>
      <c r="I1193" s="37"/>
      <c r="J1193" s="37"/>
    </row>
    <row r="1194" spans="1:10" x14ac:dyDescent="0.35">
      <c r="A1194" s="35">
        <v>43469</v>
      </c>
      <c r="B1194">
        <v>35.53</v>
      </c>
      <c r="C1194" s="33">
        <f t="shared" si="36"/>
        <v>4.2546948356807598E-2</v>
      </c>
      <c r="E1194" s="34">
        <v>2531.94</v>
      </c>
      <c r="F1194" s="33">
        <f t="shared" si="37"/>
        <v>3.4335693188828002E-2</v>
      </c>
      <c r="I1194" s="37"/>
      <c r="J1194" s="37"/>
    </row>
    <row r="1195" spans="1:10" x14ac:dyDescent="0.35">
      <c r="A1195" s="35">
        <v>43468</v>
      </c>
      <c r="B1195">
        <v>34.08</v>
      </c>
      <c r="C1195" s="33">
        <f t="shared" si="36"/>
        <v>-9.9603698811096514E-2</v>
      </c>
      <c r="E1195" s="34">
        <v>2447.89</v>
      </c>
      <c r="F1195" s="33">
        <f t="shared" si="37"/>
        <v>-2.4756676215025447E-2</v>
      </c>
      <c r="I1195" s="37"/>
      <c r="J1195" s="37"/>
    </row>
    <row r="1196" spans="1:10" x14ac:dyDescent="0.35">
      <c r="A1196" s="35">
        <v>43467</v>
      </c>
      <c r="B1196">
        <v>37.85</v>
      </c>
      <c r="C1196" s="33">
        <f t="shared" si="36"/>
        <v>1.3227513227514357E-3</v>
      </c>
      <c r="E1196" s="34">
        <v>2510.0300000000002</v>
      </c>
      <c r="F1196" s="33">
        <f t="shared" si="37"/>
        <v>1.2685242435727271E-3</v>
      </c>
      <c r="I1196" s="37"/>
      <c r="J1196" s="37"/>
    </row>
    <row r="1197" spans="1:10" x14ac:dyDescent="0.35">
      <c r="A1197" s="35">
        <v>43465</v>
      </c>
      <c r="B1197">
        <v>37.799999999999997</v>
      </c>
      <c r="C1197" s="33">
        <f t="shared" si="36"/>
        <v>9.6153846153846003E-3</v>
      </c>
      <c r="E1197" s="34">
        <v>2506.85</v>
      </c>
      <c r="F1197" s="33">
        <f t="shared" si="37"/>
        <v>8.4924408827955176E-3</v>
      </c>
      <c r="I1197" s="37"/>
      <c r="J1197" s="37"/>
    </row>
    <row r="1198" spans="1:10" x14ac:dyDescent="0.35">
      <c r="A1198" s="35">
        <v>43462</v>
      </c>
      <c r="B1198">
        <v>37.44</v>
      </c>
      <c r="C1198" s="33">
        <f t="shared" si="36"/>
        <v>5.344735435594874E-4</v>
      </c>
      <c r="E1198" s="34">
        <v>2485.7399999999998</v>
      </c>
      <c r="F1198" s="33">
        <f t="shared" si="37"/>
        <v>-1.2415472330372687E-3</v>
      </c>
      <c r="I1198" s="37"/>
      <c r="J1198" s="37"/>
    </row>
    <row r="1199" spans="1:10" x14ac:dyDescent="0.35">
      <c r="A1199" s="35">
        <v>43461</v>
      </c>
      <c r="B1199">
        <v>37.42</v>
      </c>
      <c r="C1199" s="33">
        <f t="shared" si="36"/>
        <v>-6.6365808335545522E-3</v>
      </c>
      <c r="E1199" s="34">
        <v>2488.83</v>
      </c>
      <c r="F1199" s="33">
        <f t="shared" si="37"/>
        <v>8.5626291688617375E-3</v>
      </c>
      <c r="I1199" s="37"/>
      <c r="J1199" s="37"/>
    </row>
    <row r="1200" spans="1:10" x14ac:dyDescent="0.35">
      <c r="A1200" s="35">
        <v>43460</v>
      </c>
      <c r="B1200">
        <v>37.67</v>
      </c>
      <c r="C1200" s="33">
        <f t="shared" si="36"/>
        <v>7.0474566638249622E-2</v>
      </c>
      <c r="E1200" s="34">
        <v>2467.6999999999998</v>
      </c>
      <c r="F1200" s="33">
        <f t="shared" si="37"/>
        <v>4.9593807154098044E-2</v>
      </c>
      <c r="I1200" s="37"/>
      <c r="J1200" s="37"/>
    </row>
    <row r="1201" spans="1:10" x14ac:dyDescent="0.35">
      <c r="A1201" s="35">
        <v>43458</v>
      </c>
      <c r="B1201">
        <v>35.19</v>
      </c>
      <c r="C1201" s="33">
        <f t="shared" si="36"/>
        <v>-2.5747508305647836E-2</v>
      </c>
      <c r="E1201" s="34">
        <v>2351.1</v>
      </c>
      <c r="F1201" s="33">
        <f t="shared" si="37"/>
        <v>-2.7112247684782872E-2</v>
      </c>
      <c r="I1201" s="37"/>
      <c r="J1201" s="37"/>
    </row>
    <row r="1202" spans="1:10" x14ac:dyDescent="0.35">
      <c r="A1202" s="35">
        <v>43455</v>
      </c>
      <c r="B1202">
        <v>36.119999999999997</v>
      </c>
      <c r="C1202" s="33">
        <f t="shared" si="36"/>
        <v>-3.8850452368281024E-2</v>
      </c>
      <c r="E1202" s="34">
        <v>2416.62</v>
      </c>
      <c r="F1202" s="33">
        <f t="shared" si="37"/>
        <v>-2.0588306814405405E-2</v>
      </c>
      <c r="I1202" s="37"/>
      <c r="J1202" s="37"/>
    </row>
    <row r="1203" spans="1:10" x14ac:dyDescent="0.35">
      <c r="A1203" s="35">
        <v>43454</v>
      </c>
      <c r="B1203">
        <v>37.58</v>
      </c>
      <c r="C1203" s="33">
        <f t="shared" si="36"/>
        <v>-2.54149377593362E-2</v>
      </c>
      <c r="E1203" s="34">
        <v>2467.42</v>
      </c>
      <c r="F1203" s="33">
        <f t="shared" si="37"/>
        <v>-1.5772090500047853E-2</v>
      </c>
      <c r="I1203" s="37"/>
      <c r="J1203" s="37"/>
    </row>
    <row r="1204" spans="1:10" x14ac:dyDescent="0.35">
      <c r="A1204" s="35">
        <v>43453</v>
      </c>
      <c r="B1204">
        <v>38.56</v>
      </c>
      <c r="C1204" s="33">
        <f t="shared" si="36"/>
        <v>-3.1155778894472234E-2</v>
      </c>
      <c r="E1204" s="34">
        <v>2506.96</v>
      </c>
      <c r="F1204" s="33">
        <f t="shared" si="37"/>
        <v>-1.5395733182517917E-2</v>
      </c>
      <c r="I1204" s="37"/>
      <c r="J1204" s="37"/>
    </row>
    <row r="1205" spans="1:10" x14ac:dyDescent="0.35">
      <c r="A1205" s="35">
        <v>43452</v>
      </c>
      <c r="B1205">
        <v>39.799999999999997</v>
      </c>
      <c r="C1205" s="33">
        <f t="shared" si="36"/>
        <v>1.2980402137948537E-2</v>
      </c>
      <c r="E1205" s="34">
        <v>2546.16</v>
      </c>
      <c r="F1205" s="33">
        <f t="shared" si="37"/>
        <v>8.6412091408202824E-5</v>
      </c>
      <c r="I1205" s="37"/>
      <c r="J1205" s="37"/>
    </row>
    <row r="1206" spans="1:10" x14ac:dyDescent="0.35">
      <c r="A1206" s="35">
        <v>43451</v>
      </c>
      <c r="B1206">
        <v>39.29</v>
      </c>
      <c r="C1206" s="33">
        <f t="shared" si="36"/>
        <v>-9.3292990418557108E-3</v>
      </c>
      <c r="E1206" s="34">
        <v>2545.94</v>
      </c>
      <c r="F1206" s="33">
        <f t="shared" si="37"/>
        <v>-2.0773476413007853E-2</v>
      </c>
      <c r="I1206" s="37"/>
      <c r="J1206" s="37"/>
    </row>
    <row r="1207" spans="1:10" x14ac:dyDescent="0.35">
      <c r="A1207" s="35">
        <v>43448</v>
      </c>
      <c r="B1207">
        <v>39.659999999999997</v>
      </c>
      <c r="C1207" s="33">
        <f t="shared" si="36"/>
        <v>-3.197461557237008E-2</v>
      </c>
      <c r="E1207" s="34">
        <v>2599.9499999999998</v>
      </c>
      <c r="F1207" s="33">
        <f t="shared" si="37"/>
        <v>-1.9086676677205455E-2</v>
      </c>
      <c r="I1207" s="37"/>
      <c r="J1207" s="37"/>
    </row>
    <row r="1208" spans="1:10" x14ac:dyDescent="0.35">
      <c r="A1208" s="35">
        <v>43447</v>
      </c>
      <c r="B1208">
        <v>40.97</v>
      </c>
      <c r="C1208" s="33">
        <f t="shared" si="36"/>
        <v>1.1105626850937703E-2</v>
      </c>
      <c r="E1208" s="34">
        <v>2650.54</v>
      </c>
      <c r="F1208" s="33">
        <f t="shared" si="37"/>
        <v>-1.9991927787655551E-4</v>
      </c>
      <c r="I1208" s="37"/>
      <c r="J1208" s="37"/>
    </row>
    <row r="1209" spans="1:10" x14ac:dyDescent="0.35">
      <c r="A1209" s="35">
        <v>43446</v>
      </c>
      <c r="B1209">
        <v>40.520000000000003</v>
      </c>
      <c r="C1209" s="33">
        <f t="shared" si="36"/>
        <v>2.7220984904728174E-3</v>
      </c>
      <c r="E1209" s="34">
        <v>2651.07</v>
      </c>
      <c r="F1209" s="33">
        <f t="shared" si="37"/>
        <v>5.4194889220943584E-3</v>
      </c>
      <c r="I1209" s="37"/>
      <c r="J1209" s="37"/>
    </row>
    <row r="1210" spans="1:10" x14ac:dyDescent="0.35">
      <c r="A1210" s="35">
        <v>43445</v>
      </c>
      <c r="B1210">
        <v>40.409999999999997</v>
      </c>
      <c r="C1210" s="33">
        <f t="shared" si="36"/>
        <v>-5.6594488188977353E-3</v>
      </c>
      <c r="E1210" s="34">
        <v>2636.78</v>
      </c>
      <c r="F1210" s="33">
        <f t="shared" si="37"/>
        <v>-3.5636837875119417E-4</v>
      </c>
      <c r="I1210" s="37"/>
      <c r="J1210" s="37"/>
    </row>
    <row r="1211" spans="1:10" x14ac:dyDescent="0.35">
      <c r="A1211" s="35">
        <v>43444</v>
      </c>
      <c r="B1211">
        <v>40.64</v>
      </c>
      <c r="C1211" s="33">
        <f t="shared" si="36"/>
        <v>6.438831104507132E-3</v>
      </c>
      <c r="E1211" s="34">
        <v>2637.72</v>
      </c>
      <c r="F1211" s="33">
        <f t="shared" si="37"/>
        <v>1.7621948440608994E-3</v>
      </c>
      <c r="I1211" s="37"/>
      <c r="J1211" s="37"/>
    </row>
    <row r="1212" spans="1:10" x14ac:dyDescent="0.35">
      <c r="A1212" s="35">
        <v>43441</v>
      </c>
      <c r="B1212">
        <v>40.380000000000003</v>
      </c>
      <c r="C1212" s="33">
        <f t="shared" si="36"/>
        <v>-3.5586338667303437E-2</v>
      </c>
      <c r="E1212" s="34">
        <v>2633.08</v>
      </c>
      <c r="F1212" s="33">
        <f t="shared" si="37"/>
        <v>-2.3320165433335149E-2</v>
      </c>
      <c r="I1212" s="37"/>
      <c r="J1212" s="37"/>
    </row>
    <row r="1213" spans="1:10" x14ac:dyDescent="0.35">
      <c r="A1213" s="35">
        <v>43440</v>
      </c>
      <c r="B1213">
        <v>41.87</v>
      </c>
      <c r="C1213" s="33">
        <f t="shared" si="36"/>
        <v>-1.1100614076523522E-2</v>
      </c>
      <c r="E1213" s="34">
        <v>2695.95</v>
      </c>
      <c r="F1213" s="33">
        <f t="shared" si="37"/>
        <v>-1.5221883958134736E-3</v>
      </c>
      <c r="I1213" s="37"/>
      <c r="J1213" s="37"/>
    </row>
    <row r="1214" spans="1:10" x14ac:dyDescent="0.35">
      <c r="A1214" s="35">
        <v>43438</v>
      </c>
      <c r="B1214">
        <v>42.34</v>
      </c>
      <c r="C1214" s="33">
        <f t="shared" si="36"/>
        <v>-4.4027997290584688E-2</v>
      </c>
      <c r="E1214" s="34">
        <v>2700.06</v>
      </c>
      <c r="F1214" s="33">
        <f t="shared" si="37"/>
        <v>-3.236488351007212E-2</v>
      </c>
      <c r="I1214" s="37"/>
      <c r="J1214" s="37"/>
    </row>
    <row r="1215" spans="1:10" x14ac:dyDescent="0.35">
      <c r="A1215" s="35">
        <v>43437</v>
      </c>
      <c r="B1215">
        <v>44.29</v>
      </c>
      <c r="C1215" s="33">
        <f t="shared" si="36"/>
        <v>3.4813084112149582E-2</v>
      </c>
      <c r="E1215" s="34">
        <v>2790.37</v>
      </c>
      <c r="F1215" s="33">
        <f t="shared" si="37"/>
        <v>1.0941355061463539E-2</v>
      </c>
      <c r="I1215" s="37"/>
      <c r="J1215" s="37"/>
    </row>
    <row r="1216" spans="1:10" x14ac:dyDescent="0.35">
      <c r="A1216" s="35">
        <v>43434</v>
      </c>
      <c r="B1216">
        <v>42.8</v>
      </c>
      <c r="C1216" s="33">
        <f t="shared" si="36"/>
        <v>-5.3451080641413887E-3</v>
      </c>
      <c r="E1216" s="34">
        <v>2760.17</v>
      </c>
      <c r="F1216" s="33">
        <f t="shared" si="37"/>
        <v>8.1707940682299255E-3</v>
      </c>
      <c r="I1216" s="37"/>
      <c r="J1216" s="37"/>
    </row>
    <row r="1217" spans="1:10" x14ac:dyDescent="0.35">
      <c r="A1217" s="35">
        <v>43433</v>
      </c>
      <c r="B1217">
        <v>43.03</v>
      </c>
      <c r="C1217" s="33">
        <f t="shared" si="36"/>
        <v>-7.6107011070110312E-3</v>
      </c>
      <c r="E1217" s="34">
        <v>2737.8</v>
      </c>
      <c r="F1217" s="33">
        <f t="shared" si="37"/>
        <v>-2.1831116812874828E-3</v>
      </c>
      <c r="I1217" s="37"/>
      <c r="J1217" s="37"/>
    </row>
    <row r="1218" spans="1:10" x14ac:dyDescent="0.35">
      <c r="A1218" s="35">
        <v>43432</v>
      </c>
      <c r="B1218">
        <v>43.36</v>
      </c>
      <c r="C1218" s="33">
        <f t="shared" ref="C1218:C1259" si="38">(B1218-B1219)/B1219</f>
        <v>3.8314176245210767E-2</v>
      </c>
      <c r="E1218" s="34">
        <v>2743.79</v>
      </c>
      <c r="F1218" s="33">
        <f t="shared" ref="F1218:F1259" si="39">(E1218-E1219)/E1219</f>
        <v>2.2973935283744092E-2</v>
      </c>
      <c r="I1218" s="37"/>
      <c r="J1218" s="37"/>
    </row>
    <row r="1219" spans="1:10" x14ac:dyDescent="0.35">
      <c r="A1219" s="35">
        <v>43431</v>
      </c>
      <c r="B1219">
        <v>41.76</v>
      </c>
      <c r="C1219" s="33">
        <f t="shared" si="38"/>
        <v>-2.1505376344086837E-3</v>
      </c>
      <c r="E1219" s="34">
        <v>2682.17</v>
      </c>
      <c r="F1219" s="33">
        <f t="shared" si="39"/>
        <v>3.2617030428847577E-3</v>
      </c>
      <c r="I1219" s="37"/>
      <c r="J1219" s="37"/>
    </row>
    <row r="1220" spans="1:10" x14ac:dyDescent="0.35">
      <c r="A1220" s="35">
        <v>43430</v>
      </c>
      <c r="B1220">
        <v>41.85</v>
      </c>
      <c r="C1220" s="33">
        <f t="shared" si="38"/>
        <v>1.3562605957859101E-2</v>
      </c>
      <c r="E1220" s="34">
        <v>2673.45</v>
      </c>
      <c r="F1220" s="33">
        <f t="shared" si="39"/>
        <v>1.5532409517731742E-2</v>
      </c>
      <c r="I1220" s="37"/>
      <c r="J1220" s="37"/>
    </row>
    <row r="1221" spans="1:10" x14ac:dyDescent="0.35">
      <c r="A1221" s="35">
        <v>43427</v>
      </c>
      <c r="B1221">
        <v>41.29</v>
      </c>
      <c r="C1221" s="33">
        <f t="shared" si="38"/>
        <v>-2.5259678942398497E-2</v>
      </c>
      <c r="E1221" s="34">
        <v>2632.56</v>
      </c>
      <c r="F1221" s="33">
        <f t="shared" si="39"/>
        <v>-6.5548901291731824E-3</v>
      </c>
      <c r="I1221" s="37"/>
      <c r="J1221" s="37"/>
    </row>
    <row r="1222" spans="1:10" x14ac:dyDescent="0.35">
      <c r="A1222" s="35">
        <v>43425</v>
      </c>
      <c r="B1222">
        <v>42.36</v>
      </c>
      <c r="C1222" s="33">
        <f t="shared" si="38"/>
        <v>-1.1789672247110861E-3</v>
      </c>
      <c r="E1222" s="34">
        <v>2649.93</v>
      </c>
      <c r="F1222" s="33">
        <f t="shared" si="39"/>
        <v>3.0432758366169539E-3</v>
      </c>
      <c r="I1222" s="37"/>
      <c r="J1222" s="37"/>
    </row>
    <row r="1223" spans="1:10" x14ac:dyDescent="0.35">
      <c r="A1223" s="35">
        <v>43424</v>
      </c>
      <c r="B1223">
        <v>42.41</v>
      </c>
      <c r="C1223" s="33">
        <f t="shared" si="38"/>
        <v>-4.7822182308037781E-2</v>
      </c>
      <c r="E1223" s="34">
        <v>2641.89</v>
      </c>
      <c r="F1223" s="33">
        <f t="shared" si="39"/>
        <v>-1.8151208036480862E-2</v>
      </c>
      <c r="I1223" s="37"/>
      <c r="J1223" s="37"/>
    </row>
    <row r="1224" spans="1:10" x14ac:dyDescent="0.35">
      <c r="A1224" s="35">
        <v>43423</v>
      </c>
      <c r="B1224">
        <v>44.54</v>
      </c>
      <c r="C1224" s="33">
        <f t="shared" si="38"/>
        <v>-3.9672272531263549E-2</v>
      </c>
      <c r="E1224" s="34">
        <v>2690.73</v>
      </c>
      <c r="F1224" s="33">
        <f t="shared" si="39"/>
        <v>-1.6643094431470565E-2</v>
      </c>
      <c r="I1224" s="37"/>
      <c r="J1224" s="37"/>
    </row>
    <row r="1225" spans="1:10" x14ac:dyDescent="0.35">
      <c r="A1225" s="35">
        <v>43420</v>
      </c>
      <c r="B1225">
        <v>46.38</v>
      </c>
      <c r="C1225" s="33">
        <f t="shared" si="38"/>
        <v>1.1118378024852956E-2</v>
      </c>
      <c r="E1225" s="34">
        <v>2736.27</v>
      </c>
      <c r="F1225" s="33">
        <f t="shared" si="39"/>
        <v>2.2232803457622754E-3</v>
      </c>
      <c r="I1225" s="37"/>
      <c r="J1225" s="37"/>
    </row>
    <row r="1226" spans="1:10" x14ac:dyDescent="0.35">
      <c r="A1226" s="35">
        <v>43419</v>
      </c>
      <c r="B1226">
        <v>45.87</v>
      </c>
      <c r="C1226" s="33">
        <f t="shared" si="38"/>
        <v>2.457002457002444E-2</v>
      </c>
      <c r="E1226" s="34">
        <v>2730.2</v>
      </c>
      <c r="F1226" s="33">
        <f t="shared" si="39"/>
        <v>1.0593800664796116E-2</v>
      </c>
      <c r="I1226" s="37"/>
      <c r="J1226" s="37"/>
    </row>
    <row r="1227" spans="1:10" x14ac:dyDescent="0.35">
      <c r="A1227" s="35">
        <v>43418</v>
      </c>
      <c r="B1227">
        <v>44.77</v>
      </c>
      <c r="C1227" s="33">
        <f t="shared" si="38"/>
        <v>-2.8217929238115849E-2</v>
      </c>
      <c r="E1227" s="34">
        <v>2701.58</v>
      </c>
      <c r="F1227" s="33">
        <f t="shared" si="39"/>
        <v>-7.5674643116913319E-3</v>
      </c>
      <c r="I1227" s="37"/>
      <c r="J1227" s="37"/>
    </row>
    <row r="1228" spans="1:10" x14ac:dyDescent="0.35">
      <c r="A1228" s="35">
        <v>43417</v>
      </c>
      <c r="B1228">
        <v>46.07</v>
      </c>
      <c r="C1228" s="33">
        <f t="shared" si="38"/>
        <v>-9.8860949924779885E-3</v>
      </c>
      <c r="E1228" s="34">
        <v>2722.18</v>
      </c>
      <c r="F1228" s="33">
        <f t="shared" si="39"/>
        <v>-1.4819053487979562E-3</v>
      </c>
      <c r="I1228" s="37"/>
      <c r="J1228" s="37"/>
    </row>
    <row r="1229" spans="1:10" x14ac:dyDescent="0.35">
      <c r="A1229" s="35">
        <v>43416</v>
      </c>
      <c r="B1229">
        <v>46.53</v>
      </c>
      <c r="C1229" s="33">
        <f t="shared" si="38"/>
        <v>-5.0408163265306102E-2</v>
      </c>
      <c r="E1229" s="34">
        <v>2726.22</v>
      </c>
      <c r="F1229" s="33">
        <f t="shared" si="39"/>
        <v>-1.970147536326745E-2</v>
      </c>
      <c r="I1229" s="37"/>
      <c r="J1229" s="37"/>
    </row>
    <row r="1230" spans="1:10" x14ac:dyDescent="0.35">
      <c r="A1230" s="35">
        <v>43413</v>
      </c>
      <c r="B1230">
        <v>49</v>
      </c>
      <c r="C1230" s="33">
        <f t="shared" si="38"/>
        <v>-1.9215372297838287E-2</v>
      </c>
      <c r="E1230" s="34">
        <v>2781.01</v>
      </c>
      <c r="F1230" s="33">
        <f t="shared" si="39"/>
        <v>-9.1989896074930466E-3</v>
      </c>
      <c r="I1230" s="37"/>
      <c r="J1230" s="37"/>
    </row>
    <row r="1231" spans="1:10" x14ac:dyDescent="0.35">
      <c r="A1231" s="35">
        <v>43412</v>
      </c>
      <c r="B1231">
        <v>49.96</v>
      </c>
      <c r="C1231" s="33">
        <f t="shared" si="38"/>
        <v>-3.5899481451934527E-3</v>
      </c>
      <c r="E1231" s="34">
        <v>2806.83</v>
      </c>
      <c r="F1231" s="33">
        <f t="shared" si="39"/>
        <v>-2.5089822274502365E-3</v>
      </c>
      <c r="I1231" s="37"/>
      <c r="J1231" s="37"/>
    </row>
    <row r="1232" spans="1:10" x14ac:dyDescent="0.35">
      <c r="A1232" s="35">
        <v>43411</v>
      </c>
      <c r="B1232">
        <v>50.14</v>
      </c>
      <c r="C1232" s="33">
        <f t="shared" si="38"/>
        <v>3.041512535963839E-2</v>
      </c>
      <c r="E1232" s="34">
        <v>2813.89</v>
      </c>
      <c r="F1232" s="33">
        <f t="shared" si="39"/>
        <v>2.1208876952947816E-2</v>
      </c>
      <c r="I1232" s="37"/>
      <c r="J1232" s="37"/>
    </row>
    <row r="1233" spans="1:10" x14ac:dyDescent="0.35">
      <c r="A1233" s="35">
        <v>43410</v>
      </c>
      <c r="B1233">
        <v>48.66</v>
      </c>
      <c r="C1233" s="33">
        <f t="shared" si="38"/>
        <v>1.0801828001661736E-2</v>
      </c>
      <c r="E1233" s="34">
        <v>2755.45</v>
      </c>
      <c r="F1233" s="33">
        <f t="shared" si="39"/>
        <v>6.2593351373657008E-3</v>
      </c>
      <c r="I1233" s="37"/>
      <c r="J1233" s="37"/>
    </row>
    <row r="1234" spans="1:10" x14ac:dyDescent="0.35">
      <c r="A1234" s="35">
        <v>43409</v>
      </c>
      <c r="B1234">
        <v>48.14</v>
      </c>
      <c r="C1234" s="33">
        <f t="shared" si="38"/>
        <v>-2.8456104944500436E-2</v>
      </c>
      <c r="E1234" s="34">
        <v>2738.31</v>
      </c>
      <c r="F1234" s="33">
        <f t="shared" si="39"/>
        <v>5.6003172901074524E-3</v>
      </c>
      <c r="I1234" s="37"/>
      <c r="J1234" s="37"/>
    </row>
    <row r="1235" spans="1:10" x14ac:dyDescent="0.35">
      <c r="A1235" s="35">
        <v>43406</v>
      </c>
      <c r="B1235">
        <v>49.55</v>
      </c>
      <c r="C1235" s="33">
        <f t="shared" si="38"/>
        <v>-6.632749199170912E-2</v>
      </c>
      <c r="E1235" s="34">
        <v>2723.06</v>
      </c>
      <c r="F1235" s="33">
        <f t="shared" si="39"/>
        <v>-6.3166652678287773E-3</v>
      </c>
      <c r="I1235" s="37"/>
      <c r="J1235" s="37"/>
    </row>
    <row r="1236" spans="1:10" x14ac:dyDescent="0.35">
      <c r="A1236" s="35">
        <v>43405</v>
      </c>
      <c r="B1236">
        <v>53.07</v>
      </c>
      <c r="C1236" s="33">
        <f t="shared" si="38"/>
        <v>1.5305146355461969E-2</v>
      </c>
      <c r="E1236" s="34">
        <v>2740.37</v>
      </c>
      <c r="F1236" s="33">
        <f t="shared" si="39"/>
        <v>1.0557796838930027E-2</v>
      </c>
      <c r="I1236" s="37"/>
      <c r="J1236" s="37"/>
    </row>
    <row r="1237" spans="1:10" x14ac:dyDescent="0.35">
      <c r="A1237" s="35">
        <v>43404</v>
      </c>
      <c r="B1237">
        <v>52.27</v>
      </c>
      <c r="C1237" s="33">
        <f t="shared" si="38"/>
        <v>2.6109148017275333E-2</v>
      </c>
      <c r="E1237" s="34">
        <v>2711.74</v>
      </c>
      <c r="F1237" s="33">
        <f t="shared" si="39"/>
        <v>1.0851291456518294E-2</v>
      </c>
      <c r="I1237" s="37"/>
      <c r="J1237" s="37"/>
    </row>
    <row r="1238" spans="1:10" x14ac:dyDescent="0.35">
      <c r="A1238" s="35">
        <v>43403</v>
      </c>
      <c r="B1238">
        <v>50.94</v>
      </c>
      <c r="C1238" s="33">
        <f t="shared" si="38"/>
        <v>4.9319392385085816E-3</v>
      </c>
      <c r="E1238" s="34">
        <v>2682.63</v>
      </c>
      <c r="F1238" s="33">
        <f t="shared" si="39"/>
        <v>1.56668244202556E-2</v>
      </c>
      <c r="I1238" s="37"/>
      <c r="J1238" s="37"/>
    </row>
    <row r="1239" spans="1:10" x14ac:dyDescent="0.35">
      <c r="A1239" s="35">
        <v>43402</v>
      </c>
      <c r="B1239">
        <v>50.69</v>
      </c>
      <c r="C1239" s="33">
        <f t="shared" si="38"/>
        <v>-1.8776616337591926E-2</v>
      </c>
      <c r="E1239" s="34">
        <v>2641.25</v>
      </c>
      <c r="F1239" s="33">
        <f t="shared" si="39"/>
        <v>-6.5596214677153238E-3</v>
      </c>
      <c r="I1239" s="37"/>
      <c r="J1239" s="37"/>
    </row>
    <row r="1240" spans="1:10" x14ac:dyDescent="0.35">
      <c r="A1240" s="35">
        <v>43399</v>
      </c>
      <c r="B1240">
        <v>51.66</v>
      </c>
      <c r="C1240" s="33">
        <f t="shared" si="38"/>
        <v>-1.5812535721089833E-2</v>
      </c>
      <c r="E1240" s="34">
        <v>2658.69</v>
      </c>
      <c r="F1240" s="33">
        <f t="shared" si="39"/>
        <v>-1.7327217554896052E-2</v>
      </c>
      <c r="I1240" s="37"/>
      <c r="J1240" s="37"/>
    </row>
    <row r="1241" spans="1:10" x14ac:dyDescent="0.35">
      <c r="A1241" s="35">
        <v>43398</v>
      </c>
      <c r="B1241">
        <v>52.49</v>
      </c>
      <c r="C1241" s="33">
        <f t="shared" si="38"/>
        <v>2.1802608526377353E-2</v>
      </c>
      <c r="E1241" s="34">
        <v>2705.57</v>
      </c>
      <c r="F1241" s="33">
        <f t="shared" si="39"/>
        <v>1.8625051767629328E-2</v>
      </c>
      <c r="I1241" s="37"/>
      <c r="J1241" s="37"/>
    </row>
    <row r="1242" spans="1:10" x14ac:dyDescent="0.35">
      <c r="A1242" s="35">
        <v>43397</v>
      </c>
      <c r="B1242">
        <v>51.37</v>
      </c>
      <c r="C1242" s="33">
        <f t="shared" si="38"/>
        <v>-3.4216958074826102E-2</v>
      </c>
      <c r="E1242" s="34">
        <v>2656.1</v>
      </c>
      <c r="F1242" s="33">
        <f t="shared" si="39"/>
        <v>-3.0864490329077766E-2</v>
      </c>
      <c r="I1242" s="37"/>
      <c r="J1242" s="37"/>
    </row>
    <row r="1243" spans="1:10" x14ac:dyDescent="0.35">
      <c r="A1243" s="35">
        <v>43396</v>
      </c>
      <c r="B1243">
        <v>53.19</v>
      </c>
      <c r="C1243" s="33">
        <f t="shared" si="38"/>
        <v>9.4894666919719123E-3</v>
      </c>
      <c r="E1243" s="34">
        <v>2740.69</v>
      </c>
      <c r="F1243" s="33">
        <f t="shared" si="39"/>
        <v>-5.5118510239923557E-3</v>
      </c>
      <c r="I1243" s="37"/>
      <c r="J1243" s="37"/>
    </row>
    <row r="1244" spans="1:10" x14ac:dyDescent="0.35">
      <c r="A1244" s="35">
        <v>43395</v>
      </c>
      <c r="B1244">
        <v>52.69</v>
      </c>
      <c r="C1244" s="33">
        <f t="shared" si="38"/>
        <v>6.1103685316020676E-3</v>
      </c>
      <c r="E1244" s="34">
        <v>2755.88</v>
      </c>
      <c r="F1244" s="33">
        <f t="shared" si="39"/>
        <v>-4.2994746692295235E-3</v>
      </c>
      <c r="I1244" s="37"/>
      <c r="J1244" s="37"/>
    </row>
    <row r="1245" spans="1:10" x14ac:dyDescent="0.35">
      <c r="A1245" s="35">
        <v>43392</v>
      </c>
      <c r="B1245">
        <v>52.37</v>
      </c>
      <c r="C1245" s="33">
        <f t="shared" si="38"/>
        <v>1.5119209149059778E-2</v>
      </c>
      <c r="E1245" s="34">
        <v>2767.78</v>
      </c>
      <c r="F1245" s="33">
        <f t="shared" si="39"/>
        <v>-3.6116990154508479E-4</v>
      </c>
      <c r="I1245" s="37"/>
      <c r="J1245" s="37"/>
    </row>
    <row r="1246" spans="1:10" x14ac:dyDescent="0.35">
      <c r="A1246" s="35">
        <v>43391</v>
      </c>
      <c r="B1246">
        <v>51.59</v>
      </c>
      <c r="C1246" s="33">
        <f t="shared" si="38"/>
        <v>-2.3286633850814028E-2</v>
      </c>
      <c r="E1246" s="34">
        <v>2768.78</v>
      </c>
      <c r="F1246" s="33">
        <f t="shared" si="39"/>
        <v>-1.4391946490294365E-2</v>
      </c>
      <c r="I1246" s="37"/>
      <c r="J1246" s="37"/>
    </row>
    <row r="1247" spans="1:10" x14ac:dyDescent="0.35">
      <c r="A1247" s="35">
        <v>43390</v>
      </c>
      <c r="B1247">
        <v>52.82</v>
      </c>
      <c r="C1247" s="33">
        <f t="shared" si="38"/>
        <v>-4.3355325164938152E-3</v>
      </c>
      <c r="E1247" s="34">
        <v>2809.21</v>
      </c>
      <c r="F1247" s="33">
        <f t="shared" si="39"/>
        <v>-2.5267623277532329E-4</v>
      </c>
      <c r="I1247" s="37"/>
      <c r="J1247" s="37"/>
    </row>
    <row r="1248" spans="1:10" x14ac:dyDescent="0.35">
      <c r="A1248" s="35">
        <v>43389</v>
      </c>
      <c r="B1248">
        <v>53.05</v>
      </c>
      <c r="C1248" s="33">
        <f t="shared" si="38"/>
        <v>2.1961086495858227E-2</v>
      </c>
      <c r="E1248" s="34">
        <v>2809.92</v>
      </c>
      <c r="F1248" s="33">
        <f t="shared" si="39"/>
        <v>2.1495643069809077E-2</v>
      </c>
      <c r="I1248" s="37"/>
      <c r="J1248" s="37"/>
    </row>
    <row r="1249" spans="1:10" x14ac:dyDescent="0.35">
      <c r="A1249" s="35">
        <v>43388</v>
      </c>
      <c r="B1249">
        <v>51.91</v>
      </c>
      <c r="C1249" s="33">
        <f t="shared" si="38"/>
        <v>-2.1304675716440472E-2</v>
      </c>
      <c r="E1249" s="34">
        <v>2750.79</v>
      </c>
      <c r="F1249" s="33">
        <f t="shared" si="39"/>
        <v>-5.9050351808553067E-3</v>
      </c>
      <c r="I1249" s="37"/>
      <c r="J1249" s="37"/>
    </row>
    <row r="1250" spans="1:10" x14ac:dyDescent="0.35">
      <c r="A1250" s="35">
        <v>43385</v>
      </c>
      <c r="B1250">
        <v>53.04</v>
      </c>
      <c r="C1250" s="33">
        <f t="shared" si="38"/>
        <v>3.5735207967193872E-2</v>
      </c>
      <c r="E1250" s="34">
        <v>2767.13</v>
      </c>
      <c r="F1250" s="33">
        <f t="shared" si="39"/>
        <v>1.4206284338267984E-2</v>
      </c>
      <c r="I1250" s="37"/>
      <c r="J1250" s="37"/>
    </row>
    <row r="1251" spans="1:10" x14ac:dyDescent="0.35">
      <c r="A1251" s="35">
        <v>43384</v>
      </c>
      <c r="B1251">
        <v>51.21</v>
      </c>
      <c r="C1251" s="33">
        <f t="shared" si="38"/>
        <v>-8.9026514418424785E-3</v>
      </c>
      <c r="E1251" s="34">
        <v>2728.37</v>
      </c>
      <c r="F1251" s="33">
        <f t="shared" si="39"/>
        <v>-2.0573073719881662E-2</v>
      </c>
      <c r="I1251" s="37"/>
      <c r="J1251" s="37"/>
    </row>
    <row r="1252" spans="1:10" x14ac:dyDescent="0.35">
      <c r="A1252" s="35">
        <v>43383</v>
      </c>
      <c r="B1252">
        <v>51.67</v>
      </c>
      <c r="C1252" s="33">
        <f t="shared" si="38"/>
        <v>-4.6327057954964897E-2</v>
      </c>
      <c r="E1252" s="34">
        <v>2785.68</v>
      </c>
      <c r="F1252" s="33">
        <f t="shared" si="39"/>
        <v>-3.2864175757028789E-2</v>
      </c>
      <c r="I1252" s="37"/>
      <c r="J1252" s="37"/>
    </row>
    <row r="1253" spans="1:10" x14ac:dyDescent="0.35">
      <c r="A1253" s="35">
        <v>43382</v>
      </c>
      <c r="B1253">
        <v>54.18</v>
      </c>
      <c r="C1253" s="33">
        <f t="shared" si="38"/>
        <v>1.3847305389221595E-2</v>
      </c>
      <c r="E1253" s="34">
        <v>2880.34</v>
      </c>
      <c r="F1253" s="33">
        <f t="shared" si="39"/>
        <v>-1.4179577940874595E-3</v>
      </c>
      <c r="I1253" s="37"/>
      <c r="J1253" s="37"/>
    </row>
    <row r="1254" spans="1:10" x14ac:dyDescent="0.35">
      <c r="A1254" s="35">
        <v>43381</v>
      </c>
      <c r="B1254">
        <v>53.44</v>
      </c>
      <c r="C1254" s="33">
        <f t="shared" si="38"/>
        <v>-2.2404779686333934E-3</v>
      </c>
      <c r="E1254" s="34">
        <v>2884.43</v>
      </c>
      <c r="F1254" s="33">
        <f t="shared" si="39"/>
        <v>-3.9506925841352919E-4</v>
      </c>
      <c r="I1254" s="37"/>
      <c r="J1254" s="37"/>
    </row>
    <row r="1255" spans="1:10" x14ac:dyDescent="0.35">
      <c r="A1255" s="35">
        <v>43378</v>
      </c>
      <c r="B1255">
        <v>53.56</v>
      </c>
      <c r="C1255" s="33">
        <f t="shared" si="38"/>
        <v>-1.6345270890725447E-2</v>
      </c>
      <c r="E1255" s="34">
        <v>2885.57</v>
      </c>
      <c r="F1255" s="33">
        <f t="shared" si="39"/>
        <v>-5.5279655088037206E-3</v>
      </c>
      <c r="I1255" s="37"/>
      <c r="J1255" s="37"/>
    </row>
    <row r="1256" spans="1:10" x14ac:dyDescent="0.35">
      <c r="A1256" s="35">
        <v>43377</v>
      </c>
      <c r="B1256">
        <v>54.45</v>
      </c>
      <c r="C1256" s="33">
        <f t="shared" si="38"/>
        <v>-1.7502706604114016E-2</v>
      </c>
      <c r="E1256" s="34">
        <v>2901.61</v>
      </c>
      <c r="F1256" s="33">
        <f t="shared" si="39"/>
        <v>-8.1695157425543206E-3</v>
      </c>
      <c r="I1256" s="37"/>
      <c r="J1256" s="37"/>
    </row>
    <row r="1257" spans="1:10" x14ac:dyDescent="0.35">
      <c r="A1257" s="35">
        <v>43376</v>
      </c>
      <c r="B1257">
        <v>55.42</v>
      </c>
      <c r="C1257" s="33">
        <f t="shared" si="38"/>
        <v>1.2052593133674282E-2</v>
      </c>
      <c r="E1257" s="34">
        <v>2925.51</v>
      </c>
      <c r="F1257" s="33">
        <f t="shared" si="39"/>
        <v>7.1149300650276632E-4</v>
      </c>
      <c r="I1257" s="37"/>
      <c r="J1257" s="37"/>
    </row>
    <row r="1258" spans="1:10" x14ac:dyDescent="0.35">
      <c r="A1258" s="35">
        <v>43375</v>
      </c>
      <c r="B1258">
        <v>54.76</v>
      </c>
      <c r="C1258" s="33">
        <f t="shared" si="38"/>
        <v>9.0289294269392823E-3</v>
      </c>
      <c r="E1258" s="34">
        <v>2923.43</v>
      </c>
      <c r="F1258" s="33">
        <f t="shared" si="39"/>
        <v>-3.9663679353355827E-4</v>
      </c>
      <c r="I1258" s="37"/>
      <c r="J1258" s="37"/>
    </row>
    <row r="1259" spans="1:10" x14ac:dyDescent="0.35">
      <c r="A1259" s="35">
        <v>43374</v>
      </c>
      <c r="B1259">
        <v>54.27</v>
      </c>
      <c r="C1259" s="33">
        <f t="shared" si="38"/>
        <v>6.6777963272121417E-3</v>
      </c>
      <c r="E1259" s="34">
        <v>2924.59</v>
      </c>
      <c r="F1259" s="33">
        <f t="shared" si="39"/>
        <v>3.6410682297064933E-3</v>
      </c>
      <c r="I1259" s="37"/>
      <c r="J1259" s="37"/>
    </row>
    <row r="1260" spans="1:10" x14ac:dyDescent="0.35">
      <c r="A1260" s="36">
        <v>43371</v>
      </c>
      <c r="B1260">
        <v>53.91</v>
      </c>
      <c r="C1260"/>
      <c r="E1260" s="34">
        <v>2913.98</v>
      </c>
    </row>
    <row r="1261" spans="1:10" x14ac:dyDescent="0.35">
      <c r="A1261" s="35"/>
      <c r="B1261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4B6FF-7539-47A6-8514-9447F092DBC5}">
  <dimension ref="C2:L18"/>
  <sheetViews>
    <sheetView showGridLines="0" workbookViewId="0">
      <selection activeCell="P26" sqref="P26"/>
    </sheetView>
  </sheetViews>
  <sheetFormatPr defaultRowHeight="14.5" x14ac:dyDescent="0.35"/>
  <cols>
    <col min="3" max="3" width="25.453125" customWidth="1"/>
    <col min="4" max="4" width="21.7265625" bestFit="1" customWidth="1"/>
    <col min="5" max="5" width="2.7265625" customWidth="1"/>
    <col min="6" max="6" width="15" customWidth="1"/>
    <col min="7" max="7" width="12.1796875" customWidth="1"/>
  </cols>
  <sheetData>
    <row r="2" spans="3:12" x14ac:dyDescent="0.35">
      <c r="C2" s="1" t="s">
        <v>112</v>
      </c>
      <c r="D2" s="1"/>
      <c r="E2" s="1"/>
      <c r="F2" s="1"/>
      <c r="G2" s="1"/>
      <c r="H2" s="1"/>
      <c r="I2" s="1"/>
      <c r="J2" s="1"/>
      <c r="K2" s="1"/>
      <c r="L2" s="1"/>
    </row>
    <row r="3" spans="3:12" x14ac:dyDescent="0.35">
      <c r="C3" t="s">
        <v>113</v>
      </c>
      <c r="F3" t="s">
        <v>46</v>
      </c>
    </row>
    <row r="4" spans="3:12" x14ac:dyDescent="0.35">
      <c r="C4" s="73" t="s">
        <v>109</v>
      </c>
      <c r="D4" s="69">
        <f>D5*D6</f>
        <v>2700308651190</v>
      </c>
      <c r="F4" s="74" t="s">
        <v>8</v>
      </c>
    </row>
    <row r="5" spans="3:12" x14ac:dyDescent="0.35">
      <c r="C5" s="73" t="s">
        <v>107</v>
      </c>
      <c r="D5" s="81">
        <f>'Q1'!B2</f>
        <v>170.77</v>
      </c>
      <c r="F5" s="73" t="s">
        <v>9</v>
      </c>
    </row>
    <row r="6" spans="3:12" x14ac:dyDescent="0.35">
      <c r="C6" s="73" t="s">
        <v>108</v>
      </c>
      <c r="D6" s="70">
        <v>15812547000</v>
      </c>
      <c r="F6" s="73" t="s">
        <v>120</v>
      </c>
    </row>
    <row r="7" spans="3:12" x14ac:dyDescent="0.35">
      <c r="C7" s="73" t="s">
        <v>10</v>
      </c>
      <c r="D7" s="69">
        <f>(D8+D9)-D10</f>
        <v>75138000000</v>
      </c>
      <c r="F7" s="74" t="s">
        <v>11</v>
      </c>
    </row>
    <row r="8" spans="3:12" x14ac:dyDescent="0.35">
      <c r="C8" s="73" t="s">
        <v>12</v>
      </c>
      <c r="D8" s="69">
        <v>9822000000</v>
      </c>
      <c r="F8" s="73" t="s">
        <v>120</v>
      </c>
    </row>
    <row r="9" spans="3:12" x14ac:dyDescent="0.35">
      <c r="C9" s="73" t="s">
        <v>13</v>
      </c>
      <c r="D9" s="69">
        <v>95281000000</v>
      </c>
      <c r="F9" s="73" t="s">
        <v>120</v>
      </c>
    </row>
    <row r="10" spans="3:12" x14ac:dyDescent="0.35">
      <c r="C10" s="73" t="s">
        <v>14</v>
      </c>
      <c r="D10" s="69">
        <v>29965000000</v>
      </c>
      <c r="F10" s="73" t="s">
        <v>120</v>
      </c>
    </row>
    <row r="11" spans="3:12" x14ac:dyDescent="0.35">
      <c r="C11" s="73" t="s">
        <v>104</v>
      </c>
      <c r="D11" s="72">
        <f>'Q1'!K8</f>
        <v>1.2358442363400539</v>
      </c>
      <c r="F11" s="82" t="s">
        <v>115</v>
      </c>
      <c r="G11" s="82"/>
    </row>
    <row r="12" spans="3:12" x14ac:dyDescent="0.35">
      <c r="C12" s="73" t="s">
        <v>111</v>
      </c>
      <c r="D12" s="71">
        <v>0</v>
      </c>
      <c r="F12" s="82"/>
      <c r="G12" s="82"/>
    </row>
    <row r="14" spans="3:12" x14ac:dyDescent="0.35">
      <c r="C14" s="1" t="s">
        <v>106</v>
      </c>
      <c r="D14" s="1"/>
      <c r="E14" s="1"/>
      <c r="F14" s="1"/>
      <c r="G14" s="1"/>
      <c r="H14" s="1"/>
      <c r="I14" s="1"/>
      <c r="J14" s="1"/>
      <c r="K14" s="1"/>
      <c r="L14" s="1"/>
    </row>
    <row r="16" spans="3:12" x14ac:dyDescent="0.35">
      <c r="C16" t="s">
        <v>110</v>
      </c>
      <c r="D16" s="68">
        <f>(D4/(D4+D7))*D11+(D7/(D4+D7))*D12</f>
        <v>1.2023869676909502</v>
      </c>
    </row>
    <row r="18" spans="3:6" x14ac:dyDescent="0.35">
      <c r="C18" s="1" t="s">
        <v>125</v>
      </c>
      <c r="D18" s="1"/>
      <c r="E18" s="1"/>
      <c r="F18" s="1"/>
    </row>
  </sheetData>
  <mergeCells count="1">
    <mergeCell ref="F11:G1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0D0F-9D9C-4959-8203-8C46F2893415}">
  <dimension ref="C2:J17"/>
  <sheetViews>
    <sheetView showGridLines="0" workbookViewId="0">
      <selection activeCell="N21" sqref="N21"/>
    </sheetView>
  </sheetViews>
  <sheetFormatPr defaultRowHeight="14.5" x14ac:dyDescent="0.35"/>
  <cols>
    <col min="3" max="3" width="31.1796875" bestFit="1" customWidth="1"/>
    <col min="4" max="4" width="16.26953125" bestFit="1" customWidth="1"/>
    <col min="5" max="5" width="5.81640625" customWidth="1"/>
    <col min="7" max="7" width="2.7265625" customWidth="1"/>
  </cols>
  <sheetData>
    <row r="2" spans="3:10" x14ac:dyDescent="0.35">
      <c r="C2" s="1" t="s">
        <v>116</v>
      </c>
      <c r="D2" s="1"/>
      <c r="E2" s="1"/>
      <c r="F2" s="1"/>
      <c r="G2" s="1"/>
      <c r="H2" s="1"/>
      <c r="I2" s="1"/>
      <c r="J2" s="1"/>
    </row>
    <row r="4" spans="3:10" x14ac:dyDescent="0.35">
      <c r="C4" t="s">
        <v>13</v>
      </c>
      <c r="D4" s="69">
        <v>95281000000</v>
      </c>
      <c r="F4" t="s">
        <v>123</v>
      </c>
    </row>
    <row r="5" spans="3:10" x14ac:dyDescent="0.35">
      <c r="C5" t="s">
        <v>15</v>
      </c>
      <c r="D5" s="76">
        <v>0.06</v>
      </c>
    </row>
    <row r="6" spans="3:10" x14ac:dyDescent="0.35">
      <c r="C6" t="s">
        <v>16</v>
      </c>
      <c r="D6" s="76">
        <v>0.55000000000000004</v>
      </c>
    </row>
    <row r="7" spans="3:10" x14ac:dyDescent="0.35">
      <c r="C7" t="s">
        <v>17</v>
      </c>
      <c r="D7" s="76">
        <f>(1+D5)*(1-D6)</f>
        <v>0.47699999999999998</v>
      </c>
      <c r="F7" s="41"/>
    </row>
    <row r="8" spans="3:10" x14ac:dyDescent="0.35">
      <c r="C8" t="s">
        <v>18</v>
      </c>
      <c r="D8" s="76">
        <v>1E-3</v>
      </c>
    </row>
    <row r="12" spans="3:10" x14ac:dyDescent="0.35">
      <c r="C12" s="1" t="s">
        <v>117</v>
      </c>
      <c r="D12" s="1"/>
      <c r="F12" s="1" t="s">
        <v>118</v>
      </c>
      <c r="G12" s="1"/>
      <c r="H12" s="1"/>
      <c r="I12" s="1"/>
      <c r="J12" s="1"/>
    </row>
    <row r="14" spans="3:10" x14ac:dyDescent="0.35">
      <c r="F14" t="s">
        <v>19</v>
      </c>
      <c r="H14" s="79">
        <f>(1-D8)*D5+D8*(D5-D7)</f>
        <v>5.9523E-2</v>
      </c>
    </row>
    <row r="17" spans="3:10" x14ac:dyDescent="0.35">
      <c r="C17" s="1" t="s">
        <v>125</v>
      </c>
      <c r="D17" s="1"/>
      <c r="E17" s="1"/>
      <c r="F17" s="1"/>
      <c r="G17" s="1"/>
      <c r="H17" s="1"/>
      <c r="I17" s="1"/>
      <c r="J17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CA69-3AB7-4E8B-A91E-D51574EEDBCA}">
  <dimension ref="C2:N22"/>
  <sheetViews>
    <sheetView showGridLines="0" zoomScale="96" zoomScaleNormal="96" workbookViewId="0">
      <selection activeCell="P35" sqref="P35"/>
    </sheetView>
  </sheetViews>
  <sheetFormatPr defaultRowHeight="14.5" x14ac:dyDescent="0.35"/>
  <cols>
    <col min="3" max="3" width="14.81640625" bestFit="1" customWidth="1"/>
    <col min="4" max="4" width="19.453125" bestFit="1" customWidth="1"/>
    <col min="5" max="5" width="17.1796875" bestFit="1" customWidth="1"/>
    <col min="7" max="7" width="27.26953125" customWidth="1"/>
  </cols>
  <sheetData>
    <row r="2" spans="3:14" x14ac:dyDescent="0.35">
      <c r="C2" s="1" t="s">
        <v>116</v>
      </c>
      <c r="D2" s="1"/>
      <c r="E2" s="1"/>
      <c r="F2" s="1"/>
      <c r="G2" s="1"/>
      <c r="I2" s="1" t="s">
        <v>46</v>
      </c>
      <c r="J2" s="1"/>
      <c r="K2" s="1"/>
      <c r="L2" s="1"/>
      <c r="M2" s="1"/>
      <c r="N2" s="1"/>
    </row>
    <row r="4" spans="3:14" x14ac:dyDescent="0.35">
      <c r="C4" t="s">
        <v>119</v>
      </c>
      <c r="D4" s="76">
        <v>3.5000000000000003E-2</v>
      </c>
      <c r="E4" s="42"/>
    </row>
    <row r="5" spans="3:14" x14ac:dyDescent="0.35">
      <c r="C5" t="s">
        <v>121</v>
      </c>
      <c r="D5" s="76">
        <f>D4+5%</f>
        <v>8.5000000000000006E-2</v>
      </c>
      <c r="E5" s="42"/>
    </row>
    <row r="6" spans="3:14" x14ac:dyDescent="0.35">
      <c r="C6" t="s">
        <v>79</v>
      </c>
      <c r="D6" s="80">
        <f>'Q3'!H14</f>
        <v>5.9523E-2</v>
      </c>
      <c r="E6" s="42"/>
    </row>
    <row r="7" spans="3:14" x14ac:dyDescent="0.35">
      <c r="C7" t="s">
        <v>122</v>
      </c>
      <c r="D7" s="76">
        <v>0.15</v>
      </c>
      <c r="E7" s="43"/>
    </row>
    <row r="8" spans="3:14" x14ac:dyDescent="0.35">
      <c r="C8" t="s">
        <v>10</v>
      </c>
      <c r="D8" s="69">
        <f>'Q2'!D7</f>
        <v>75138000000</v>
      </c>
      <c r="E8" s="44"/>
    </row>
    <row r="9" spans="3:14" x14ac:dyDescent="0.35">
      <c r="C9" t="s">
        <v>7</v>
      </c>
      <c r="D9" s="69">
        <f>'Q2'!D4</f>
        <v>2700308651190</v>
      </c>
      <c r="E9" s="44"/>
    </row>
    <row r="10" spans="3:14" x14ac:dyDescent="0.35">
      <c r="C10" s="37" t="s">
        <v>104</v>
      </c>
      <c r="D10" s="71">
        <f>'Q1'!K8</f>
        <v>1.2358442363400539</v>
      </c>
      <c r="E10" s="38"/>
    </row>
    <row r="13" spans="3:14" x14ac:dyDescent="0.35">
      <c r="C13" s="1" t="s">
        <v>103</v>
      </c>
      <c r="D13" s="1"/>
      <c r="E13" s="1"/>
      <c r="F13" s="1"/>
      <c r="G13" s="78"/>
    </row>
    <row r="15" spans="3:14" x14ac:dyDescent="0.35">
      <c r="C15" t="s">
        <v>126</v>
      </c>
      <c r="E15" s="75">
        <f>D4+D10*(D5-D4)</f>
        <v>9.6792211817002705E-2</v>
      </c>
      <c r="F15" s="47"/>
    </row>
    <row r="16" spans="3:14" x14ac:dyDescent="0.35">
      <c r="E16" s="42"/>
    </row>
    <row r="17" spans="3:12" x14ac:dyDescent="0.35">
      <c r="C17" t="s">
        <v>20</v>
      </c>
      <c r="E17" s="75">
        <f>(D9/(D9+D8))*E15+(D8/(D9+D8))*D6</f>
        <v>9.5783244832785844E-2</v>
      </c>
      <c r="F17" s="48"/>
    </row>
    <row r="18" spans="3:12" x14ac:dyDescent="0.35">
      <c r="E18" s="42"/>
    </row>
    <row r="19" spans="3:12" x14ac:dyDescent="0.35">
      <c r="C19" t="s">
        <v>21</v>
      </c>
      <c r="E19" s="75">
        <f>(D9/(D9+D8))*E15+(D8/(D9+D8))*D6*(1-D7)</f>
        <v>9.554153026918133E-2</v>
      </c>
      <c r="F19" s="33"/>
    </row>
    <row r="22" spans="3:12" x14ac:dyDescent="0.35">
      <c r="C22" s="1" t="s">
        <v>125</v>
      </c>
      <c r="D22" s="1"/>
      <c r="E22" s="1"/>
      <c r="F22" s="1"/>
      <c r="G22" s="1"/>
      <c r="H22" s="1"/>
      <c r="I22" s="1"/>
      <c r="J22" s="1"/>
      <c r="K22" s="1"/>
      <c r="L22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EF868-5EB5-457B-9C7B-8F9B4EF339E9}">
  <sheetPr>
    <pageSetUpPr fitToPage="1"/>
  </sheetPr>
  <dimension ref="C2:X94"/>
  <sheetViews>
    <sheetView showGridLines="0" tabSelected="1" zoomScaleNormal="100" workbookViewId="0">
      <selection activeCell="L43" sqref="L43"/>
    </sheetView>
  </sheetViews>
  <sheetFormatPr defaultRowHeight="14.5" x14ac:dyDescent="0.35"/>
  <cols>
    <col min="2" max="2" width="2.7265625" customWidth="1"/>
    <col min="3" max="3" width="19.54296875" bestFit="1" customWidth="1"/>
    <col min="4" max="10" width="10.7265625" customWidth="1"/>
    <col min="12" max="12" width="5.7265625" customWidth="1"/>
    <col min="13" max="13" width="23" bestFit="1" customWidth="1"/>
    <col min="14" max="15" width="8.7265625" bestFit="1" customWidth="1"/>
    <col min="16" max="20" width="8" bestFit="1" customWidth="1"/>
    <col min="21" max="24" width="6.7265625" bestFit="1" customWidth="1"/>
    <col min="25" max="25" width="2.7265625" customWidth="1"/>
  </cols>
  <sheetData>
    <row r="2" spans="3:24" x14ac:dyDescent="0.35">
      <c r="C2" t="s">
        <v>22</v>
      </c>
      <c r="D2" s="27">
        <v>9.0499999999999997E-2</v>
      </c>
    </row>
    <row r="3" spans="3:24" x14ac:dyDescent="0.35">
      <c r="C3" t="s">
        <v>23</v>
      </c>
      <c r="D3" s="27">
        <v>0.09</v>
      </c>
    </row>
    <row r="5" spans="3:24" x14ac:dyDescent="0.35">
      <c r="C5" s="3" t="s">
        <v>24</v>
      </c>
      <c r="D5" s="13">
        <v>0</v>
      </c>
      <c r="E5" s="13">
        <f>D5+1</f>
        <v>1</v>
      </c>
      <c r="F5" s="13">
        <f t="shared" ref="F5:J5" si="0">E5+1</f>
        <v>2</v>
      </c>
      <c r="G5" s="13">
        <f t="shared" si="0"/>
        <v>3</v>
      </c>
      <c r="H5" s="13">
        <f t="shared" si="0"/>
        <v>4</v>
      </c>
      <c r="I5" s="13">
        <f t="shared" si="0"/>
        <v>5</v>
      </c>
      <c r="J5" s="13">
        <f t="shared" si="0"/>
        <v>6</v>
      </c>
      <c r="M5" s="13" t="s">
        <v>25</v>
      </c>
    </row>
    <row r="6" spans="3:24" x14ac:dyDescent="0.35">
      <c r="C6" s="1" t="s">
        <v>26</v>
      </c>
      <c r="D6" s="2">
        <v>45200</v>
      </c>
      <c r="E6" s="2">
        <v>45566</v>
      </c>
      <c r="F6" s="2">
        <v>45931</v>
      </c>
      <c r="G6" s="2">
        <v>46296</v>
      </c>
      <c r="H6" s="2">
        <v>46661</v>
      </c>
      <c r="I6" s="2">
        <v>47027</v>
      </c>
      <c r="J6" s="2">
        <v>47392</v>
      </c>
      <c r="M6" s="1" t="s">
        <v>27</v>
      </c>
      <c r="N6" s="1" t="s">
        <v>28</v>
      </c>
      <c r="O6" s="1" t="s">
        <v>29</v>
      </c>
      <c r="P6" s="1" t="s">
        <v>30</v>
      </c>
      <c r="Q6" s="1" t="s">
        <v>31</v>
      </c>
      <c r="R6" s="1" t="s">
        <v>32</v>
      </c>
      <c r="S6" s="1" t="s">
        <v>33</v>
      </c>
      <c r="T6" s="1" t="s">
        <v>34</v>
      </c>
      <c r="U6" s="1" t="s">
        <v>35</v>
      </c>
      <c r="V6" s="1" t="s">
        <v>36</v>
      </c>
      <c r="W6" s="1" t="s">
        <v>37</v>
      </c>
      <c r="X6" s="1" t="s">
        <v>38</v>
      </c>
    </row>
    <row r="7" spans="3:24" x14ac:dyDescent="0.35">
      <c r="C7" t="s">
        <v>39</v>
      </c>
      <c r="D7" s="18">
        <v>0</v>
      </c>
      <c r="E7" s="18">
        <v>385</v>
      </c>
      <c r="F7" s="5">
        <f>E7*(1+F8)</f>
        <v>396.55</v>
      </c>
      <c r="G7" s="5">
        <f t="shared" ref="G7:J7" si="1">F7*(1+G8)</f>
        <v>408.44650000000001</v>
      </c>
      <c r="H7" s="5">
        <f t="shared" si="1"/>
        <v>437.03775500000006</v>
      </c>
      <c r="I7" s="5">
        <f t="shared" si="1"/>
        <v>467.63039785000007</v>
      </c>
      <c r="J7" s="5">
        <f t="shared" si="1"/>
        <v>467.63039785000007</v>
      </c>
      <c r="M7" s="11" t="s">
        <v>40</v>
      </c>
      <c r="N7" s="21">
        <f>D27</f>
        <v>128</v>
      </c>
      <c r="O7" s="22">
        <v>0</v>
      </c>
      <c r="P7" s="22">
        <v>5</v>
      </c>
      <c r="Q7" s="21">
        <v>0</v>
      </c>
      <c r="R7" s="12">
        <v>0</v>
      </c>
      <c r="S7" s="12">
        <f t="shared" ref="S7:V7" si="2">$N$7/$P$7</f>
        <v>25.6</v>
      </c>
      <c r="T7" s="12">
        <f t="shared" si="2"/>
        <v>25.6</v>
      </c>
      <c r="U7" s="12">
        <f t="shared" si="2"/>
        <v>25.6</v>
      </c>
      <c r="V7" s="12">
        <f t="shared" si="2"/>
        <v>25.6</v>
      </c>
      <c r="W7" s="12">
        <f>$N$7/$P$7</f>
        <v>25.6</v>
      </c>
      <c r="X7" s="12">
        <v>0</v>
      </c>
    </row>
    <row r="8" spans="3:24" x14ac:dyDescent="0.35">
      <c r="C8" s="8" t="s">
        <v>41</v>
      </c>
      <c r="D8" s="10"/>
      <c r="E8" s="10"/>
      <c r="F8" s="19">
        <v>0.03</v>
      </c>
      <c r="G8" s="19">
        <v>0.03</v>
      </c>
      <c r="H8" s="19">
        <v>7.0000000000000007E-2</v>
      </c>
      <c r="I8" s="19">
        <v>7.0000000000000007E-2</v>
      </c>
      <c r="J8" s="19">
        <v>0</v>
      </c>
      <c r="M8" s="11" t="s">
        <v>42</v>
      </c>
      <c r="N8" s="21">
        <f>E27</f>
        <v>162</v>
      </c>
      <c r="O8" s="22">
        <v>1</v>
      </c>
      <c r="P8" s="22">
        <v>5</v>
      </c>
      <c r="Q8" s="21">
        <v>0</v>
      </c>
      <c r="R8" s="12">
        <v>0</v>
      </c>
      <c r="S8" s="12">
        <v>0</v>
      </c>
      <c r="T8" s="12">
        <f t="shared" ref="T8:W8" si="3">$N$8/$P$8</f>
        <v>32.4</v>
      </c>
      <c r="U8" s="12">
        <f t="shared" si="3"/>
        <v>32.4</v>
      </c>
      <c r="V8" s="12">
        <f t="shared" si="3"/>
        <v>32.4</v>
      </c>
      <c r="W8" s="12">
        <f t="shared" si="3"/>
        <v>32.4</v>
      </c>
      <c r="X8" s="12">
        <f>$N$8/$P$8</f>
        <v>32.4</v>
      </c>
    </row>
    <row r="9" spans="3:24" x14ac:dyDescent="0.35">
      <c r="C9" s="3"/>
      <c r="D9" s="4"/>
      <c r="E9" s="4"/>
      <c r="F9" s="4"/>
      <c r="G9" s="4"/>
      <c r="H9" s="4"/>
      <c r="I9" s="4"/>
      <c r="J9" s="4"/>
      <c r="Q9" s="13" t="s">
        <v>43</v>
      </c>
      <c r="R9" s="5">
        <f t="shared" ref="R9:X9" si="4">SUM(R7:R8)</f>
        <v>0</v>
      </c>
      <c r="S9" s="5">
        <f t="shared" si="4"/>
        <v>25.6</v>
      </c>
      <c r="T9" s="5">
        <f t="shared" si="4"/>
        <v>58</v>
      </c>
      <c r="U9" s="5">
        <f t="shared" si="4"/>
        <v>58</v>
      </c>
      <c r="V9" s="5">
        <f t="shared" si="4"/>
        <v>58</v>
      </c>
      <c r="W9" s="5">
        <f t="shared" si="4"/>
        <v>58</v>
      </c>
      <c r="X9" s="5">
        <f t="shared" si="4"/>
        <v>32.4</v>
      </c>
    </row>
    <row r="10" spans="3:24" x14ac:dyDescent="0.35">
      <c r="C10" t="s">
        <v>44</v>
      </c>
      <c r="D10" s="5">
        <f>D11*D7</f>
        <v>0</v>
      </c>
      <c r="E10" s="5">
        <f t="shared" ref="E10:J10" si="5">E11*E7</f>
        <v>142.44999999999999</v>
      </c>
      <c r="F10" s="5">
        <f t="shared" si="5"/>
        <v>146.7235</v>
      </c>
      <c r="G10" s="5">
        <f t="shared" si="5"/>
        <v>151.12520499999999</v>
      </c>
      <c r="H10" s="5">
        <f t="shared" si="5"/>
        <v>161.70396935000002</v>
      </c>
      <c r="I10" s="5">
        <f t="shared" si="5"/>
        <v>173.02324720450002</v>
      </c>
      <c r="J10" s="5">
        <f t="shared" si="5"/>
        <v>173.02324720450002</v>
      </c>
    </row>
    <row r="11" spans="3:24" x14ac:dyDescent="0.35">
      <c r="C11" s="8" t="s">
        <v>45</v>
      </c>
      <c r="D11" s="19">
        <v>0.37</v>
      </c>
      <c r="E11" s="19">
        <v>0.37</v>
      </c>
      <c r="F11" s="19">
        <v>0.37</v>
      </c>
      <c r="G11" s="19">
        <v>0.37</v>
      </c>
      <c r="H11" s="19">
        <v>0.37</v>
      </c>
      <c r="I11" s="19">
        <v>0.37</v>
      </c>
      <c r="J11" s="19">
        <v>0.37</v>
      </c>
      <c r="M11" s="1" t="s">
        <v>46</v>
      </c>
      <c r="N11" s="6"/>
      <c r="O11" s="6"/>
      <c r="P11" s="6"/>
      <c r="Q11" s="6"/>
      <c r="R11" s="6"/>
      <c r="S11" s="6"/>
    </row>
    <row r="12" spans="3:24" x14ac:dyDescent="0.35">
      <c r="M12" s="26" t="s">
        <v>47</v>
      </c>
      <c r="N12" t="s">
        <v>48</v>
      </c>
    </row>
    <row r="13" spans="3:24" x14ac:dyDescent="0.35">
      <c r="C13" t="s">
        <v>49</v>
      </c>
      <c r="D13" s="18">
        <v>389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M13" s="26" t="s">
        <v>50</v>
      </c>
      <c r="N13" t="s">
        <v>51</v>
      </c>
    </row>
    <row r="14" spans="3:24" x14ac:dyDescent="0.35">
      <c r="D14" s="18"/>
      <c r="M14" s="26" t="s">
        <v>52</v>
      </c>
      <c r="N14" t="s">
        <v>53</v>
      </c>
    </row>
    <row r="15" spans="3:24" x14ac:dyDescent="0.35">
      <c r="C15" t="s">
        <v>54</v>
      </c>
      <c r="D15" s="18">
        <v>0</v>
      </c>
      <c r="E15" s="18">
        <v>79</v>
      </c>
      <c r="F15" s="18">
        <v>79</v>
      </c>
      <c r="G15" s="18">
        <v>79</v>
      </c>
      <c r="H15" s="18">
        <v>79</v>
      </c>
      <c r="I15" s="18">
        <v>79</v>
      </c>
      <c r="J15" s="18">
        <v>79</v>
      </c>
      <c r="M15" s="26" t="s">
        <v>55</v>
      </c>
      <c r="N15" t="s">
        <v>56</v>
      </c>
    </row>
    <row r="16" spans="3:24" x14ac:dyDescent="0.35">
      <c r="M16" s="13" t="s">
        <v>57</v>
      </c>
      <c r="N16" t="s">
        <v>58</v>
      </c>
    </row>
    <row r="17" spans="3:14" x14ac:dyDescent="0.35">
      <c r="C17" t="s">
        <v>59</v>
      </c>
      <c r="D17" s="25">
        <f t="shared" ref="D17:J17" si="6">D7-D10-D13-D15-D25</f>
        <v>-389</v>
      </c>
      <c r="E17" s="25">
        <f t="shared" si="6"/>
        <v>137.95000000000002</v>
      </c>
      <c r="F17" s="25">
        <f t="shared" si="6"/>
        <v>112.82650000000001</v>
      </c>
      <c r="G17" s="25">
        <f t="shared" si="6"/>
        <v>120.32129500000002</v>
      </c>
      <c r="H17" s="25">
        <f t="shared" si="6"/>
        <v>138.33378565000004</v>
      </c>
      <c r="I17" s="25">
        <f t="shared" si="6"/>
        <v>157.60715064550004</v>
      </c>
      <c r="J17" s="25">
        <f t="shared" si="6"/>
        <v>183.20715064550004</v>
      </c>
      <c r="M17" s="26" t="s">
        <v>60</v>
      </c>
      <c r="N17" t="s">
        <v>61</v>
      </c>
    </row>
    <row r="19" spans="3:14" x14ac:dyDescent="0.35">
      <c r="C19" t="s">
        <v>62</v>
      </c>
      <c r="D19" s="5">
        <f t="shared" ref="D19:J19" si="7">D17*D20</f>
        <v>-58.349999999999994</v>
      </c>
      <c r="E19" s="5">
        <f t="shared" si="7"/>
        <v>20.692500000000003</v>
      </c>
      <c r="F19" s="5">
        <f t="shared" si="7"/>
        <v>16.923975000000002</v>
      </c>
      <c r="G19" s="5">
        <f t="shared" si="7"/>
        <v>18.048194250000002</v>
      </c>
      <c r="H19" s="5">
        <f t="shared" si="7"/>
        <v>20.750067847500006</v>
      </c>
      <c r="I19" s="5">
        <f t="shared" si="7"/>
        <v>23.641072596825005</v>
      </c>
      <c r="J19" s="5">
        <f t="shared" si="7"/>
        <v>27.481072596825005</v>
      </c>
    </row>
    <row r="20" spans="3:14" x14ac:dyDescent="0.35">
      <c r="C20" s="8" t="s">
        <v>63</v>
      </c>
      <c r="D20" s="19">
        <v>0.15</v>
      </c>
      <c r="E20" s="19">
        <v>0.15</v>
      </c>
      <c r="F20" s="19">
        <v>0.15</v>
      </c>
      <c r="G20" s="19">
        <v>0.15</v>
      </c>
      <c r="H20" s="19">
        <v>0.15</v>
      </c>
      <c r="I20" s="19">
        <v>0.15</v>
      </c>
      <c r="J20" s="19">
        <v>0.15</v>
      </c>
    </row>
    <row r="22" spans="3:14" x14ac:dyDescent="0.35">
      <c r="C22" s="14" t="s">
        <v>64</v>
      </c>
      <c r="D22" s="15">
        <f t="shared" ref="D22:J22" si="8">D17-D19</f>
        <v>-330.65</v>
      </c>
      <c r="E22" s="16">
        <f t="shared" si="8"/>
        <v>117.25750000000002</v>
      </c>
      <c r="F22" s="16">
        <f t="shared" si="8"/>
        <v>95.902525000000011</v>
      </c>
      <c r="G22" s="16">
        <f t="shared" si="8"/>
        <v>102.27310075000003</v>
      </c>
      <c r="H22" s="16">
        <f t="shared" si="8"/>
        <v>117.58371780250003</v>
      </c>
      <c r="I22" s="16">
        <f t="shared" si="8"/>
        <v>133.96607804867503</v>
      </c>
      <c r="J22" s="17">
        <f t="shared" si="8"/>
        <v>155.72607804867502</v>
      </c>
    </row>
    <row r="24" spans="3:14" x14ac:dyDescent="0.35">
      <c r="C24" s="1" t="s">
        <v>65</v>
      </c>
      <c r="D24" s="2">
        <v>45200</v>
      </c>
      <c r="E24" s="2">
        <v>45566</v>
      </c>
      <c r="F24" s="2">
        <v>45931</v>
      </c>
      <c r="G24" s="2">
        <v>46296</v>
      </c>
      <c r="H24" s="2">
        <v>46661</v>
      </c>
      <c r="I24" s="2">
        <v>47027</v>
      </c>
      <c r="J24" s="2">
        <v>47392</v>
      </c>
    </row>
    <row r="25" spans="3:14" x14ac:dyDescent="0.35">
      <c r="C25" t="s">
        <v>66</v>
      </c>
      <c r="D25" s="20">
        <f t="shared" ref="D25:J25" si="9">R9</f>
        <v>0</v>
      </c>
      <c r="E25" s="20">
        <f t="shared" si="9"/>
        <v>25.6</v>
      </c>
      <c r="F25" s="20">
        <f t="shared" si="9"/>
        <v>58</v>
      </c>
      <c r="G25" s="20">
        <f t="shared" si="9"/>
        <v>58</v>
      </c>
      <c r="H25" s="20">
        <f t="shared" si="9"/>
        <v>58</v>
      </c>
      <c r="I25" s="20">
        <f t="shared" si="9"/>
        <v>58</v>
      </c>
      <c r="J25" s="20">
        <f t="shared" si="9"/>
        <v>32.4</v>
      </c>
    </row>
    <row r="27" spans="3:14" x14ac:dyDescent="0.35">
      <c r="C27" t="s">
        <v>67</v>
      </c>
      <c r="D27" s="18">
        <v>128</v>
      </c>
      <c r="E27" s="18">
        <v>162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9" spans="3:14" x14ac:dyDescent="0.35">
      <c r="C29" t="s">
        <v>68</v>
      </c>
      <c r="D29" s="5">
        <f t="shared" ref="D29:J29" si="10">D30*D7</f>
        <v>0</v>
      </c>
      <c r="E29" s="5">
        <f t="shared" si="10"/>
        <v>57.75</v>
      </c>
      <c r="F29" s="5">
        <f t="shared" si="10"/>
        <v>59.482500000000002</v>
      </c>
      <c r="G29" s="5">
        <f t="shared" si="10"/>
        <v>61.266975000000002</v>
      </c>
      <c r="H29" s="5">
        <f t="shared" si="10"/>
        <v>65.555663250000009</v>
      </c>
      <c r="I29" s="5">
        <f t="shared" si="10"/>
        <v>70.144559677500013</v>
      </c>
      <c r="J29" s="5">
        <f t="shared" si="10"/>
        <v>70.144559677500013</v>
      </c>
    </row>
    <row r="30" spans="3:14" x14ac:dyDescent="0.35">
      <c r="C30" s="8" t="s">
        <v>45</v>
      </c>
      <c r="D30" s="23">
        <v>0.15</v>
      </c>
      <c r="E30" s="23">
        <v>0.15</v>
      </c>
      <c r="F30" s="23">
        <v>0.15</v>
      </c>
      <c r="G30" s="23">
        <v>0.15</v>
      </c>
      <c r="H30" s="23">
        <v>0.15</v>
      </c>
      <c r="I30" s="23">
        <v>0.15</v>
      </c>
      <c r="J30" s="23">
        <v>0.15</v>
      </c>
    </row>
    <row r="31" spans="3:14" x14ac:dyDescent="0.35">
      <c r="C31" s="8"/>
      <c r="D31" s="9"/>
      <c r="E31" s="9"/>
      <c r="F31" s="9"/>
      <c r="G31" s="9"/>
      <c r="H31" s="9"/>
      <c r="I31" s="9"/>
      <c r="J31" s="9"/>
    </row>
    <row r="32" spans="3:14" x14ac:dyDescent="0.35">
      <c r="C32" t="s">
        <v>69</v>
      </c>
      <c r="D32" s="5">
        <f t="shared" ref="D32:J32" si="11">D33*D10</f>
        <v>0</v>
      </c>
      <c r="E32" s="5">
        <f t="shared" si="11"/>
        <v>11.395999999999999</v>
      </c>
      <c r="F32" s="5">
        <f t="shared" si="11"/>
        <v>11.737880000000001</v>
      </c>
      <c r="G32" s="5">
        <f t="shared" si="11"/>
        <v>12.0900164</v>
      </c>
      <c r="H32" s="5">
        <f t="shared" si="11"/>
        <v>12.936317548000002</v>
      </c>
      <c r="I32" s="5">
        <f t="shared" si="11"/>
        <v>13.841859776360002</v>
      </c>
      <c r="J32" s="5">
        <f t="shared" si="11"/>
        <v>13.841859776360002</v>
      </c>
    </row>
    <row r="33" spans="3:10" x14ac:dyDescent="0.35">
      <c r="C33" s="8" t="s">
        <v>70</v>
      </c>
      <c r="D33" s="23">
        <v>0.08</v>
      </c>
      <c r="E33" s="23">
        <v>0.08</v>
      </c>
      <c r="F33" s="23">
        <v>0.08</v>
      </c>
      <c r="G33" s="23">
        <v>0.08</v>
      </c>
      <c r="H33" s="23">
        <v>0.08</v>
      </c>
      <c r="I33" s="23">
        <v>0.08</v>
      </c>
      <c r="J33" s="23">
        <v>0.08</v>
      </c>
    </row>
    <row r="34" spans="3:10" x14ac:dyDescent="0.35">
      <c r="C34" s="8"/>
      <c r="D34" s="9"/>
      <c r="E34" s="9"/>
      <c r="F34" s="9"/>
      <c r="G34" s="9"/>
      <c r="H34" s="9"/>
      <c r="I34" s="9"/>
      <c r="J34" s="9"/>
    </row>
    <row r="35" spans="3:10" x14ac:dyDescent="0.35">
      <c r="C35" t="s">
        <v>71</v>
      </c>
      <c r="D35" s="5">
        <f t="shared" ref="D35:J35" si="12">D36*D10</f>
        <v>0</v>
      </c>
      <c r="E35" s="5">
        <f t="shared" si="12"/>
        <v>15.669499999999999</v>
      </c>
      <c r="F35" s="5">
        <f t="shared" si="12"/>
        <v>16.139585</v>
      </c>
      <c r="G35" s="5">
        <f t="shared" si="12"/>
        <v>16.623772549999998</v>
      </c>
      <c r="H35" s="5">
        <f t="shared" si="12"/>
        <v>17.787436628500004</v>
      </c>
      <c r="I35" s="5">
        <f t="shared" si="12"/>
        <v>19.032557192495002</v>
      </c>
      <c r="J35" s="5">
        <f t="shared" si="12"/>
        <v>19.032557192495002</v>
      </c>
    </row>
    <row r="36" spans="3:10" x14ac:dyDescent="0.35">
      <c r="C36" s="3" t="s">
        <v>70</v>
      </c>
      <c r="D36" s="24">
        <v>0.11</v>
      </c>
      <c r="E36" s="24">
        <v>0.11</v>
      </c>
      <c r="F36" s="24">
        <v>0.11</v>
      </c>
      <c r="G36" s="24">
        <v>0.11</v>
      </c>
      <c r="H36" s="24">
        <v>0.11</v>
      </c>
      <c r="I36" s="24">
        <v>0.11</v>
      </c>
      <c r="J36" s="24">
        <v>0.11</v>
      </c>
    </row>
    <row r="37" spans="3:10" x14ac:dyDescent="0.35">
      <c r="C37" s="3"/>
      <c r="D37" s="7"/>
      <c r="E37" s="7"/>
      <c r="F37" s="7"/>
      <c r="G37" s="7"/>
      <c r="H37" s="7"/>
      <c r="I37" s="7"/>
      <c r="J37" s="7"/>
    </row>
    <row r="38" spans="3:10" x14ac:dyDescent="0.35">
      <c r="C38" t="s">
        <v>72</v>
      </c>
      <c r="D38" s="25">
        <v>0</v>
      </c>
      <c r="E38" s="25">
        <f>(E29+E32-E35)-(D29+D32-D35)</f>
        <v>53.476500000000001</v>
      </c>
      <c r="F38" s="25">
        <f t="shared" ref="F38:J38" si="13">(F29+F32-F35)-(E29+E32-E35)</f>
        <v>1.6042950000000076</v>
      </c>
      <c r="G38" s="25">
        <f t="shared" si="13"/>
        <v>1.652423849999991</v>
      </c>
      <c r="H38" s="25">
        <f t="shared" si="13"/>
        <v>3.9713253195000107</v>
      </c>
      <c r="I38" s="25">
        <f t="shared" si="13"/>
        <v>4.2493180918649927</v>
      </c>
      <c r="J38" s="25">
        <f t="shared" si="13"/>
        <v>0</v>
      </c>
    </row>
    <row r="40" spans="3:10" x14ac:dyDescent="0.35">
      <c r="C40" s="1" t="s">
        <v>73</v>
      </c>
      <c r="D40" s="2">
        <v>45200</v>
      </c>
      <c r="E40" s="2">
        <v>45566</v>
      </c>
      <c r="F40" s="2">
        <v>45931</v>
      </c>
      <c r="G40" s="2">
        <v>46296</v>
      </c>
      <c r="H40" s="2">
        <v>46661</v>
      </c>
      <c r="I40" s="2">
        <v>47027</v>
      </c>
      <c r="J40" s="2">
        <v>47392</v>
      </c>
    </row>
    <row r="42" spans="3:10" x14ac:dyDescent="0.35">
      <c r="C42" s="14" t="s">
        <v>74</v>
      </c>
      <c r="D42" s="16">
        <f>D22+D25-D27-D38</f>
        <v>-458.65</v>
      </c>
      <c r="E42" s="16">
        <f t="shared" ref="E42:J42" si="14">E22+E25-E27-E38</f>
        <v>-72.618999999999986</v>
      </c>
      <c r="F42" s="16">
        <f t="shared" si="14"/>
        <v>152.29823000000002</v>
      </c>
      <c r="G42" s="16">
        <f t="shared" si="14"/>
        <v>158.62067690000003</v>
      </c>
      <c r="H42" s="16">
        <f t="shared" si="14"/>
        <v>171.61239248300001</v>
      </c>
      <c r="I42" s="16">
        <f t="shared" si="14"/>
        <v>187.71675995681005</v>
      </c>
      <c r="J42" s="17">
        <f t="shared" si="14"/>
        <v>188.12607804867503</v>
      </c>
    </row>
    <row r="43" spans="3:10" x14ac:dyDescent="0.35">
      <c r="C43" s="14" t="s">
        <v>75</v>
      </c>
      <c r="D43" s="16">
        <f t="shared" ref="D43:J43" si="15">D42/(1+ATWACC)^D5</f>
        <v>-458.65</v>
      </c>
      <c r="E43" s="16">
        <f t="shared" si="15"/>
        <v>-66.622935779816501</v>
      </c>
      <c r="F43" s="16">
        <f t="shared" si="15"/>
        <v>128.186373200909</v>
      </c>
      <c r="G43" s="16">
        <f t="shared" si="15"/>
        <v>122.48426629828367</v>
      </c>
      <c r="H43" s="16">
        <f t="shared" si="15"/>
        <v>121.57454536617261</v>
      </c>
      <c r="I43" s="16">
        <f t="shared" si="15"/>
        <v>122.00301403016327</v>
      </c>
      <c r="J43" s="17">
        <f t="shared" si="15"/>
        <v>112.17343367435417</v>
      </c>
    </row>
    <row r="45" spans="3:10" x14ac:dyDescent="0.35">
      <c r="C45" s="28" t="s">
        <v>76</v>
      </c>
      <c r="D45" s="29">
        <f>ROUND(SUM(D43:J43),2)</f>
        <v>81.150000000000006</v>
      </c>
    </row>
    <row r="77" spans="12:20" x14ac:dyDescent="0.35">
      <c r="M77" t="s">
        <v>90</v>
      </c>
    </row>
    <row r="78" spans="12:20" x14ac:dyDescent="0.35">
      <c r="M78" s="60" t="s">
        <v>99</v>
      </c>
      <c r="N78" s="61">
        <v>0</v>
      </c>
      <c r="O78" s="61">
        <v>1</v>
      </c>
      <c r="P78" s="61">
        <v>2</v>
      </c>
      <c r="Q78" s="61">
        <v>3</v>
      </c>
      <c r="R78" s="61">
        <v>4</v>
      </c>
      <c r="S78" s="61">
        <v>5</v>
      </c>
      <c r="T78" s="62">
        <v>6</v>
      </c>
    </row>
    <row r="79" spans="12:20" x14ac:dyDescent="0.35">
      <c r="L79" s="50" t="s">
        <v>101</v>
      </c>
      <c r="M79" s="51"/>
      <c r="N79" s="51"/>
      <c r="O79" s="51"/>
      <c r="P79" s="51"/>
      <c r="Q79" s="51"/>
      <c r="R79" s="51"/>
      <c r="S79" s="51"/>
      <c r="T79" s="52"/>
    </row>
    <row r="80" spans="12:20" x14ac:dyDescent="0.35">
      <c r="L80" s="53">
        <v>1</v>
      </c>
      <c r="M80" t="s">
        <v>39</v>
      </c>
      <c r="N80" s="5" cm="1">
        <f t="array" ref="N80:T80">D7:J7</f>
        <v>0</v>
      </c>
      <c r="O80" s="5">
        <v>385</v>
      </c>
      <c r="P80" s="5">
        <v>396.55</v>
      </c>
      <c r="Q80" s="5">
        <v>408.44650000000001</v>
      </c>
      <c r="R80" s="5">
        <v>437.03775500000006</v>
      </c>
      <c r="S80" s="5">
        <v>467.63039785000007</v>
      </c>
      <c r="T80" s="56">
        <v>467.63039785000007</v>
      </c>
    </row>
    <row r="81" spans="12:20" x14ac:dyDescent="0.35">
      <c r="L81" s="53">
        <v>2</v>
      </c>
      <c r="M81" s="28" t="s">
        <v>44</v>
      </c>
      <c r="N81" s="29" cm="1">
        <f t="array" ref="N81:T81">D10:J10</f>
        <v>0</v>
      </c>
      <c r="O81" s="29">
        <v>142.44999999999999</v>
      </c>
      <c r="P81" s="29">
        <v>146.7235</v>
      </c>
      <c r="Q81" s="29">
        <v>151.12520499999999</v>
      </c>
      <c r="R81" s="29">
        <v>161.70396935000002</v>
      </c>
      <c r="S81" s="29">
        <v>173.02324720450002</v>
      </c>
      <c r="T81" s="57">
        <v>173.02324720450002</v>
      </c>
    </row>
    <row r="82" spans="12:20" x14ac:dyDescent="0.35">
      <c r="L82" s="53">
        <v>3</v>
      </c>
      <c r="M82" s="55" t="s">
        <v>100</v>
      </c>
      <c r="N82" s="5">
        <f>N80-N81</f>
        <v>0</v>
      </c>
      <c r="O82" s="5">
        <f t="shared" ref="O82:T82" si="16">O80-O81</f>
        <v>242.55</v>
      </c>
      <c r="P82" s="5">
        <f t="shared" si="16"/>
        <v>249.82650000000001</v>
      </c>
      <c r="Q82" s="5">
        <f t="shared" si="16"/>
        <v>257.32129500000002</v>
      </c>
      <c r="R82" s="5">
        <f t="shared" si="16"/>
        <v>275.33378565000004</v>
      </c>
      <c r="S82" s="5">
        <f t="shared" si="16"/>
        <v>294.60715064550004</v>
      </c>
      <c r="T82" s="56">
        <f t="shared" si="16"/>
        <v>294.60715064550004</v>
      </c>
    </row>
    <row r="83" spans="12:20" x14ac:dyDescent="0.35">
      <c r="L83" s="53">
        <v>4</v>
      </c>
      <c r="M83" t="s">
        <v>91</v>
      </c>
      <c r="N83" s="5" cm="1">
        <f t="array" ref="N83:T83">-D15:J15-D13:J13</f>
        <v>-389</v>
      </c>
      <c r="O83" s="5">
        <v>-79</v>
      </c>
      <c r="P83" s="5">
        <v>-79</v>
      </c>
      <c r="Q83" s="5">
        <v>-79</v>
      </c>
      <c r="R83" s="5">
        <v>-79</v>
      </c>
      <c r="S83" s="5">
        <v>-79</v>
      </c>
      <c r="T83" s="56">
        <v>-79</v>
      </c>
    </row>
    <row r="84" spans="12:20" x14ac:dyDescent="0.35">
      <c r="L84" s="53">
        <v>5</v>
      </c>
      <c r="M84" s="28" t="s">
        <v>92</v>
      </c>
      <c r="N84" s="29" cm="1">
        <f t="array" ref="N84:T84">-D25:J25</f>
        <v>0</v>
      </c>
      <c r="O84" s="29">
        <v>-25.6</v>
      </c>
      <c r="P84" s="29">
        <v>-58</v>
      </c>
      <c r="Q84" s="29">
        <v>-58</v>
      </c>
      <c r="R84" s="29">
        <v>-58</v>
      </c>
      <c r="S84" s="29">
        <v>-58</v>
      </c>
      <c r="T84" s="57">
        <v>-32.4</v>
      </c>
    </row>
    <row r="85" spans="12:20" x14ac:dyDescent="0.35">
      <c r="L85" s="53">
        <v>6</v>
      </c>
      <c r="M85" s="55" t="s">
        <v>59</v>
      </c>
      <c r="N85" s="5">
        <f>SUM(N82:N84)</f>
        <v>-389</v>
      </c>
      <c r="O85" s="5">
        <f t="shared" ref="O85:T85" si="17">SUM(O82:O84)</f>
        <v>137.95000000000002</v>
      </c>
      <c r="P85" s="5">
        <f t="shared" si="17"/>
        <v>112.82650000000001</v>
      </c>
      <c r="Q85" s="5">
        <f t="shared" si="17"/>
        <v>120.32129500000002</v>
      </c>
      <c r="R85" s="5">
        <f t="shared" si="17"/>
        <v>138.33378565000004</v>
      </c>
      <c r="S85" s="5">
        <f t="shared" si="17"/>
        <v>157.60715064550004</v>
      </c>
      <c r="T85" s="56">
        <f t="shared" si="17"/>
        <v>183.20715064550004</v>
      </c>
    </row>
    <row r="86" spans="12:20" x14ac:dyDescent="0.35">
      <c r="L86" s="53">
        <v>7</v>
      </c>
      <c r="M86" s="28" t="s">
        <v>93</v>
      </c>
      <c r="N86" s="29">
        <f t="shared" ref="N86:T86" si="18">-N85*Tax</f>
        <v>58.349999999999994</v>
      </c>
      <c r="O86" s="29">
        <f t="shared" si="18"/>
        <v>-20.692500000000003</v>
      </c>
      <c r="P86" s="29">
        <f t="shared" si="18"/>
        <v>-16.923975000000002</v>
      </c>
      <c r="Q86" s="29">
        <f t="shared" si="18"/>
        <v>-18.048194250000002</v>
      </c>
      <c r="R86" s="29">
        <f t="shared" si="18"/>
        <v>-20.750067847500006</v>
      </c>
      <c r="S86" s="29">
        <f t="shared" si="18"/>
        <v>-23.641072596825005</v>
      </c>
      <c r="T86" s="57">
        <f t="shared" si="18"/>
        <v>-27.481072596825005</v>
      </c>
    </row>
    <row r="87" spans="12:20" x14ac:dyDescent="0.35">
      <c r="L87" s="53">
        <v>8</v>
      </c>
      <c r="M87" s="55" t="s">
        <v>94</v>
      </c>
      <c r="N87" s="5">
        <f>SUM(N85:N86)</f>
        <v>-330.65</v>
      </c>
      <c r="O87" s="5">
        <f t="shared" ref="O87:T87" si="19">SUM(O85:O86)</f>
        <v>117.25750000000002</v>
      </c>
      <c r="P87" s="5">
        <f t="shared" si="19"/>
        <v>95.902525000000011</v>
      </c>
      <c r="Q87" s="5">
        <f t="shared" si="19"/>
        <v>102.27310075000003</v>
      </c>
      <c r="R87" s="5">
        <f t="shared" si="19"/>
        <v>117.58371780250003</v>
      </c>
      <c r="S87" s="5">
        <f t="shared" si="19"/>
        <v>133.96607804867503</v>
      </c>
      <c r="T87" s="56">
        <f t="shared" si="19"/>
        <v>155.72607804867502</v>
      </c>
    </row>
    <row r="88" spans="12:20" x14ac:dyDescent="0.35">
      <c r="L88" s="58" t="s">
        <v>95</v>
      </c>
      <c r="T88" s="54"/>
    </row>
    <row r="89" spans="12:20" x14ac:dyDescent="0.35">
      <c r="L89" s="53">
        <v>9</v>
      </c>
      <c r="M89" t="s">
        <v>96</v>
      </c>
      <c r="N89" s="5" cm="1">
        <f t="array" ref="N89:T89">-_xlfn.ANCHORARRAY(N84)</f>
        <v>0</v>
      </c>
      <c r="O89" s="5">
        <v>25.6</v>
      </c>
      <c r="P89" s="5">
        <v>58</v>
      </c>
      <c r="Q89" s="5">
        <v>58</v>
      </c>
      <c r="R89" s="5">
        <v>58</v>
      </c>
      <c r="S89" s="5">
        <v>58</v>
      </c>
      <c r="T89" s="56">
        <v>32.4</v>
      </c>
    </row>
    <row r="90" spans="12:20" x14ac:dyDescent="0.35">
      <c r="L90" s="53">
        <v>10</v>
      </c>
      <c r="M90" t="s">
        <v>97</v>
      </c>
      <c r="N90" s="5" cm="1">
        <f t="array" ref="N90:T90">-D27:J27</f>
        <v>-128</v>
      </c>
      <c r="O90" s="5">
        <v>-162</v>
      </c>
      <c r="P90" s="5">
        <v>0</v>
      </c>
      <c r="Q90" s="5">
        <v>0</v>
      </c>
      <c r="R90" s="5">
        <v>0</v>
      </c>
      <c r="S90" s="5">
        <v>0</v>
      </c>
      <c r="T90" s="56">
        <v>0</v>
      </c>
    </row>
    <row r="91" spans="12:20" x14ac:dyDescent="0.35">
      <c r="L91" s="53">
        <v>11</v>
      </c>
      <c r="M91" s="28" t="s">
        <v>98</v>
      </c>
      <c r="N91" s="29" cm="1">
        <f t="array" ref="N91:T91">-D38:J38</f>
        <v>0</v>
      </c>
      <c r="O91" s="29">
        <v>-53.476500000000001</v>
      </c>
      <c r="P91" s="29">
        <v>-1.6042950000000076</v>
      </c>
      <c r="Q91" s="29">
        <v>-1.652423849999991</v>
      </c>
      <c r="R91" s="29">
        <v>-3.9713253195000107</v>
      </c>
      <c r="S91" s="29">
        <v>-4.2493180918649927</v>
      </c>
      <c r="T91" s="57">
        <v>0</v>
      </c>
    </row>
    <row r="92" spans="12:20" x14ac:dyDescent="0.35">
      <c r="L92" s="59">
        <v>12</v>
      </c>
      <c r="M92" s="49" t="s">
        <v>95</v>
      </c>
      <c r="N92" s="29">
        <f>SUM(N87:N91)</f>
        <v>-458.65</v>
      </c>
      <c r="O92" s="29">
        <f t="shared" ref="O92:T92" si="20">SUM(O87:O91)</f>
        <v>-72.618999999999986</v>
      </c>
      <c r="P92" s="29">
        <f t="shared" si="20"/>
        <v>152.29823000000002</v>
      </c>
      <c r="Q92" s="29">
        <f t="shared" si="20"/>
        <v>158.62067690000003</v>
      </c>
      <c r="R92" s="29">
        <f t="shared" si="20"/>
        <v>171.61239248300001</v>
      </c>
      <c r="S92" s="29">
        <f t="shared" si="20"/>
        <v>187.71675995681005</v>
      </c>
      <c r="T92" s="57">
        <f t="shared" si="20"/>
        <v>188.12607804867503</v>
      </c>
    </row>
    <row r="94" spans="12:20" x14ac:dyDescent="0.35">
      <c r="M94" s="63" t="s">
        <v>102</v>
      </c>
      <c r="N94" s="64">
        <f t="shared" ref="N94:T94" si="21">N92/(1+ATWACC)^N78</f>
        <v>-458.65</v>
      </c>
      <c r="O94" s="64">
        <f t="shared" si="21"/>
        <v>-66.622935779816501</v>
      </c>
      <c r="P94" s="64">
        <f t="shared" si="21"/>
        <v>128.186373200909</v>
      </c>
      <c r="Q94" s="64">
        <f t="shared" si="21"/>
        <v>122.48426629828367</v>
      </c>
      <c r="R94" s="64">
        <f t="shared" si="21"/>
        <v>121.57454536617261</v>
      </c>
      <c r="S94" s="64">
        <f t="shared" si="21"/>
        <v>122.00301403016327</v>
      </c>
      <c r="T94" s="65">
        <f t="shared" si="21"/>
        <v>112.17343367435417</v>
      </c>
    </row>
  </sheetData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39B4-AA4B-45B9-97E5-60114DC1DDA3}">
  <dimension ref="B3:J27"/>
  <sheetViews>
    <sheetView showGridLines="0" workbookViewId="0">
      <selection activeCell="F14" sqref="F14"/>
    </sheetView>
  </sheetViews>
  <sheetFormatPr defaultRowHeight="14.5" x14ac:dyDescent="0.35"/>
  <cols>
    <col min="2" max="2" width="18.7265625" customWidth="1"/>
    <col min="3" max="9" width="10.7265625" customWidth="1"/>
    <col min="10" max="10" width="12" bestFit="1" customWidth="1"/>
  </cols>
  <sheetData>
    <row r="3" spans="2:10" x14ac:dyDescent="0.35">
      <c r="B3" s="1" t="s">
        <v>124</v>
      </c>
      <c r="C3" s="1"/>
      <c r="D3" s="1"/>
      <c r="E3" s="1"/>
      <c r="F3" s="1"/>
      <c r="G3" s="1"/>
      <c r="H3" s="1"/>
      <c r="I3" s="1"/>
    </row>
    <row r="5" spans="2:10" x14ac:dyDescent="0.35">
      <c r="B5" t="s">
        <v>22</v>
      </c>
      <c r="C5" s="77">
        <v>9.0499999999999997E-2</v>
      </c>
    </row>
    <row r="7" spans="2:10" x14ac:dyDescent="0.35">
      <c r="B7" s="14" t="s">
        <v>74</v>
      </c>
      <c r="C7" s="16">
        <v>-458.65</v>
      </c>
      <c r="D7" s="16">
        <v>-72.618999999999986</v>
      </c>
      <c r="E7" s="16">
        <v>152.29823000000002</v>
      </c>
      <c r="F7" s="16">
        <v>158.62067690000003</v>
      </c>
      <c r="G7" s="16">
        <v>171.61239248300001</v>
      </c>
      <c r="H7" s="16">
        <v>187.71675995681005</v>
      </c>
      <c r="I7" s="17">
        <v>188.12607804867503</v>
      </c>
    </row>
    <row r="8" spans="2:10" x14ac:dyDescent="0.35">
      <c r="B8" s="14" t="s">
        <v>88</v>
      </c>
      <c r="C8" s="16">
        <f>'Q5'!D42/(1+PTWACC)^'Q5'!D5</f>
        <v>-458.65</v>
      </c>
      <c r="D8" s="16">
        <f>'Q5'!E42/(1+PTWACC)^'Q5'!E5</f>
        <v>-66.592388812471327</v>
      </c>
      <c r="E8" s="16">
        <f>'Q5'!F42/(1+PTWACC)^'Q5'!F5</f>
        <v>128.06885189312646</v>
      </c>
      <c r="F8" s="16">
        <f>'Q5'!G42/(1+PTWACC)^'Q5'!G5</f>
        <v>122.31586448920595</v>
      </c>
      <c r="G8" s="16">
        <f>'Q5'!H42/(1+PTWACC)^'Q5'!H5</f>
        <v>121.35172838851767</v>
      </c>
      <c r="H8" s="16">
        <f>'Q5'!I42/(1+PTWACC)^'Q5'!I5</f>
        <v>121.72357526981342</v>
      </c>
      <c r="I8" s="17">
        <f>'Q5'!J42/(1+PTWACC)^'Q5'!J5</f>
        <v>111.86519452173629</v>
      </c>
    </row>
    <row r="10" spans="2:10" x14ac:dyDescent="0.35">
      <c r="B10" s="28" t="s">
        <v>89</v>
      </c>
      <c r="C10" s="29">
        <f>SUM(C8:I8)</f>
        <v>80.082825749928475</v>
      </c>
      <c r="J10" s="36"/>
    </row>
    <row r="12" spans="2:10" x14ac:dyDescent="0.35">
      <c r="B12" s="1" t="s">
        <v>77</v>
      </c>
      <c r="C12" s="1"/>
      <c r="D12" s="1"/>
      <c r="E12" s="1"/>
      <c r="F12" s="1"/>
      <c r="G12" s="1"/>
      <c r="H12" s="1"/>
      <c r="I12" s="1"/>
    </row>
    <row r="13" spans="2:10" x14ac:dyDescent="0.35">
      <c r="B13" s="3" t="s">
        <v>24</v>
      </c>
      <c r="J13" s="40"/>
    </row>
    <row r="14" spans="2:10" x14ac:dyDescent="0.35">
      <c r="B14" t="s">
        <v>78</v>
      </c>
      <c r="C14" s="30">
        <v>400</v>
      </c>
      <c r="E14" t="s">
        <v>79</v>
      </c>
      <c r="F14" s="31">
        <v>0.06</v>
      </c>
      <c r="J14" s="40"/>
    </row>
    <row r="15" spans="2:10" x14ac:dyDescent="0.35">
      <c r="B15" t="s">
        <v>80</v>
      </c>
      <c r="C15" s="31">
        <v>0.15</v>
      </c>
      <c r="E15" t="s">
        <v>81</v>
      </c>
      <c r="F15" s="32">
        <f>C14*F14</f>
        <v>24</v>
      </c>
      <c r="J15" s="40"/>
    </row>
    <row r="17" spans="2:9" x14ac:dyDescent="0.35">
      <c r="B17" s="2" t="s">
        <v>82</v>
      </c>
      <c r="C17" s="2">
        <v>45200</v>
      </c>
      <c r="D17" s="2">
        <v>45566</v>
      </c>
      <c r="E17" s="2">
        <v>45931</v>
      </c>
      <c r="F17" s="2">
        <v>46296</v>
      </c>
      <c r="G17" s="2">
        <v>46661</v>
      </c>
      <c r="H17" s="2">
        <v>47027</v>
      </c>
      <c r="I17" s="2">
        <v>47392</v>
      </c>
    </row>
    <row r="18" spans="2:9" x14ac:dyDescent="0.35">
      <c r="B18" t="s">
        <v>83</v>
      </c>
      <c r="C18" s="20">
        <v>0</v>
      </c>
      <c r="D18" s="20">
        <f t="shared" ref="D18:I18" si="0">$F$15</f>
        <v>24</v>
      </c>
      <c r="E18" s="20">
        <f t="shared" si="0"/>
        <v>24</v>
      </c>
      <c r="F18" s="20">
        <f t="shared" si="0"/>
        <v>24</v>
      </c>
      <c r="G18" s="20">
        <f t="shared" si="0"/>
        <v>24</v>
      </c>
      <c r="H18" s="20">
        <f t="shared" si="0"/>
        <v>24</v>
      </c>
      <c r="I18" s="20">
        <f t="shared" si="0"/>
        <v>24</v>
      </c>
    </row>
    <row r="19" spans="2:9" x14ac:dyDescent="0.35">
      <c r="B19" t="s">
        <v>84</v>
      </c>
      <c r="C19" s="5">
        <f t="shared" ref="C19:I19" si="1">$C$15*C18</f>
        <v>0</v>
      </c>
      <c r="D19" s="5">
        <f t="shared" si="1"/>
        <v>3.5999999999999996</v>
      </c>
      <c r="E19" s="5">
        <f t="shared" si="1"/>
        <v>3.5999999999999996</v>
      </c>
      <c r="F19" s="5">
        <f t="shared" si="1"/>
        <v>3.5999999999999996</v>
      </c>
      <c r="G19" s="5">
        <f t="shared" si="1"/>
        <v>3.5999999999999996</v>
      </c>
      <c r="H19" s="5">
        <f t="shared" si="1"/>
        <v>3.5999999999999996</v>
      </c>
      <c r="I19" s="5">
        <f t="shared" si="1"/>
        <v>3.5999999999999996</v>
      </c>
    </row>
    <row r="20" spans="2:9" x14ac:dyDescent="0.35">
      <c r="B20" t="s">
        <v>85</v>
      </c>
      <c r="C20" s="5">
        <f>C19/(1+PTWACC)^'Q5'!D5</f>
        <v>0</v>
      </c>
      <c r="D20" s="5">
        <f>D19/(1+$F$14)^'Q5'!E5</f>
        <v>3.3962264150943393</v>
      </c>
      <c r="E20" s="5">
        <f>E19/(1+$F$14)^'Q5'!F5</f>
        <v>3.2039871840512633</v>
      </c>
      <c r="F20" s="5">
        <f>F19/(1+$F$14)^'Q5'!G5</f>
        <v>3.0226294189162854</v>
      </c>
      <c r="G20" s="5">
        <f>G19/(1+$F$14)^'Q5'!H5</f>
        <v>2.8515371876568731</v>
      </c>
      <c r="H20" s="5">
        <f>H19/(1+$F$14)^'Q5'!I5</f>
        <v>2.6901294223178045</v>
      </c>
      <c r="I20" s="5">
        <f>I19/(1+$F$14)^'Q5'!J5</f>
        <v>2.5378579455828345</v>
      </c>
    </row>
    <row r="22" spans="2:9" x14ac:dyDescent="0.35">
      <c r="B22" s="28" t="s">
        <v>86</v>
      </c>
      <c r="C22" s="29">
        <f>ROUND(SUM(C20:I20),2)</f>
        <v>17.7</v>
      </c>
    </row>
    <row r="24" spans="2:9" x14ac:dyDescent="0.35">
      <c r="B24" s="2" t="s">
        <v>87</v>
      </c>
      <c r="C24" s="2"/>
      <c r="D24" s="2"/>
      <c r="E24" s="2"/>
      <c r="F24" s="2"/>
      <c r="G24" s="2"/>
      <c r="H24" s="2"/>
      <c r="I24" s="2"/>
    </row>
    <row r="26" spans="2:9" ht="15" thickBot="1" x14ac:dyDescent="0.4">
      <c r="B26" s="45" t="s">
        <v>76</v>
      </c>
      <c r="C26" s="46">
        <f>C22+'Q6'!C10</f>
        <v>97.782825749928477</v>
      </c>
    </row>
    <row r="27" spans="2:9" ht="15" thickTop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Q1</vt:lpstr>
      <vt:lpstr>Q2</vt:lpstr>
      <vt:lpstr>Q3</vt:lpstr>
      <vt:lpstr>Q4</vt:lpstr>
      <vt:lpstr>Q5</vt:lpstr>
      <vt:lpstr>Q6</vt:lpstr>
      <vt:lpstr>ATWACC</vt:lpstr>
      <vt:lpstr>Beta_E</vt:lpstr>
      <vt:lpstr>Equity</vt:lpstr>
      <vt:lpstr>Net_Debt</vt:lpstr>
      <vt:lpstr>'Q5'!Print_Area</vt:lpstr>
      <vt:lpstr>PTWACC</vt:lpstr>
      <vt:lpstr>RAAPL</vt:lpstr>
      <vt:lpstr>Rd</vt:lpstr>
      <vt:lpstr>Rf</vt:lpstr>
      <vt:lpstr>Rm</vt:lpstr>
      <vt:lpstr>RSPX</vt:lpstr>
      <vt:lpstr>Tax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Theodor Hogan</dc:creator>
  <cp:keywords/>
  <dc:description/>
  <cp:lastModifiedBy>Theodor Hogan</cp:lastModifiedBy>
  <cp:revision/>
  <dcterms:created xsi:type="dcterms:W3CDTF">2024-02-18T12:28:47Z</dcterms:created>
  <dcterms:modified xsi:type="dcterms:W3CDTF">2026-01-08T12:07:43Z</dcterms:modified>
  <cp:category/>
  <cp:contentStatus/>
</cp:coreProperties>
</file>