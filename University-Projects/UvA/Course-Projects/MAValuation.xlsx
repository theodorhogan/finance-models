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Year 2/Corporate Finance/"/>
    </mc:Choice>
  </mc:AlternateContent>
  <xr:revisionPtr revIDLastSave="195" documentId="8_{A84A396A-E5D5-4D67-9D2C-51FE41417BF6}" xr6:coauthVersionLast="47" xr6:coauthVersionMax="47" xr10:uidLastSave="{483AF16E-F7EC-4566-9730-2E6F6E28FDD8}"/>
  <bookViews>
    <workbookView xWindow="-120" yWindow="-120" windowWidth="38640" windowHeight="21240" xr2:uid="{96296031-C976-4C60-91EA-20FC28670002}"/>
  </bookViews>
  <sheets>
    <sheet name="Digital" sheetId="1" r:id="rId1"/>
    <sheet name="Compa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" i="1" l="1"/>
  <c r="AV7" i="1"/>
  <c r="AN34" i="1"/>
  <c r="AN31" i="1"/>
  <c r="AT19" i="1"/>
  <c r="AP19" i="1"/>
  <c r="AQ19" i="1" s="1"/>
  <c r="AR19" i="1" s="1"/>
  <c r="AS19" i="1" s="1"/>
  <c r="AO19" i="1"/>
  <c r="AV6" i="1"/>
  <c r="AO23" i="1"/>
  <c r="AP23" i="1" s="1"/>
  <c r="AQ23" i="1" s="1"/>
  <c r="AR23" i="1" s="1"/>
  <c r="AS23" i="1" s="1"/>
  <c r="AT23" i="1" s="1"/>
  <c r="P46" i="1"/>
  <c r="U43" i="1"/>
  <c r="T43" i="1"/>
  <c r="S43" i="1"/>
  <c r="Q43" i="1"/>
  <c r="R43" i="1"/>
  <c r="AN22" i="1"/>
  <c r="AN19" i="1"/>
  <c r="AN37" i="1" s="1"/>
  <c r="AV8" i="1"/>
  <c r="AS35" i="1"/>
  <c r="AR35" i="1"/>
  <c r="AQ35" i="1"/>
  <c r="AP35" i="1"/>
  <c r="AO35" i="1"/>
  <c r="AO34" i="1"/>
  <c r="AS32" i="1"/>
  <c r="AR32" i="1"/>
  <c r="AQ32" i="1"/>
  <c r="AP32" i="1"/>
  <c r="AO32" i="1"/>
  <c r="AT26" i="1"/>
  <c r="AS26" i="1"/>
  <c r="AR26" i="1"/>
  <c r="AQ26" i="1"/>
  <c r="AP26" i="1"/>
  <c r="AO26" i="1"/>
  <c r="AN26" i="1"/>
  <c r="AO17" i="1"/>
  <c r="AP17" i="1" s="1"/>
  <c r="AQ17" i="1" s="1"/>
  <c r="AR17" i="1" s="1"/>
  <c r="AS17" i="1" s="1"/>
  <c r="AT17" i="1" s="1"/>
  <c r="AV12" i="1"/>
  <c r="AS2" i="1"/>
  <c r="P7" i="1"/>
  <c r="AB9" i="1"/>
  <c r="AJ8" i="1"/>
  <c r="AH44" i="1"/>
  <c r="AJ7" i="1"/>
  <c r="AG43" i="1" s="1"/>
  <c r="AJ6" i="1"/>
  <c r="AJ12" i="1"/>
  <c r="AD23" i="1"/>
  <c r="AE23" i="1" s="1"/>
  <c r="AF23" i="1" s="1"/>
  <c r="AG23" i="1" s="1"/>
  <c r="AH23" i="1" s="1"/>
  <c r="AC23" i="1"/>
  <c r="AB23" i="1"/>
  <c r="AB25" i="1"/>
  <c r="AB37" i="1"/>
  <c r="AG35" i="1"/>
  <c r="AF35" i="1"/>
  <c r="AE35" i="1"/>
  <c r="AD35" i="1"/>
  <c r="AC35" i="1"/>
  <c r="AC34" i="1"/>
  <c r="AD34" i="1" s="1"/>
  <c r="AE34" i="1" s="1"/>
  <c r="AF34" i="1" s="1"/>
  <c r="AG34" i="1" s="1"/>
  <c r="AG32" i="1"/>
  <c r="AF32" i="1"/>
  <c r="AE32" i="1"/>
  <c r="AD32" i="1"/>
  <c r="AC32" i="1"/>
  <c r="AC31" i="1" s="1"/>
  <c r="AD31" i="1" s="1"/>
  <c r="AE31" i="1" s="1"/>
  <c r="AF31" i="1" s="1"/>
  <c r="AG31" i="1" s="1"/>
  <c r="AH31" i="1" s="1"/>
  <c r="AH34" i="1" s="1"/>
  <c r="AB28" i="1"/>
  <c r="AB29" i="1" s="1"/>
  <c r="AH26" i="1"/>
  <c r="AG26" i="1"/>
  <c r="AF26" i="1"/>
  <c r="AE26" i="1"/>
  <c r="AD26" i="1"/>
  <c r="AC26" i="1"/>
  <c r="AB26" i="1"/>
  <c r="AC19" i="1"/>
  <c r="AC37" i="1" s="1"/>
  <c r="AC40" i="1" s="1"/>
  <c r="AC17" i="1"/>
  <c r="AD17" i="1" s="1"/>
  <c r="AE17" i="1" s="1"/>
  <c r="AF17" i="1" s="1"/>
  <c r="AG17" i="1" s="1"/>
  <c r="AH17" i="1" s="1"/>
  <c r="U35" i="1"/>
  <c r="T35" i="1"/>
  <c r="S35" i="1"/>
  <c r="R35" i="1"/>
  <c r="Q35" i="1"/>
  <c r="Q34" i="1" s="1"/>
  <c r="R34" i="1" s="1"/>
  <c r="S34" i="1" s="1"/>
  <c r="T34" i="1" s="1"/>
  <c r="U32" i="1"/>
  <c r="T32" i="1"/>
  <c r="S32" i="1"/>
  <c r="R32" i="1"/>
  <c r="Q32" i="1"/>
  <c r="Q31" i="1" s="1"/>
  <c r="X9" i="1"/>
  <c r="D9" i="1"/>
  <c r="P9" i="1" s="1"/>
  <c r="X6" i="1" s="1"/>
  <c r="X7" i="1" s="1"/>
  <c r="P37" i="1"/>
  <c r="P28" i="1"/>
  <c r="P29" i="1" s="1"/>
  <c r="V26" i="1"/>
  <c r="U26" i="1"/>
  <c r="T26" i="1"/>
  <c r="S26" i="1"/>
  <c r="R26" i="1"/>
  <c r="Q26" i="1"/>
  <c r="P26" i="1"/>
  <c r="Q19" i="1"/>
  <c r="Q37" i="1" s="1"/>
  <c r="Q40" i="1" s="1"/>
  <c r="Q17" i="1"/>
  <c r="R17" i="1" s="1"/>
  <c r="S17" i="1" s="1"/>
  <c r="T17" i="1" s="1"/>
  <c r="U17" i="1" s="1"/>
  <c r="V17" i="1" s="1"/>
  <c r="X12" i="1"/>
  <c r="X13" i="1" s="1"/>
  <c r="D37" i="1"/>
  <c r="E19" i="1"/>
  <c r="E37" i="1" s="1"/>
  <c r="D28" i="1"/>
  <c r="D29" i="1" s="1"/>
  <c r="J26" i="1"/>
  <c r="I26" i="1"/>
  <c r="H26" i="1"/>
  <c r="G26" i="1"/>
  <c r="F26" i="1"/>
  <c r="E26" i="1"/>
  <c r="D26" i="1"/>
  <c r="E34" i="1"/>
  <c r="F34" i="1" s="1"/>
  <c r="G34" i="1" s="1"/>
  <c r="H34" i="1" s="1"/>
  <c r="I34" i="1" s="1"/>
  <c r="E31" i="1"/>
  <c r="F31" i="1" s="1"/>
  <c r="G31" i="1" s="1"/>
  <c r="H31" i="1" s="1"/>
  <c r="I31" i="1" s="1"/>
  <c r="J31" i="1" s="1"/>
  <c r="J34" i="1" s="1"/>
  <c r="L12" i="1"/>
  <c r="L13" i="1" s="1"/>
  <c r="L6" i="1"/>
  <c r="L7" i="1" s="1"/>
  <c r="D23" i="1"/>
  <c r="E17" i="1"/>
  <c r="F17" i="1" s="1"/>
  <c r="G17" i="1" s="1"/>
  <c r="H17" i="1" s="1"/>
  <c r="I17" i="1" s="1"/>
  <c r="J17" i="1" s="1"/>
  <c r="AO31" i="1" l="1"/>
  <c r="AP31" i="1" s="1"/>
  <c r="AQ31" i="1" s="1"/>
  <c r="AR31" i="1" s="1"/>
  <c r="AS31" i="1" s="1"/>
  <c r="AT31" i="1" s="1"/>
  <c r="AT34" i="1" s="1"/>
  <c r="AN25" i="1"/>
  <c r="AN28" i="1" s="1"/>
  <c r="AN29" i="1" s="1"/>
  <c r="AP34" i="1"/>
  <c r="AQ34" i="1" s="1"/>
  <c r="AR34" i="1" s="1"/>
  <c r="AS34" i="1" s="1"/>
  <c r="AO37" i="1"/>
  <c r="AO40" i="1" s="1"/>
  <c r="AD43" i="1"/>
  <c r="AE43" i="1"/>
  <c r="AF43" i="1"/>
  <c r="AC43" i="1"/>
  <c r="AD19" i="1"/>
  <c r="AD37" i="1" s="1"/>
  <c r="AD40" i="1" s="1"/>
  <c r="AE19" i="1"/>
  <c r="AC22" i="1"/>
  <c r="AD22" i="1"/>
  <c r="F19" i="1"/>
  <c r="F37" i="1" s="1"/>
  <c r="F40" i="1" s="1"/>
  <c r="E22" i="1"/>
  <c r="E40" i="1"/>
  <c r="E25" i="1"/>
  <c r="E28" i="1" s="1"/>
  <c r="U34" i="1"/>
  <c r="R31" i="1"/>
  <c r="S31" i="1" s="1"/>
  <c r="T31" i="1" s="1"/>
  <c r="U31" i="1" s="1"/>
  <c r="V31" i="1" s="1"/>
  <c r="V34" i="1" s="1"/>
  <c r="Q22" i="1"/>
  <c r="Q25" i="1" s="1"/>
  <c r="R19" i="1"/>
  <c r="AO22" i="1" l="1"/>
  <c r="AO25" i="1" s="1"/>
  <c r="AO28" i="1" s="1"/>
  <c r="AP37" i="1"/>
  <c r="AP40" i="1" s="1"/>
  <c r="AP22" i="1"/>
  <c r="AD25" i="1"/>
  <c r="AD28" i="1" s="1"/>
  <c r="AC25" i="1"/>
  <c r="AC28" i="1" s="1"/>
  <c r="AC42" i="1" s="1"/>
  <c r="AE37" i="1"/>
  <c r="AE40" i="1" s="1"/>
  <c r="AE22" i="1"/>
  <c r="AF19" i="1"/>
  <c r="G19" i="1"/>
  <c r="G37" i="1" s="1"/>
  <c r="G40" i="1" s="1"/>
  <c r="F22" i="1"/>
  <c r="Q28" i="1"/>
  <c r="Q29" i="1" s="1"/>
  <c r="E29" i="1"/>
  <c r="E42" i="1"/>
  <c r="E43" i="1" s="1"/>
  <c r="R37" i="1"/>
  <c r="R40" i="1" s="1"/>
  <c r="S19" i="1"/>
  <c r="R22" i="1"/>
  <c r="F25" i="1"/>
  <c r="F28" i="1" s="1"/>
  <c r="H19" i="1"/>
  <c r="H37" i="1" s="1"/>
  <c r="H40" i="1" s="1"/>
  <c r="G22" i="1"/>
  <c r="AO42" i="1" l="1"/>
  <c r="AO43" i="1" s="1"/>
  <c r="AO29" i="1"/>
  <c r="AP25" i="1"/>
  <c r="AP28" i="1" s="1"/>
  <c r="AQ37" i="1"/>
  <c r="AQ40" i="1" s="1"/>
  <c r="AQ22" i="1"/>
  <c r="AC29" i="1"/>
  <c r="AF22" i="1"/>
  <c r="AF37" i="1"/>
  <c r="AF40" i="1" s="1"/>
  <c r="AG19" i="1"/>
  <c r="AE25" i="1"/>
  <c r="AE28" i="1" s="1"/>
  <c r="AD42" i="1"/>
  <c r="AD29" i="1"/>
  <c r="Q42" i="1"/>
  <c r="F29" i="1"/>
  <c r="F42" i="1"/>
  <c r="F43" i="1" s="1"/>
  <c r="R25" i="1"/>
  <c r="R28" i="1" s="1"/>
  <c r="T19" i="1"/>
  <c r="S37" i="1"/>
  <c r="S40" i="1" s="1"/>
  <c r="S22" i="1"/>
  <c r="G25" i="1"/>
  <c r="G28" i="1" s="1"/>
  <c r="H22" i="1"/>
  <c r="I19" i="1"/>
  <c r="AP42" i="1" l="1"/>
  <c r="AP43" i="1" s="1"/>
  <c r="AP29" i="1"/>
  <c r="AQ25" i="1"/>
  <c r="AQ28" i="1" s="1"/>
  <c r="AR37" i="1"/>
  <c r="AR40" i="1" s="1"/>
  <c r="AR22" i="1"/>
  <c r="AE42" i="1"/>
  <c r="AE29" i="1"/>
  <c r="AG22" i="1"/>
  <c r="AH19" i="1"/>
  <c r="AG37" i="1"/>
  <c r="AG40" i="1" s="1"/>
  <c r="AF25" i="1"/>
  <c r="AF28" i="1" s="1"/>
  <c r="G29" i="1"/>
  <c r="G42" i="1"/>
  <c r="G43" i="1" s="1"/>
  <c r="I37" i="1"/>
  <c r="I40" i="1" s="1"/>
  <c r="J19" i="1"/>
  <c r="R29" i="1"/>
  <c r="R42" i="1"/>
  <c r="S25" i="1"/>
  <c r="S28" i="1" s="1"/>
  <c r="U19" i="1"/>
  <c r="T22" i="1"/>
  <c r="T37" i="1"/>
  <c r="T40" i="1" s="1"/>
  <c r="H25" i="1"/>
  <c r="H28" i="1" s="1"/>
  <c r="I22" i="1"/>
  <c r="AQ29" i="1" l="1"/>
  <c r="AQ42" i="1"/>
  <c r="AQ43" i="1" s="1"/>
  <c r="AS37" i="1"/>
  <c r="AS40" i="1" s="1"/>
  <c r="AS22" i="1"/>
  <c r="AR25" i="1"/>
  <c r="AR28" i="1" s="1"/>
  <c r="AF42" i="1"/>
  <c r="AF29" i="1"/>
  <c r="AH37" i="1"/>
  <c r="AH40" i="1" s="1"/>
  <c r="AH22" i="1"/>
  <c r="AG25" i="1"/>
  <c r="AG28" i="1" s="1"/>
  <c r="H29" i="1"/>
  <c r="H42" i="1"/>
  <c r="H43" i="1" s="1"/>
  <c r="J37" i="1"/>
  <c r="J40" i="1" s="1"/>
  <c r="J22" i="1"/>
  <c r="T25" i="1"/>
  <c r="T28" i="1" s="1"/>
  <c r="V19" i="1"/>
  <c r="U22" i="1"/>
  <c r="U37" i="1"/>
  <c r="U40" i="1" s="1"/>
  <c r="S29" i="1"/>
  <c r="S42" i="1"/>
  <c r="I25" i="1"/>
  <c r="I28" i="1" s="1"/>
  <c r="AT22" i="1" l="1"/>
  <c r="AT37" i="1"/>
  <c r="AT40" i="1" s="1"/>
  <c r="AR42" i="1"/>
  <c r="AR43" i="1" s="1"/>
  <c r="AR29" i="1"/>
  <c r="AS25" i="1"/>
  <c r="AS28" i="1" s="1"/>
  <c r="AG42" i="1"/>
  <c r="AB47" i="1" s="1"/>
  <c r="AG29" i="1"/>
  <c r="AH25" i="1"/>
  <c r="AH28" i="1" s="1"/>
  <c r="I29" i="1"/>
  <c r="I42" i="1"/>
  <c r="I43" i="1" s="1"/>
  <c r="D47" i="1" s="1"/>
  <c r="J25" i="1"/>
  <c r="J28" i="1" s="1"/>
  <c r="T29" i="1"/>
  <c r="T42" i="1"/>
  <c r="V22" i="1"/>
  <c r="V37" i="1"/>
  <c r="V40" i="1" s="1"/>
  <c r="U25" i="1"/>
  <c r="U28" i="1" s="1"/>
  <c r="AS42" i="1" l="1"/>
  <c r="AS29" i="1"/>
  <c r="AT25" i="1"/>
  <c r="AT28" i="1" s="1"/>
  <c r="AH42" i="1"/>
  <c r="AB46" i="1" s="1"/>
  <c r="AB48" i="1" s="1"/>
  <c r="AH29" i="1"/>
  <c r="J42" i="1"/>
  <c r="J44" i="1" s="1"/>
  <c r="D46" i="1" s="1"/>
  <c r="D48" i="1" s="1"/>
  <c r="J29" i="1"/>
  <c r="U42" i="1"/>
  <c r="U29" i="1"/>
  <c r="V25" i="1"/>
  <c r="V28" i="1" s="1"/>
  <c r="AS43" i="1" l="1"/>
  <c r="AN47" i="1" s="1"/>
  <c r="AT42" i="1"/>
  <c r="AT44" i="1" s="1"/>
  <c r="AN46" i="1" s="1"/>
  <c r="AT29" i="1"/>
  <c r="P47" i="1"/>
  <c r="V29" i="1"/>
  <c r="V42" i="1"/>
  <c r="V44" i="1" s="1"/>
  <c r="AN48" i="1" l="1"/>
  <c r="P48" i="1"/>
  <c r="L50" i="1" l="1"/>
</calcChain>
</file>

<file path=xl/sharedStrings.xml><?xml version="1.0" encoding="utf-8"?>
<sst xmlns="http://schemas.openxmlformats.org/spreadsheetml/2006/main" count="185" uniqueCount="50">
  <si>
    <t>Assumptions</t>
  </si>
  <si>
    <t>Equity Beta</t>
  </si>
  <si>
    <t>D/V</t>
  </si>
  <si>
    <t>Risk Free Rate</t>
  </si>
  <si>
    <t>Tax Rate</t>
  </si>
  <si>
    <t>AT Cost of Debt</t>
  </si>
  <si>
    <t>AT RoC</t>
  </si>
  <si>
    <t>Valuation</t>
  </si>
  <si>
    <t xml:space="preserve">t= </t>
  </si>
  <si>
    <t>EBIT</t>
  </si>
  <si>
    <t>$ in millions</t>
  </si>
  <si>
    <t>Revenue</t>
  </si>
  <si>
    <t>Cost of Equity</t>
  </si>
  <si>
    <t>WACC</t>
  </si>
  <si>
    <t>Assumptions under stable conditions</t>
  </si>
  <si>
    <t>% of revenue</t>
  </si>
  <si>
    <t>% tax rate</t>
  </si>
  <si>
    <t>CapEx</t>
  </si>
  <si>
    <t>Depreciation</t>
  </si>
  <si>
    <t>Working Capital</t>
  </si>
  <si>
    <t xml:space="preserve">% growth </t>
  </si>
  <si>
    <t>% growth</t>
  </si>
  <si>
    <t>% growth &amp; 1.1 Depr.</t>
  </si>
  <si>
    <t>Tax</t>
  </si>
  <si>
    <t>Unlevered Net Income</t>
  </si>
  <si>
    <t>% profit margin</t>
  </si>
  <si>
    <t>Change in WC</t>
  </si>
  <si>
    <t>Unlevered FCF</t>
  </si>
  <si>
    <t>PV of FCF</t>
  </si>
  <si>
    <t>Perpetuity FCF at t=5</t>
  </si>
  <si>
    <t>PV of perpetuity</t>
  </si>
  <si>
    <t>Sum of FCFs</t>
  </si>
  <si>
    <t>EV</t>
  </si>
  <si>
    <t>Digital</t>
  </si>
  <si>
    <t>Value of status quo</t>
  </si>
  <si>
    <t>Value if controlled by Compaq</t>
  </si>
  <si>
    <t>Unlevered Beta</t>
  </si>
  <si>
    <t>Relevered Beta</t>
  </si>
  <si>
    <t>New D/E</t>
  </si>
  <si>
    <t>New D/V</t>
  </si>
  <si>
    <t>D/E</t>
  </si>
  <si>
    <t>New AT CoD</t>
  </si>
  <si>
    <t>Value of Control</t>
  </si>
  <si>
    <t>Compaq</t>
  </si>
  <si>
    <t>Value status quo</t>
  </si>
  <si>
    <t>?</t>
  </si>
  <si>
    <t>Unleverd Beta</t>
  </si>
  <si>
    <t>Combined Companies</t>
  </si>
  <si>
    <t>CoC</t>
  </si>
  <si>
    <t>uNlevered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</si>
</sst>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2" fillId="3" borderId="0" xfId="0" applyFont="1" applyFill="1"/>
    <xf numFmtId="0" fontId="4" fillId="3" borderId="0" xfId="0" applyFont="1" applyFill="1"/>
    <xf numFmtId="0" fontId="1" fillId="2" borderId="1" xfId="2" applyBorder="1" applyAlignment="1">
      <alignment horizontal="center"/>
    </xf>
    <xf numFmtId="9" fontId="1" fillId="2" borderId="1" xfId="2" applyNumberFormat="1" applyBorder="1" applyAlignment="1">
      <alignment horizontal="center"/>
    </xf>
    <xf numFmtId="10" fontId="1" fillId="2" borderId="1" xfId="2" applyNumberFormat="1" applyBorder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9" fontId="5" fillId="0" borderId="0" xfId="0" applyNumberFormat="1" applyFont="1" applyAlignment="1">
      <alignment horizontal="center"/>
    </xf>
    <xf numFmtId="4" fontId="0" fillId="0" borderId="0" xfId="0" applyNumberFormat="1"/>
    <xf numFmtId="10" fontId="5" fillId="0" borderId="0" xfId="1" applyNumberFormat="1" applyFont="1"/>
    <xf numFmtId="10" fontId="5" fillId="0" borderId="0" xfId="1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3" fillId="0" borderId="2" xfId="0" applyFont="1" applyBorder="1"/>
    <xf numFmtId="4" fontId="3" fillId="0" borderId="2" xfId="0" applyNumberFormat="1" applyFont="1" applyBorder="1"/>
    <xf numFmtId="0" fontId="3" fillId="0" borderId="3" xfId="0" applyFont="1" applyBorder="1"/>
    <xf numFmtId="0" fontId="3" fillId="0" borderId="4" xfId="0" applyFont="1" applyBorder="1"/>
    <xf numFmtId="4" fontId="3" fillId="0" borderId="4" xfId="0" applyNumberFormat="1" applyFont="1" applyBorder="1"/>
    <xf numFmtId="4" fontId="3" fillId="0" borderId="5" xfId="0" applyNumberFormat="1" applyFont="1" applyBorder="1"/>
    <xf numFmtId="2" fontId="3" fillId="0" borderId="4" xfId="0" applyNumberFormat="1" applyFont="1" applyBorder="1"/>
    <xf numFmtId="2" fontId="3" fillId="0" borderId="5" xfId="0" applyNumberFormat="1" applyFont="1" applyBorder="1"/>
    <xf numFmtId="0" fontId="0" fillId="0" borderId="2" xfId="0" applyBorder="1"/>
    <xf numFmtId="2" fontId="0" fillId="0" borderId="0" xfId="0" applyNumberFormat="1"/>
    <xf numFmtId="2" fontId="0" fillId="0" borderId="2" xfId="0" applyNumberFormat="1" applyBorder="1"/>
    <xf numFmtId="0" fontId="6" fillId="0" borderId="0" xfId="0" applyFont="1"/>
    <xf numFmtId="2" fontId="1" fillId="2" borderId="1" xfId="2" applyNumberFormat="1" applyBorder="1" applyAlignment="1">
      <alignment horizontal="center"/>
    </xf>
    <xf numFmtId="1" fontId="3" fillId="0" borderId="0" xfId="0" applyNumberFormat="1" applyFont="1"/>
    <xf numFmtId="10" fontId="0" fillId="2" borderId="1" xfId="2" applyNumberFormat="1" applyFont="1" applyBorder="1" applyAlignment="1">
      <alignment horizontal="center"/>
    </xf>
    <xf numFmtId="4" fontId="3" fillId="0" borderId="0" xfId="0" applyNumberFormat="1" applyFont="1"/>
    <xf numFmtId="4" fontId="1" fillId="2" borderId="1" xfId="2" applyNumberFormat="1" applyBorder="1" applyAlignment="1">
      <alignment horizontal="center"/>
    </xf>
    <xf numFmtId="10" fontId="7" fillId="2" borderId="1" xfId="2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</cellXfs>
  <cellStyles count="3">
    <cellStyle name="20% - Accent4" xfId="2" builtinId="4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16</xdr:row>
      <xdr:rowOff>133350</xdr:rowOff>
    </xdr:from>
    <xdr:to>
      <xdr:col>3</xdr:col>
      <xdr:colOff>704850</xdr:colOff>
      <xdr:row>39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B3CEB6C-5E3E-2735-F3F2-EC40079E1ECA}"/>
            </a:ext>
          </a:extLst>
        </xdr:cNvPr>
        <xdr:cNvCxnSpPr/>
      </xdr:nvCxnSpPr>
      <xdr:spPr>
        <a:xfrm>
          <a:off x="2476500" y="2914650"/>
          <a:ext cx="0" cy="435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</xdr:row>
      <xdr:rowOff>28575</xdr:rowOff>
    </xdr:from>
    <xdr:to>
      <xdr:col>9</xdr:col>
      <xdr:colOff>0</xdr:colOff>
      <xdr:row>39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340AFE5-5957-6754-B8DC-4F95F8190DBB}"/>
            </a:ext>
          </a:extLst>
        </xdr:cNvPr>
        <xdr:cNvCxnSpPr/>
      </xdr:nvCxnSpPr>
      <xdr:spPr>
        <a:xfrm>
          <a:off x="5429250" y="2809875"/>
          <a:ext cx="0" cy="43719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704850</xdr:colOff>
      <xdr:row>16</xdr:row>
      <xdr:rowOff>133350</xdr:rowOff>
    </xdr:from>
    <xdr:to>
      <xdr:col>15</xdr:col>
      <xdr:colOff>704850</xdr:colOff>
      <xdr:row>39</xdr:row>
      <xdr:rowOff>104775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86A64EB-A10C-4326-9E2C-568BD6A337FD}"/>
            </a:ext>
          </a:extLst>
        </xdr:cNvPr>
        <xdr:cNvCxnSpPr/>
      </xdr:nvCxnSpPr>
      <xdr:spPr>
        <a:xfrm>
          <a:off x="2476500" y="3057525"/>
          <a:ext cx="0" cy="435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28575</xdr:rowOff>
    </xdr:from>
    <xdr:to>
      <xdr:col>21</xdr:col>
      <xdr:colOff>0</xdr:colOff>
      <xdr:row>39</xdr:row>
      <xdr:rowOff>19050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4263F46-982B-4925-9FEC-6E9D311C7EF9}"/>
            </a:ext>
          </a:extLst>
        </xdr:cNvPr>
        <xdr:cNvCxnSpPr/>
      </xdr:nvCxnSpPr>
      <xdr:spPr>
        <a:xfrm>
          <a:off x="6057900" y="2952750"/>
          <a:ext cx="0" cy="43719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704850</xdr:colOff>
      <xdr:row>16</xdr:row>
      <xdr:rowOff>133350</xdr:rowOff>
    </xdr:from>
    <xdr:to>
      <xdr:col>27</xdr:col>
      <xdr:colOff>704850</xdr:colOff>
      <xdr:row>39</xdr:row>
      <xdr:rowOff>104775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AFE0C7C-2F66-4F36-96AC-1F80680B5FD7}"/>
            </a:ext>
          </a:extLst>
        </xdr:cNvPr>
        <xdr:cNvCxnSpPr/>
      </xdr:nvCxnSpPr>
      <xdr:spPr>
        <a:xfrm>
          <a:off x="10496550" y="3057525"/>
          <a:ext cx="0" cy="435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</xdr:row>
      <xdr:rowOff>28575</xdr:rowOff>
    </xdr:from>
    <xdr:to>
      <xdr:col>33</xdr:col>
      <xdr:colOff>0</xdr:colOff>
      <xdr:row>39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2AD87B6-4F8E-4595-AE4F-9F3E429F4850}"/>
            </a:ext>
          </a:extLst>
        </xdr:cNvPr>
        <xdr:cNvCxnSpPr/>
      </xdr:nvCxnSpPr>
      <xdr:spPr>
        <a:xfrm>
          <a:off x="13544550" y="2952750"/>
          <a:ext cx="0" cy="43719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704850</xdr:colOff>
      <xdr:row>16</xdr:row>
      <xdr:rowOff>133350</xdr:rowOff>
    </xdr:from>
    <xdr:to>
      <xdr:col>39</xdr:col>
      <xdr:colOff>704850</xdr:colOff>
      <xdr:row>39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E58F841-01DF-4EC2-971A-CCC94B8A617B}"/>
            </a:ext>
          </a:extLst>
        </xdr:cNvPr>
        <xdr:cNvCxnSpPr/>
      </xdr:nvCxnSpPr>
      <xdr:spPr>
        <a:xfrm>
          <a:off x="18154650" y="3057525"/>
          <a:ext cx="0" cy="435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16</xdr:row>
      <xdr:rowOff>28575</xdr:rowOff>
    </xdr:from>
    <xdr:to>
      <xdr:col>45</xdr:col>
      <xdr:colOff>0</xdr:colOff>
      <xdr:row>39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BD288F-F294-4822-910E-C19674223FEA}"/>
            </a:ext>
          </a:extLst>
        </xdr:cNvPr>
        <xdr:cNvCxnSpPr/>
      </xdr:nvCxnSpPr>
      <xdr:spPr>
        <a:xfrm>
          <a:off x="21202650" y="2952750"/>
          <a:ext cx="0" cy="43719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EB0A-39A1-4664-BD45-BDE3FBB8C88E}">
  <dimension ref="B2:AV50"/>
  <sheetViews>
    <sheetView showGridLines="0" tabSelected="1" topLeftCell="K1" workbookViewId="0">
      <selection activeCell="AV7" sqref="AV7"/>
    </sheetView>
  </sheetViews>
  <sheetFormatPr defaultRowHeight="15" x14ac:dyDescent="0.25"/>
  <cols>
    <col min="1" max="1" width="5.7109375" customWidth="1"/>
    <col min="2" max="2" width="11.7109375" bestFit="1" customWidth="1"/>
    <col min="4" max="10" width="10.7109375" customWidth="1"/>
    <col min="12" max="12" width="11.140625" bestFit="1" customWidth="1"/>
    <col min="13" max="13" width="5.7109375" customWidth="1"/>
    <col min="14" max="14" width="11.5703125" bestFit="1" customWidth="1"/>
    <col min="24" max="24" width="8.7109375" customWidth="1"/>
    <col min="26" max="26" width="14.7109375" bestFit="1" customWidth="1"/>
    <col min="40" max="40" width="11.140625" bestFit="1" customWidth="1"/>
    <col min="41" max="45" width="9.28515625" bestFit="1" customWidth="1"/>
    <col min="46" max="46" width="11.140625" bestFit="1" customWidth="1"/>
  </cols>
  <sheetData>
    <row r="2" spans="2:48" ht="26.25" x14ac:dyDescent="0.4">
      <c r="B2" s="28" t="s">
        <v>33</v>
      </c>
      <c r="C2" t="s">
        <v>34</v>
      </c>
      <c r="N2" s="28" t="s">
        <v>33</v>
      </c>
      <c r="O2" t="s">
        <v>35</v>
      </c>
      <c r="Z2" s="28" t="s">
        <v>43</v>
      </c>
      <c r="AA2" t="s">
        <v>44</v>
      </c>
      <c r="AL2" s="28" t="s">
        <v>47</v>
      </c>
      <c r="AQ2">
        <v>4.5</v>
      </c>
      <c r="AR2">
        <v>38.6</v>
      </c>
      <c r="AS2">
        <f>SUM(AQ2:AR2)</f>
        <v>43.1</v>
      </c>
    </row>
    <row r="4" spans="2:48" x14ac:dyDescent="0.2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N4" s="2" t="s">
        <v>0</v>
      </c>
      <c r="O4" s="3"/>
      <c r="P4" s="3"/>
      <c r="Q4" s="3"/>
      <c r="R4" s="3"/>
      <c r="S4" s="3"/>
      <c r="T4" s="3"/>
      <c r="U4" s="3"/>
      <c r="V4" s="3"/>
      <c r="W4" s="3"/>
      <c r="X4" s="3"/>
      <c r="Z4" s="2" t="s">
        <v>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L4" s="2" t="s"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2:48" ht="5.0999999999999996" customHeight="1" x14ac:dyDescent="0.25"/>
    <row r="6" spans="2:48" x14ac:dyDescent="0.25">
      <c r="B6" t="s">
        <v>1</v>
      </c>
      <c r="D6" s="4">
        <v>1.1499999999999999</v>
      </c>
      <c r="F6" t="s">
        <v>4</v>
      </c>
      <c r="H6" s="5">
        <v>0.36</v>
      </c>
      <c r="J6" t="s">
        <v>12</v>
      </c>
      <c r="L6" s="6">
        <f>D8+D6*(0.055)</f>
        <v>0.12325</v>
      </c>
      <c r="N6" t="s">
        <v>1</v>
      </c>
      <c r="P6" s="4">
        <v>1.1499999999999999</v>
      </c>
      <c r="R6" t="s">
        <v>4</v>
      </c>
      <c r="T6" s="5">
        <v>0.36</v>
      </c>
      <c r="V6" t="s">
        <v>12</v>
      </c>
      <c r="X6" s="6">
        <f>P8+P9*(0.055)</f>
        <v>0.12819999999999998</v>
      </c>
      <c r="Z6" t="s">
        <v>1</v>
      </c>
      <c r="AB6" s="4">
        <v>1.25</v>
      </c>
      <c r="AD6" t="s">
        <v>4</v>
      </c>
      <c r="AF6" s="5">
        <v>0.36</v>
      </c>
      <c r="AH6" t="s">
        <v>12</v>
      </c>
      <c r="AJ6" s="6">
        <f>AB8+AB6*(0.055)</f>
        <v>0.12875</v>
      </c>
      <c r="AL6" t="s">
        <v>49</v>
      </c>
      <c r="AN6" s="4">
        <v>1.1599999999999999</v>
      </c>
      <c r="AP6" t="s">
        <v>4</v>
      </c>
      <c r="AR6" s="5">
        <v>0.36</v>
      </c>
      <c r="AT6" t="s">
        <v>12</v>
      </c>
      <c r="AV6" s="6">
        <f>AN8+AR8*0.055</f>
        <v>0.12936948479999999</v>
      </c>
    </row>
    <row r="7" spans="2:48" x14ac:dyDescent="0.25">
      <c r="B7" t="s">
        <v>2</v>
      </c>
      <c r="D7" s="5">
        <v>0.1</v>
      </c>
      <c r="F7" t="s">
        <v>5</v>
      </c>
      <c r="H7" s="5">
        <v>0.05</v>
      </c>
      <c r="J7" t="s">
        <v>13</v>
      </c>
      <c r="L7" s="6">
        <f>L6*(1-D7)+H7*D7</f>
        <v>0.115925</v>
      </c>
      <c r="N7" t="s">
        <v>36</v>
      </c>
      <c r="P7" s="29">
        <f>ROUND(P6/(1+(1-T6)*D9),2)</f>
        <v>1.07</v>
      </c>
      <c r="R7" t="s">
        <v>5</v>
      </c>
      <c r="T7" s="5">
        <v>0.05</v>
      </c>
      <c r="V7" t="s">
        <v>13</v>
      </c>
      <c r="X7" s="6">
        <f>X6*(1-T9)+X8*T9</f>
        <v>0.11305999999999998</v>
      </c>
      <c r="Z7" t="s">
        <v>2</v>
      </c>
      <c r="AB7" s="6">
        <v>0.1</v>
      </c>
      <c r="AD7" t="s">
        <v>5</v>
      </c>
      <c r="AF7" s="5">
        <v>0.05</v>
      </c>
      <c r="AH7" t="s">
        <v>13</v>
      </c>
      <c r="AJ7" s="6">
        <f>AJ6*(1-AB7)+AF7*AB7</f>
        <v>0.12087500000000001</v>
      </c>
      <c r="AL7" t="s">
        <v>40</v>
      </c>
      <c r="AN7" s="6">
        <v>0.13639999999999999</v>
      </c>
      <c r="AP7" t="s">
        <v>5</v>
      </c>
      <c r="AR7" s="5">
        <v>0.05</v>
      </c>
      <c r="AT7" t="s">
        <v>48</v>
      </c>
      <c r="AV7" s="6">
        <f>ROUND(AV6*(1-AV8)+AF7*AV8,4)</f>
        <v>0.1198</v>
      </c>
    </row>
    <row r="8" spans="2:48" x14ac:dyDescent="0.25">
      <c r="B8" t="s">
        <v>3</v>
      </c>
      <c r="D8" s="5">
        <v>0.06</v>
      </c>
      <c r="F8" t="s">
        <v>6</v>
      </c>
      <c r="H8" s="6">
        <v>8.5099999999999995E-2</v>
      </c>
      <c r="N8" t="s">
        <v>3</v>
      </c>
      <c r="P8" s="5">
        <v>0.06</v>
      </c>
      <c r="R8" t="s">
        <v>6</v>
      </c>
      <c r="T8" s="6">
        <v>8.5099999999999995E-2</v>
      </c>
      <c r="V8" t="s">
        <v>41</v>
      </c>
      <c r="X8" s="6">
        <v>5.2499999999999998E-2</v>
      </c>
      <c r="Z8" t="s">
        <v>3</v>
      </c>
      <c r="AB8" s="5">
        <v>0.06</v>
      </c>
      <c r="AD8" t="s">
        <v>6</v>
      </c>
      <c r="AF8" s="31" t="s">
        <v>45</v>
      </c>
      <c r="AH8" t="s">
        <v>40</v>
      </c>
      <c r="AJ8" s="6">
        <f>-AB7/(AB7-1)</f>
        <v>0.11111111111111112</v>
      </c>
      <c r="AL8" t="s">
        <v>3</v>
      </c>
      <c r="AN8" s="5">
        <v>0.06</v>
      </c>
      <c r="AP8" t="s">
        <v>37</v>
      </c>
      <c r="AR8" s="29">
        <f>AN6*(1+(1-AR6)*AN7)</f>
        <v>1.2612633600000001</v>
      </c>
      <c r="AT8" t="s">
        <v>2</v>
      </c>
      <c r="AV8" s="6">
        <f>AN7/(AN7+1)</f>
        <v>0.12002815909890882</v>
      </c>
    </row>
    <row r="9" spans="2:48" x14ac:dyDescent="0.25">
      <c r="B9" t="s">
        <v>40</v>
      </c>
      <c r="D9" s="6">
        <f>-D7/(D7-1)</f>
        <v>0.11111111111111112</v>
      </c>
      <c r="N9" t="s">
        <v>37</v>
      </c>
      <c r="P9" s="29">
        <f>ROUND(P7*(1+(1-T6)*X9),2)</f>
        <v>1.24</v>
      </c>
      <c r="R9" t="s">
        <v>39</v>
      </c>
      <c r="T9" s="6">
        <v>0.2</v>
      </c>
      <c r="V9" t="s">
        <v>38</v>
      </c>
      <c r="X9" s="6">
        <f>-T9/(T9-1)</f>
        <v>0.25</v>
      </c>
      <c r="Z9" t="s">
        <v>46</v>
      </c>
      <c r="AB9" s="33">
        <f>ROUND(AB6/(1+(1-AF6)*AJ8),2)</f>
        <v>1.17</v>
      </c>
    </row>
    <row r="10" spans="2:48" x14ac:dyDescent="0.25"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N10" s="2" t="s">
        <v>14</v>
      </c>
      <c r="O10" s="2"/>
      <c r="P10" s="2"/>
      <c r="Q10" s="2"/>
      <c r="R10" s="2"/>
      <c r="S10" s="2"/>
      <c r="T10" s="2"/>
      <c r="U10" s="2"/>
      <c r="V10" s="2"/>
      <c r="W10" s="2"/>
      <c r="X10" s="2"/>
      <c r="Z10" s="2" t="s">
        <v>14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L10" s="2" t="s">
        <v>14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2:48" ht="5.0999999999999996" customHeight="1" x14ac:dyDescent="0.25"/>
    <row r="12" spans="2:48" x14ac:dyDescent="0.25">
      <c r="B12" t="s">
        <v>1</v>
      </c>
      <c r="D12" s="4">
        <v>1</v>
      </c>
      <c r="F12" t="s">
        <v>4</v>
      </c>
      <c r="H12" s="5">
        <v>0.36</v>
      </c>
      <c r="J12" t="s">
        <v>12</v>
      </c>
      <c r="L12" s="6">
        <f>D14+D12*(0.055)</f>
        <v>0.11499999999999999</v>
      </c>
      <c r="N12" t="s">
        <v>1</v>
      </c>
      <c r="P12" s="4">
        <v>1</v>
      </c>
      <c r="R12" t="s">
        <v>4</v>
      </c>
      <c r="T12" s="5">
        <v>0.36</v>
      </c>
      <c r="V12" t="s">
        <v>12</v>
      </c>
      <c r="X12" s="6">
        <f>P14+P12*(0.055)</f>
        <v>0.11499999999999999</v>
      </c>
      <c r="Z12" t="s">
        <v>1</v>
      </c>
      <c r="AB12" s="4">
        <v>1</v>
      </c>
      <c r="AD12" t="s">
        <v>4</v>
      </c>
      <c r="AF12" s="5">
        <v>0.36</v>
      </c>
      <c r="AH12" t="s">
        <v>12</v>
      </c>
      <c r="AJ12" s="6">
        <f>AB14+AB12*(0.055)</f>
        <v>0.11499999999999999</v>
      </c>
      <c r="AL12" t="s">
        <v>1</v>
      </c>
      <c r="AN12" s="4">
        <v>1</v>
      </c>
      <c r="AP12" t="s">
        <v>4</v>
      </c>
      <c r="AR12" s="5">
        <v>0.36</v>
      </c>
      <c r="AT12" t="s">
        <v>12</v>
      </c>
      <c r="AV12" s="6">
        <f>AN14+AN12*(0.055)</f>
        <v>0.11499999999999999</v>
      </c>
    </row>
    <row r="13" spans="2:48" x14ac:dyDescent="0.25">
      <c r="B13" t="s">
        <v>2</v>
      </c>
      <c r="D13" s="5">
        <v>0.1</v>
      </c>
      <c r="F13" t="s">
        <v>5</v>
      </c>
      <c r="H13" s="5">
        <v>0.04</v>
      </c>
      <c r="J13" t="s">
        <v>13</v>
      </c>
      <c r="L13" s="6">
        <f>L12*(1-D13)+H13*D13</f>
        <v>0.1075</v>
      </c>
      <c r="N13" t="s">
        <v>2</v>
      </c>
      <c r="P13" s="5">
        <v>0.2</v>
      </c>
      <c r="R13" t="s">
        <v>5</v>
      </c>
      <c r="T13" s="5">
        <v>0.04</v>
      </c>
      <c r="V13" t="s">
        <v>13</v>
      </c>
      <c r="X13" s="6">
        <f>X12*(1-P13)+T13*P13</f>
        <v>0.1</v>
      </c>
      <c r="Z13" t="s">
        <v>2</v>
      </c>
      <c r="AB13" s="5">
        <v>0.1</v>
      </c>
      <c r="AD13" t="s">
        <v>5</v>
      </c>
      <c r="AF13" s="5">
        <v>0.05</v>
      </c>
      <c r="AH13" t="s">
        <v>13</v>
      </c>
      <c r="AJ13" s="34">
        <v>0.1</v>
      </c>
      <c r="AL13" t="s">
        <v>2</v>
      </c>
      <c r="AN13" s="5">
        <v>0.1</v>
      </c>
      <c r="AP13" t="s">
        <v>5</v>
      </c>
      <c r="AR13" s="5">
        <v>0.05</v>
      </c>
      <c r="AT13" t="s">
        <v>13</v>
      </c>
      <c r="AV13" s="34">
        <v>0.1</v>
      </c>
    </row>
    <row r="14" spans="2:48" x14ac:dyDescent="0.25">
      <c r="B14" t="s">
        <v>3</v>
      </c>
      <c r="D14" s="5">
        <v>0.06</v>
      </c>
      <c r="F14" t="s">
        <v>6</v>
      </c>
      <c r="H14" s="6">
        <v>8.5099999999999995E-2</v>
      </c>
      <c r="N14" t="s">
        <v>3</v>
      </c>
      <c r="P14" s="5">
        <v>0.06</v>
      </c>
      <c r="R14" t="s">
        <v>6</v>
      </c>
      <c r="T14" s="6">
        <v>0.1135</v>
      </c>
      <c r="Z14" t="s">
        <v>3</v>
      </c>
      <c r="AB14" s="5">
        <v>0.06</v>
      </c>
      <c r="AD14" t="s">
        <v>6</v>
      </c>
      <c r="AF14" s="6">
        <v>0.1135</v>
      </c>
      <c r="AL14" t="s">
        <v>3</v>
      </c>
      <c r="AN14" s="5">
        <v>0.06</v>
      </c>
      <c r="AP14" t="s">
        <v>6</v>
      </c>
      <c r="AR14" s="6">
        <v>0.1135</v>
      </c>
    </row>
    <row r="17" spans="2:46" x14ac:dyDescent="0.25">
      <c r="B17" s="8" t="s">
        <v>10</v>
      </c>
      <c r="C17" s="7" t="s">
        <v>8</v>
      </c>
      <c r="D17">
        <v>0</v>
      </c>
      <c r="E17">
        <f>D17+1</f>
        <v>1</v>
      </c>
      <c r="F17">
        <f t="shared" ref="F17:J17" si="0">E17+1</f>
        <v>2</v>
      </c>
      <c r="G17">
        <f t="shared" si="0"/>
        <v>3</v>
      </c>
      <c r="H17">
        <f t="shared" si="0"/>
        <v>4</v>
      </c>
      <c r="I17">
        <f t="shared" si="0"/>
        <v>5</v>
      </c>
      <c r="J17">
        <f t="shared" si="0"/>
        <v>6</v>
      </c>
      <c r="N17" s="8" t="s">
        <v>10</v>
      </c>
      <c r="O17" s="7" t="s">
        <v>8</v>
      </c>
      <c r="P17">
        <v>0</v>
      </c>
      <c r="Q17">
        <f>P17+1</f>
        <v>1</v>
      </c>
      <c r="R17">
        <f t="shared" ref="R17:V17" si="1">Q17+1</f>
        <v>2</v>
      </c>
      <c r="S17">
        <f t="shared" si="1"/>
        <v>3</v>
      </c>
      <c r="T17">
        <f t="shared" si="1"/>
        <v>4</v>
      </c>
      <c r="U17">
        <f t="shared" si="1"/>
        <v>5</v>
      </c>
      <c r="V17">
        <f t="shared" si="1"/>
        <v>6</v>
      </c>
      <c r="Z17" s="8" t="s">
        <v>10</v>
      </c>
      <c r="AA17" s="7" t="s">
        <v>8</v>
      </c>
      <c r="AB17">
        <v>0</v>
      </c>
      <c r="AC17">
        <f>AB17+1</f>
        <v>1</v>
      </c>
      <c r="AD17">
        <f t="shared" ref="AD17:AH17" si="2">AC17+1</f>
        <v>2</v>
      </c>
      <c r="AE17">
        <f t="shared" si="2"/>
        <v>3</v>
      </c>
      <c r="AF17">
        <f t="shared" si="2"/>
        <v>4</v>
      </c>
      <c r="AG17">
        <f t="shared" si="2"/>
        <v>5</v>
      </c>
      <c r="AH17">
        <f t="shared" si="2"/>
        <v>6</v>
      </c>
      <c r="AL17" s="8" t="s">
        <v>10</v>
      </c>
      <c r="AM17" s="7" t="s">
        <v>8</v>
      </c>
      <c r="AN17">
        <v>0</v>
      </c>
      <c r="AO17">
        <f>AN17+1</f>
        <v>1</v>
      </c>
      <c r="AP17">
        <f t="shared" ref="AP17" si="3">AO17+1</f>
        <v>2</v>
      </c>
      <c r="AQ17">
        <f t="shared" ref="AQ17" si="4">AP17+1</f>
        <v>3</v>
      </c>
      <c r="AR17">
        <f t="shared" ref="AR17" si="5">AQ17+1</f>
        <v>4</v>
      </c>
      <c r="AS17">
        <f t="shared" ref="AS17" si="6">AR17+1</f>
        <v>5</v>
      </c>
      <c r="AT17">
        <f t="shared" ref="AT17" si="7">AS17+1</f>
        <v>6</v>
      </c>
    </row>
    <row r="18" spans="2:46" x14ac:dyDescent="0.25">
      <c r="B18" s="2" t="s">
        <v>7</v>
      </c>
      <c r="C18" s="2"/>
      <c r="D18" s="2"/>
      <c r="E18" s="2"/>
      <c r="F18" s="2"/>
      <c r="G18" s="2"/>
      <c r="H18" s="2"/>
      <c r="I18" s="2"/>
      <c r="J18" s="2"/>
      <c r="N18" s="2" t="s">
        <v>7</v>
      </c>
      <c r="O18" s="2"/>
      <c r="P18" s="2"/>
      <c r="Q18" s="2"/>
      <c r="R18" s="2"/>
      <c r="S18" s="2"/>
      <c r="T18" s="2"/>
      <c r="U18" s="2"/>
      <c r="V18" s="2"/>
      <c r="Z18" s="2" t="s">
        <v>7</v>
      </c>
      <c r="AA18" s="2"/>
      <c r="AB18" s="2"/>
      <c r="AC18" s="2"/>
      <c r="AD18" s="2"/>
      <c r="AE18" s="2"/>
      <c r="AF18" s="2"/>
      <c r="AG18" s="2"/>
      <c r="AH18" s="2"/>
      <c r="AL18" s="2" t="s">
        <v>7</v>
      </c>
      <c r="AM18" s="2"/>
      <c r="AN18" s="2"/>
      <c r="AO18" s="2"/>
      <c r="AP18" s="2"/>
      <c r="AQ18" s="2"/>
      <c r="AR18" s="2"/>
      <c r="AS18" s="2"/>
      <c r="AT18" s="2"/>
    </row>
    <row r="19" spans="2:46" x14ac:dyDescent="0.25">
      <c r="B19" t="s">
        <v>11</v>
      </c>
      <c r="D19" s="10">
        <v>13046</v>
      </c>
      <c r="E19" s="10">
        <f>D19*(1+E20)</f>
        <v>13828.76</v>
      </c>
      <c r="F19" s="10">
        <f t="shared" ref="F19:J19" si="8">E19*(1+F20)</f>
        <v>14658.485600000002</v>
      </c>
      <c r="G19" s="10">
        <f t="shared" si="8"/>
        <v>15537.994736000002</v>
      </c>
      <c r="H19" s="10">
        <f t="shared" si="8"/>
        <v>16470.274420160004</v>
      </c>
      <c r="I19" s="10">
        <f t="shared" si="8"/>
        <v>17458.490885369603</v>
      </c>
      <c r="J19" s="10">
        <f t="shared" si="8"/>
        <v>18331.415429638084</v>
      </c>
      <c r="N19" t="s">
        <v>11</v>
      </c>
      <c r="P19" s="10">
        <v>13046</v>
      </c>
      <c r="Q19" s="10">
        <f>P19*(1+Q20)</f>
        <v>14350.6</v>
      </c>
      <c r="R19" s="10">
        <f t="shared" ref="R19" si="9">Q19*(1+R20)</f>
        <v>15785.660000000002</v>
      </c>
      <c r="S19" s="10">
        <f t="shared" ref="S19" si="10">R19*(1+S20)</f>
        <v>17364.226000000002</v>
      </c>
      <c r="T19" s="10">
        <f t="shared" ref="T19" si="11">S19*(1+T20)</f>
        <v>19100.648600000004</v>
      </c>
      <c r="U19" s="10">
        <f t="shared" ref="U19" si="12">T19*(1+U20)</f>
        <v>21010.713460000006</v>
      </c>
      <c r="V19" s="10">
        <f t="shared" ref="V19" si="13">U19*(1+V20)</f>
        <v>22061.249133000008</v>
      </c>
      <c r="Z19" t="s">
        <v>11</v>
      </c>
      <c r="AB19" s="10">
        <v>25484</v>
      </c>
      <c r="AC19" s="10">
        <f>AB19*(1+AC20)</f>
        <v>28032.400000000001</v>
      </c>
      <c r="AD19" s="10">
        <f t="shared" ref="AD19" si="14">AC19*(1+AD20)</f>
        <v>30835.640000000003</v>
      </c>
      <c r="AE19" s="10">
        <f t="shared" ref="AE19" si="15">AD19*(1+AE20)</f>
        <v>33919.204000000005</v>
      </c>
      <c r="AF19" s="10">
        <f t="shared" ref="AF19" si="16">AE19*(1+AF20)</f>
        <v>37311.124400000008</v>
      </c>
      <c r="AG19" s="10">
        <f t="shared" ref="AG19" si="17">AF19*(1+AG20)</f>
        <v>41042.236840000012</v>
      </c>
      <c r="AH19" s="10">
        <f t="shared" ref="AH19" si="18">AG19*(1+AH20)</f>
        <v>43094.348682000018</v>
      </c>
      <c r="AL19" t="s">
        <v>11</v>
      </c>
      <c r="AN19" s="10">
        <f>AB19+P19</f>
        <v>38530</v>
      </c>
      <c r="AO19" s="10">
        <f>AN19*(1+AO20)</f>
        <v>42575.65</v>
      </c>
      <c r="AP19" s="10">
        <f t="shared" ref="AP19:AS19" si="19">AO19*(1+AP20)</f>
        <v>47046.093249999998</v>
      </c>
      <c r="AQ19" s="10">
        <f t="shared" si="19"/>
        <v>51985.933041249998</v>
      </c>
      <c r="AR19" s="10">
        <f t="shared" si="19"/>
        <v>57444.456010581249</v>
      </c>
      <c r="AS19" s="10">
        <f t="shared" si="19"/>
        <v>63476.123891692281</v>
      </c>
      <c r="AT19" s="10">
        <f t="shared" ref="AT19" si="20">AS19*(1+AT20)</f>
        <v>66649.930086276901</v>
      </c>
    </row>
    <row r="20" spans="2:46" x14ac:dyDescent="0.25">
      <c r="B20" s="8" t="s">
        <v>20</v>
      </c>
      <c r="E20" s="13">
        <v>0.06</v>
      </c>
      <c r="F20" s="14">
        <v>0.06</v>
      </c>
      <c r="G20" s="14">
        <v>0.06</v>
      </c>
      <c r="H20" s="14">
        <v>0.06</v>
      </c>
      <c r="I20" s="14">
        <v>0.06</v>
      </c>
      <c r="J20" s="15">
        <v>0.05</v>
      </c>
      <c r="N20" s="8" t="s">
        <v>20</v>
      </c>
      <c r="Q20" s="13">
        <v>0.1</v>
      </c>
      <c r="R20" s="14">
        <v>0.1</v>
      </c>
      <c r="S20" s="14">
        <v>0.1</v>
      </c>
      <c r="T20" s="14">
        <v>0.1</v>
      </c>
      <c r="U20" s="14">
        <v>0.1</v>
      </c>
      <c r="V20" s="15">
        <v>0.05</v>
      </c>
      <c r="Z20" s="8" t="s">
        <v>20</v>
      </c>
      <c r="AC20" s="13">
        <v>0.1</v>
      </c>
      <c r="AD20" s="14">
        <v>0.1</v>
      </c>
      <c r="AE20" s="14">
        <v>0.1</v>
      </c>
      <c r="AF20" s="14">
        <v>0.1</v>
      </c>
      <c r="AG20" s="14">
        <v>0.1</v>
      </c>
      <c r="AH20" s="15">
        <v>0.05</v>
      </c>
      <c r="AL20" s="8" t="s">
        <v>20</v>
      </c>
      <c r="AO20" s="35">
        <v>0.105</v>
      </c>
      <c r="AP20" s="35">
        <v>0.105</v>
      </c>
      <c r="AQ20" s="35">
        <v>0.105</v>
      </c>
      <c r="AR20" s="35">
        <v>0.105</v>
      </c>
      <c r="AS20" s="35">
        <v>0.105</v>
      </c>
      <c r="AT20" s="35">
        <v>0.05</v>
      </c>
    </row>
    <row r="22" spans="2:46" x14ac:dyDescent="0.25">
      <c r="B22" t="s">
        <v>9</v>
      </c>
      <c r="D22" s="10">
        <v>391.83</v>
      </c>
      <c r="E22" s="10">
        <f>E19*E23</f>
        <v>414.86279999999999</v>
      </c>
      <c r="F22" s="10">
        <f t="shared" ref="F22:J22" si="21">F19*F23</f>
        <v>439.75456800000006</v>
      </c>
      <c r="G22" s="10">
        <f t="shared" si="21"/>
        <v>466.13984208000005</v>
      </c>
      <c r="H22" s="10">
        <f t="shared" si="21"/>
        <v>494.10823260480009</v>
      </c>
      <c r="I22" s="10">
        <f t="shared" si="21"/>
        <v>523.75472656108809</v>
      </c>
      <c r="J22" s="10">
        <f t="shared" si="21"/>
        <v>549.94246288914246</v>
      </c>
      <c r="N22" t="s">
        <v>9</v>
      </c>
      <c r="P22" s="10">
        <v>391.83</v>
      </c>
      <c r="Q22" s="10">
        <f>Q19*Q23</f>
        <v>574.024</v>
      </c>
      <c r="R22" s="10">
        <f t="shared" ref="R22" si="22">R19*R23</f>
        <v>631.42640000000006</v>
      </c>
      <c r="S22" s="10">
        <f t="shared" ref="S22" si="23">S19*S23</f>
        <v>694.56904000000009</v>
      </c>
      <c r="T22" s="10">
        <f t="shared" ref="T22" si="24">T19*T23</f>
        <v>764.02594400000021</v>
      </c>
      <c r="U22" s="10">
        <f t="shared" ref="U22" si="25">U19*U23</f>
        <v>840.42853840000032</v>
      </c>
      <c r="V22" s="10">
        <f t="shared" ref="V22" si="26">V19*V23</f>
        <v>882.44996532000039</v>
      </c>
      <c r="Z22" t="s">
        <v>9</v>
      </c>
      <c r="AB22" s="10">
        <v>2987</v>
      </c>
      <c r="AC22" s="10">
        <f>AC19*AC23</f>
        <v>3285.7000000000003</v>
      </c>
      <c r="AD22" s="10">
        <f t="shared" ref="AD22" si="27">AD19*AD23</f>
        <v>3614.2700000000004</v>
      </c>
      <c r="AE22" s="10">
        <f t="shared" ref="AE22" si="28">AE19*AE23</f>
        <v>3975.6970000000006</v>
      </c>
      <c r="AF22" s="10">
        <f t="shared" ref="AF22" si="29">AF19*AF23</f>
        <v>4373.266700000001</v>
      </c>
      <c r="AG22" s="10">
        <f t="shared" ref="AG22" si="30">AG19*AG23</f>
        <v>4810.5933700000014</v>
      </c>
      <c r="AH22" s="10">
        <f t="shared" ref="AH22" si="31">AH19*AH23</f>
        <v>5051.1230385000017</v>
      </c>
      <c r="AL22" t="s">
        <v>9</v>
      </c>
      <c r="AN22" s="10">
        <f>AN19*AN23</f>
        <v>3609.0010689999999</v>
      </c>
      <c r="AO22" s="10">
        <f>AO19*AO23</f>
        <v>3987.9461812449999</v>
      </c>
      <c r="AP22" s="10">
        <f t="shared" ref="AP22:AT22" si="32">AP19*AP23</f>
        <v>4406.6805302757248</v>
      </c>
      <c r="AQ22" s="10">
        <f t="shared" si="32"/>
        <v>4869.3819859546757</v>
      </c>
      <c r="AR22" s="10">
        <f t="shared" si="32"/>
        <v>5380.6670944799171</v>
      </c>
      <c r="AS22" s="10">
        <f t="shared" si="32"/>
        <v>5945.6371394003081</v>
      </c>
      <c r="AT22" s="10">
        <f t="shared" si="32"/>
        <v>6242.9189963703238</v>
      </c>
    </row>
    <row r="23" spans="2:46" x14ac:dyDescent="0.25">
      <c r="B23" s="8" t="s">
        <v>15</v>
      </c>
      <c r="D23" s="12">
        <f>D22/D19</f>
        <v>3.0034493331289283E-2</v>
      </c>
      <c r="E23" s="13">
        <v>0.03</v>
      </c>
      <c r="F23" s="13">
        <v>0.03</v>
      </c>
      <c r="G23" s="13">
        <v>0.03</v>
      </c>
      <c r="H23" s="13">
        <v>0.03</v>
      </c>
      <c r="I23" s="13">
        <v>0.03</v>
      </c>
      <c r="J23" s="13">
        <v>0.03</v>
      </c>
      <c r="N23" s="8" t="s">
        <v>15</v>
      </c>
      <c r="P23" s="12">
        <v>0.04</v>
      </c>
      <c r="Q23" s="13">
        <v>0.04</v>
      </c>
      <c r="R23" s="13">
        <v>0.04</v>
      </c>
      <c r="S23" s="13">
        <v>0.04</v>
      </c>
      <c r="T23" s="13">
        <v>0.04</v>
      </c>
      <c r="U23" s="13">
        <v>0.04</v>
      </c>
      <c r="V23" s="13">
        <v>0.04</v>
      </c>
      <c r="Z23" s="8" t="s">
        <v>15</v>
      </c>
      <c r="AB23" s="12">
        <f>AB22/AB19</f>
        <v>0.11721079893266363</v>
      </c>
      <c r="AC23" s="13">
        <f>AB23</f>
        <v>0.11721079893266363</v>
      </c>
      <c r="AD23" s="13">
        <f t="shared" ref="AD23:AH23" si="33">AC23</f>
        <v>0.11721079893266363</v>
      </c>
      <c r="AE23" s="13">
        <f t="shared" si="33"/>
        <v>0.11721079893266363</v>
      </c>
      <c r="AF23" s="13">
        <f t="shared" si="33"/>
        <v>0.11721079893266363</v>
      </c>
      <c r="AG23" s="13">
        <f t="shared" si="33"/>
        <v>0.11721079893266363</v>
      </c>
      <c r="AH23" s="13">
        <f t="shared" si="33"/>
        <v>0.11721079893266363</v>
      </c>
      <c r="AL23" s="8" t="s">
        <v>15</v>
      </c>
      <c r="AN23" s="12">
        <v>9.3667299999999995E-2</v>
      </c>
      <c r="AO23" s="36">
        <f>AN23</f>
        <v>9.3667299999999995E-2</v>
      </c>
      <c r="AP23" s="36">
        <f t="shared" ref="AP23:AT23" si="34">AO23</f>
        <v>9.3667299999999995E-2</v>
      </c>
      <c r="AQ23" s="36">
        <f t="shared" si="34"/>
        <v>9.3667299999999995E-2</v>
      </c>
      <c r="AR23" s="36">
        <f t="shared" si="34"/>
        <v>9.3667299999999995E-2</v>
      </c>
      <c r="AS23" s="36">
        <f t="shared" si="34"/>
        <v>9.3667299999999995E-2</v>
      </c>
      <c r="AT23" s="36">
        <f t="shared" si="34"/>
        <v>9.3667299999999995E-2</v>
      </c>
    </row>
    <row r="25" spans="2:46" x14ac:dyDescent="0.25">
      <c r="B25" t="s">
        <v>23</v>
      </c>
      <c r="D25" s="10">
        <v>141.9</v>
      </c>
      <c r="E25" s="10">
        <f>E22*E26</f>
        <v>149.35060799999999</v>
      </c>
      <c r="F25" s="10">
        <f t="shared" ref="F25:J25" si="35">F22*F26</f>
        <v>158.31164448000001</v>
      </c>
      <c r="G25" s="10">
        <f t="shared" si="35"/>
        <v>167.8103431488</v>
      </c>
      <c r="H25" s="10">
        <f t="shared" si="35"/>
        <v>177.87896373772801</v>
      </c>
      <c r="I25" s="10">
        <f t="shared" si="35"/>
        <v>188.55170156199171</v>
      </c>
      <c r="J25" s="10">
        <f t="shared" si="35"/>
        <v>197.97928664009129</v>
      </c>
      <c r="N25" t="s">
        <v>23</v>
      </c>
      <c r="P25" s="10">
        <v>141.9</v>
      </c>
      <c r="Q25" s="10">
        <f>Q22*Q26</f>
        <v>206.64864</v>
      </c>
      <c r="R25" s="10">
        <f t="shared" ref="R25" si="36">R22*R26</f>
        <v>227.31350400000002</v>
      </c>
      <c r="S25" s="10">
        <f t="shared" ref="S25" si="37">S22*S26</f>
        <v>250.04485440000002</v>
      </c>
      <c r="T25" s="10">
        <f t="shared" ref="T25" si="38">T22*T26</f>
        <v>275.04933984000007</v>
      </c>
      <c r="U25" s="10">
        <f t="shared" ref="U25" si="39">U22*U26</f>
        <v>302.55427382400012</v>
      </c>
      <c r="V25" s="10">
        <f t="shared" ref="V25" si="40">V22*V26</f>
        <v>317.68198751520015</v>
      </c>
      <c r="Z25" t="s">
        <v>23</v>
      </c>
      <c r="AB25" s="10">
        <f>AB22*AB26</f>
        <v>1075.32</v>
      </c>
      <c r="AC25" s="10">
        <f>AC22*AC26</f>
        <v>1182.8520000000001</v>
      </c>
      <c r="AD25" s="10">
        <f t="shared" ref="AD25" si="41">AD22*AD26</f>
        <v>1301.1372000000001</v>
      </c>
      <c r="AE25" s="10">
        <f t="shared" ref="AE25" si="42">AE22*AE26</f>
        <v>1431.2509200000002</v>
      </c>
      <c r="AF25" s="10">
        <f t="shared" ref="AF25" si="43">AF22*AF26</f>
        <v>1574.3760120000004</v>
      </c>
      <c r="AG25" s="10">
        <f t="shared" ref="AG25" si="44">AG22*AG26</f>
        <v>1731.8136132000004</v>
      </c>
      <c r="AH25" s="10">
        <f t="shared" ref="AH25" si="45">AH22*AH26</f>
        <v>1818.4042938600005</v>
      </c>
      <c r="AL25" t="s">
        <v>23</v>
      </c>
      <c r="AN25" s="10">
        <f>AN22*AN26</f>
        <v>1299.2403848399999</v>
      </c>
      <c r="AO25" s="10">
        <f>AO22*AO26</f>
        <v>1435.6606252481999</v>
      </c>
      <c r="AP25" s="10">
        <f t="shared" ref="AP25:AT25" si="46">AP22*AP26</f>
        <v>1586.4049908992608</v>
      </c>
      <c r="AQ25" s="10">
        <f t="shared" si="46"/>
        <v>1752.9775149436832</v>
      </c>
      <c r="AR25" s="10">
        <f t="shared" si="46"/>
        <v>1937.04015401277</v>
      </c>
      <c r="AS25" s="10">
        <f t="shared" si="46"/>
        <v>2140.4293701841107</v>
      </c>
      <c r="AT25" s="10">
        <f t="shared" si="46"/>
        <v>2247.4508386933167</v>
      </c>
    </row>
    <row r="26" spans="2:46" x14ac:dyDescent="0.25">
      <c r="B26" s="8" t="s">
        <v>16</v>
      </c>
      <c r="D26" s="13">
        <f>$H$12</f>
        <v>0.36</v>
      </c>
      <c r="E26" s="13">
        <f t="shared" ref="E26:J26" si="47">$H$12</f>
        <v>0.36</v>
      </c>
      <c r="F26" s="13">
        <f t="shared" si="47"/>
        <v>0.36</v>
      </c>
      <c r="G26" s="13">
        <f t="shared" si="47"/>
        <v>0.36</v>
      </c>
      <c r="H26" s="13">
        <f t="shared" si="47"/>
        <v>0.36</v>
      </c>
      <c r="I26" s="13">
        <f t="shared" si="47"/>
        <v>0.36</v>
      </c>
      <c r="J26" s="13">
        <f t="shared" si="47"/>
        <v>0.36</v>
      </c>
      <c r="N26" s="8" t="s">
        <v>16</v>
      </c>
      <c r="P26" s="13">
        <f>$H$12</f>
        <v>0.36</v>
      </c>
      <c r="Q26" s="13">
        <f t="shared" ref="Q26:V26" si="48">$H$12</f>
        <v>0.36</v>
      </c>
      <c r="R26" s="13">
        <f t="shared" si="48"/>
        <v>0.36</v>
      </c>
      <c r="S26" s="13">
        <f t="shared" si="48"/>
        <v>0.36</v>
      </c>
      <c r="T26" s="13">
        <f t="shared" si="48"/>
        <v>0.36</v>
      </c>
      <c r="U26" s="13">
        <f t="shared" si="48"/>
        <v>0.36</v>
      </c>
      <c r="V26" s="13">
        <f t="shared" si="48"/>
        <v>0.36</v>
      </c>
      <c r="Z26" s="8" t="s">
        <v>16</v>
      </c>
      <c r="AB26" s="13">
        <f>$H$12</f>
        <v>0.36</v>
      </c>
      <c r="AC26" s="13">
        <f t="shared" ref="AC26:AH26" si="49">$H$12</f>
        <v>0.36</v>
      </c>
      <c r="AD26" s="13">
        <f t="shared" si="49"/>
        <v>0.36</v>
      </c>
      <c r="AE26" s="13">
        <f t="shared" si="49"/>
        <v>0.36</v>
      </c>
      <c r="AF26" s="13">
        <f t="shared" si="49"/>
        <v>0.36</v>
      </c>
      <c r="AG26" s="13">
        <f t="shared" si="49"/>
        <v>0.36</v>
      </c>
      <c r="AH26" s="13">
        <f t="shared" si="49"/>
        <v>0.36</v>
      </c>
      <c r="AL26" s="8" t="s">
        <v>16</v>
      </c>
      <c r="AN26" s="13">
        <f>$H$12</f>
        <v>0.36</v>
      </c>
      <c r="AO26" s="13">
        <f t="shared" ref="AO26:AT26" si="50">$H$12</f>
        <v>0.36</v>
      </c>
      <c r="AP26" s="13">
        <f t="shared" si="50"/>
        <v>0.36</v>
      </c>
      <c r="AQ26" s="13">
        <f t="shared" si="50"/>
        <v>0.36</v>
      </c>
      <c r="AR26" s="13">
        <f t="shared" si="50"/>
        <v>0.36</v>
      </c>
      <c r="AS26" s="13">
        <f t="shared" si="50"/>
        <v>0.36</v>
      </c>
      <c r="AT26" s="13">
        <f t="shared" si="50"/>
        <v>0.36</v>
      </c>
    </row>
    <row r="28" spans="2:46" x14ac:dyDescent="0.25">
      <c r="B28" t="s">
        <v>24</v>
      </c>
      <c r="D28" s="10">
        <f>D22-D25</f>
        <v>249.92999999999998</v>
      </c>
      <c r="E28" s="10">
        <f t="shared" ref="E28:J28" si="51">E22-E25</f>
        <v>265.51219200000003</v>
      </c>
      <c r="F28" s="10">
        <f t="shared" si="51"/>
        <v>281.44292352000002</v>
      </c>
      <c r="G28" s="10">
        <f t="shared" si="51"/>
        <v>298.32949893120008</v>
      </c>
      <c r="H28" s="10">
        <f t="shared" si="51"/>
        <v>316.22926886707205</v>
      </c>
      <c r="I28" s="10">
        <f t="shared" si="51"/>
        <v>335.20302499909639</v>
      </c>
      <c r="J28" s="10">
        <f t="shared" si="51"/>
        <v>351.96317624905117</v>
      </c>
      <c r="N28" t="s">
        <v>24</v>
      </c>
      <c r="P28" s="10">
        <f>P22-P25</f>
        <v>249.92999999999998</v>
      </c>
      <c r="Q28" s="10">
        <f t="shared" ref="Q28:V28" si="52">Q22-Q25</f>
        <v>367.37536</v>
      </c>
      <c r="R28" s="10">
        <f t="shared" si="52"/>
        <v>404.11289600000003</v>
      </c>
      <c r="S28" s="10">
        <f t="shared" si="52"/>
        <v>444.52418560000007</v>
      </c>
      <c r="T28" s="10">
        <f t="shared" si="52"/>
        <v>488.97660416000014</v>
      </c>
      <c r="U28" s="10">
        <f t="shared" si="52"/>
        <v>537.8742645760002</v>
      </c>
      <c r="V28" s="10">
        <f t="shared" si="52"/>
        <v>564.76797780480024</v>
      </c>
      <c r="Z28" t="s">
        <v>24</v>
      </c>
      <c r="AB28" s="10">
        <f>AB22-AB25</f>
        <v>1911.68</v>
      </c>
      <c r="AC28" s="10">
        <f t="shared" ref="AC28:AH28" si="53">AC22-AC25</f>
        <v>2102.848</v>
      </c>
      <c r="AD28" s="10">
        <f t="shared" si="53"/>
        <v>2313.1328000000003</v>
      </c>
      <c r="AE28" s="10">
        <f t="shared" si="53"/>
        <v>2544.4460800000006</v>
      </c>
      <c r="AF28" s="10">
        <f t="shared" si="53"/>
        <v>2798.8906880000004</v>
      </c>
      <c r="AG28" s="10">
        <f t="shared" si="53"/>
        <v>3078.779756800001</v>
      </c>
      <c r="AH28" s="10">
        <f t="shared" si="53"/>
        <v>3232.7187446400012</v>
      </c>
      <c r="AL28" t="s">
        <v>24</v>
      </c>
      <c r="AN28" s="10">
        <f>AN22-AN25</f>
        <v>2309.76068416</v>
      </c>
      <c r="AO28" s="10">
        <f t="shared" ref="AO28:AT28" si="54">AO22-AO25</f>
        <v>2552.2855559968002</v>
      </c>
      <c r="AP28" s="10">
        <f t="shared" si="54"/>
        <v>2820.2755393764637</v>
      </c>
      <c r="AQ28" s="10">
        <f t="shared" si="54"/>
        <v>3116.4044710109924</v>
      </c>
      <c r="AR28" s="10">
        <f t="shared" si="54"/>
        <v>3443.6269404671471</v>
      </c>
      <c r="AS28" s="10">
        <f t="shared" si="54"/>
        <v>3805.2077692161974</v>
      </c>
      <c r="AT28" s="10">
        <f t="shared" si="54"/>
        <v>3995.4681576770072</v>
      </c>
    </row>
    <row r="29" spans="2:46" x14ac:dyDescent="0.25">
      <c r="B29" s="8" t="s">
        <v>25</v>
      </c>
      <c r="D29" s="11">
        <f>D28/D19</f>
        <v>1.9157596198068373E-2</v>
      </c>
      <c r="E29" s="11">
        <f t="shared" ref="E29:J29" si="55">E28/E19</f>
        <v>1.9200000000000002E-2</v>
      </c>
      <c r="F29" s="11">
        <f t="shared" si="55"/>
        <v>1.9199999999999998E-2</v>
      </c>
      <c r="G29" s="11">
        <f t="shared" si="55"/>
        <v>1.9200000000000002E-2</v>
      </c>
      <c r="H29" s="11">
        <f t="shared" si="55"/>
        <v>1.9199999999999998E-2</v>
      </c>
      <c r="I29" s="11">
        <f t="shared" si="55"/>
        <v>1.9200000000000002E-2</v>
      </c>
      <c r="J29" s="11">
        <f t="shared" si="55"/>
        <v>1.9199999999999998E-2</v>
      </c>
      <c r="N29" s="8" t="s">
        <v>25</v>
      </c>
      <c r="P29" s="11">
        <f>P28/P19</f>
        <v>1.9157596198068373E-2</v>
      </c>
      <c r="Q29" s="11">
        <f t="shared" ref="Q29" si="56">Q28/Q19</f>
        <v>2.5599999999999998E-2</v>
      </c>
      <c r="R29" s="11">
        <f t="shared" ref="R29" si="57">R28/R19</f>
        <v>2.5599999999999998E-2</v>
      </c>
      <c r="S29" s="11">
        <f t="shared" ref="S29" si="58">S28/S19</f>
        <v>2.5600000000000001E-2</v>
      </c>
      <c r="T29" s="11">
        <f t="shared" ref="T29" si="59">T28/T19</f>
        <v>2.5600000000000001E-2</v>
      </c>
      <c r="U29" s="11">
        <f t="shared" ref="U29" si="60">U28/U19</f>
        <v>2.5600000000000001E-2</v>
      </c>
      <c r="V29" s="11">
        <f t="shared" ref="V29" si="61">V28/V19</f>
        <v>2.5600000000000001E-2</v>
      </c>
      <c r="Z29" s="8" t="s">
        <v>25</v>
      </c>
      <c r="AB29" s="11">
        <f>AB28/AB19</f>
        <v>7.5014911316904728E-2</v>
      </c>
      <c r="AC29" s="11">
        <f t="shared" ref="AC29" si="62">AC28/AC19</f>
        <v>7.5014911316904714E-2</v>
      </c>
      <c r="AD29" s="11">
        <f t="shared" ref="AD29" si="63">AD28/AD19</f>
        <v>7.5014911316904728E-2</v>
      </c>
      <c r="AE29" s="11">
        <f t="shared" ref="AE29" si="64">AE28/AE19</f>
        <v>7.5014911316904728E-2</v>
      </c>
      <c r="AF29" s="11">
        <f t="shared" ref="AF29" si="65">AF28/AF19</f>
        <v>7.5014911316904714E-2</v>
      </c>
      <c r="AG29" s="11">
        <f t="shared" ref="AG29" si="66">AG28/AG19</f>
        <v>7.5014911316904728E-2</v>
      </c>
      <c r="AH29" s="11">
        <f t="shared" ref="AH29" si="67">AH28/AH19</f>
        <v>7.5014911316904714E-2</v>
      </c>
      <c r="AL29" s="8" t="s">
        <v>25</v>
      </c>
      <c r="AN29" s="11">
        <f>AN28/AN19</f>
        <v>5.9947071999999997E-2</v>
      </c>
      <c r="AO29" s="11">
        <f t="shared" ref="AO29:AT29" si="68">AO28/AO19</f>
        <v>5.9947072000000004E-2</v>
      </c>
      <c r="AP29" s="11">
        <f t="shared" si="68"/>
        <v>5.9947071999999997E-2</v>
      </c>
      <c r="AQ29" s="11">
        <f t="shared" si="68"/>
        <v>5.9947071999999997E-2</v>
      </c>
      <c r="AR29" s="11">
        <f t="shared" si="68"/>
        <v>5.9947072000000004E-2</v>
      </c>
      <c r="AS29" s="11">
        <f t="shared" si="68"/>
        <v>5.9947072000000004E-2</v>
      </c>
      <c r="AT29" s="11">
        <f t="shared" si="68"/>
        <v>5.994707199999999E-2</v>
      </c>
    </row>
    <row r="31" spans="2:46" x14ac:dyDescent="0.25">
      <c r="B31" t="s">
        <v>18</v>
      </c>
      <c r="D31" s="10">
        <v>461</v>
      </c>
      <c r="E31" s="10">
        <f>D31*(1+E32)</f>
        <v>488.66</v>
      </c>
      <c r="F31" s="10">
        <f t="shared" ref="F31:J31" si="69">E31*(1+F32)</f>
        <v>517.9796</v>
      </c>
      <c r="G31" s="10">
        <f t="shared" si="69"/>
        <v>549.05837600000007</v>
      </c>
      <c r="H31" s="10">
        <f t="shared" si="69"/>
        <v>582.00187856000014</v>
      </c>
      <c r="I31" s="10">
        <f t="shared" si="69"/>
        <v>616.92199127360016</v>
      </c>
      <c r="J31" s="10">
        <f t="shared" si="69"/>
        <v>647.76809083728017</v>
      </c>
      <c r="N31" t="s">
        <v>18</v>
      </c>
      <c r="P31" s="10">
        <v>461</v>
      </c>
      <c r="Q31" s="10">
        <f>P31*(1+Q32)</f>
        <v>507.1</v>
      </c>
      <c r="R31" s="10">
        <f t="shared" ref="R31" si="70">Q31*(1+R32)</f>
        <v>557.81000000000006</v>
      </c>
      <c r="S31" s="10">
        <f t="shared" ref="S31" si="71">R31*(1+S32)</f>
        <v>613.59100000000012</v>
      </c>
      <c r="T31" s="10">
        <f t="shared" ref="T31" si="72">S31*(1+T32)</f>
        <v>674.95010000000013</v>
      </c>
      <c r="U31" s="10">
        <f t="shared" ref="U31" si="73">T31*(1+U32)</f>
        <v>742.44511000000023</v>
      </c>
      <c r="V31" s="10">
        <f t="shared" ref="V31" si="74">U31*(1+V32)</f>
        <v>779.56736550000028</v>
      </c>
      <c r="Z31" t="s">
        <v>18</v>
      </c>
      <c r="AB31" s="10">
        <v>545</v>
      </c>
      <c r="AC31" s="10">
        <f>AB31*(1+AC32)</f>
        <v>599.5</v>
      </c>
      <c r="AD31" s="10">
        <f t="shared" ref="AD31" si="75">AC31*(1+AD32)</f>
        <v>659.45</v>
      </c>
      <c r="AE31" s="10">
        <f t="shared" ref="AE31" si="76">AD31*(1+AE32)</f>
        <v>725.3950000000001</v>
      </c>
      <c r="AF31" s="10">
        <f t="shared" ref="AF31" si="77">AE31*(1+AF32)</f>
        <v>797.93450000000018</v>
      </c>
      <c r="AG31" s="10">
        <f t="shared" ref="AG31" si="78">AF31*(1+AG32)</f>
        <v>877.72795000000031</v>
      </c>
      <c r="AH31" s="10">
        <f t="shared" ref="AH31" si="79">AG31*(1+AH32)</f>
        <v>921.61434750000035</v>
      </c>
      <c r="AL31" t="s">
        <v>18</v>
      </c>
      <c r="AN31" s="10">
        <f>AB31+P31</f>
        <v>1006</v>
      </c>
      <c r="AO31" s="10">
        <f>AN31*(1+AO32)</f>
        <v>1111.6299999999999</v>
      </c>
      <c r="AP31" s="10">
        <f t="shared" ref="AP31" si="80">AO31*(1+AP32)</f>
        <v>1228.35115</v>
      </c>
      <c r="AQ31" s="10">
        <f t="shared" ref="AQ31" si="81">AP31*(1+AQ32)</f>
        <v>1357.32802075</v>
      </c>
      <c r="AR31" s="10">
        <f t="shared" ref="AR31" si="82">AQ31*(1+AR32)</f>
        <v>1499.84746292875</v>
      </c>
      <c r="AS31" s="10">
        <f t="shared" ref="AS31" si="83">AR31*(1+AS32)</f>
        <v>1657.3314465362687</v>
      </c>
      <c r="AT31" s="10">
        <f t="shared" ref="AT31" si="84">AS31*(1+AT32)</f>
        <v>1740.1980188630821</v>
      </c>
    </row>
    <row r="32" spans="2:46" x14ac:dyDescent="0.25">
      <c r="B32" s="8" t="s">
        <v>21</v>
      </c>
      <c r="D32" s="12"/>
      <c r="E32" s="13">
        <v>0.06</v>
      </c>
      <c r="F32" s="13">
        <v>0.06</v>
      </c>
      <c r="G32" s="13">
        <v>0.06</v>
      </c>
      <c r="H32" s="13">
        <v>0.06</v>
      </c>
      <c r="I32" s="13">
        <v>0.06</v>
      </c>
      <c r="J32" s="13">
        <v>0.05</v>
      </c>
      <c r="N32" s="8" t="s">
        <v>21</v>
      </c>
      <c r="P32" s="12"/>
      <c r="Q32" s="13">
        <f>Q20</f>
        <v>0.1</v>
      </c>
      <c r="R32" s="13">
        <f t="shared" ref="R32:U32" si="85">R20</f>
        <v>0.1</v>
      </c>
      <c r="S32" s="13">
        <f t="shared" si="85"/>
        <v>0.1</v>
      </c>
      <c r="T32" s="13">
        <f t="shared" si="85"/>
        <v>0.1</v>
      </c>
      <c r="U32" s="13">
        <f t="shared" si="85"/>
        <v>0.1</v>
      </c>
      <c r="V32" s="13">
        <v>0.05</v>
      </c>
      <c r="Z32" s="8" t="s">
        <v>21</v>
      </c>
      <c r="AB32" s="12"/>
      <c r="AC32" s="13">
        <f>AC20</f>
        <v>0.1</v>
      </c>
      <c r="AD32" s="13">
        <f t="shared" ref="AD32:AG32" si="86">AD20</f>
        <v>0.1</v>
      </c>
      <c r="AE32" s="13">
        <f t="shared" si="86"/>
        <v>0.1</v>
      </c>
      <c r="AF32" s="13">
        <f t="shared" si="86"/>
        <v>0.1</v>
      </c>
      <c r="AG32" s="13">
        <f t="shared" si="86"/>
        <v>0.1</v>
      </c>
      <c r="AH32" s="13">
        <v>0.05</v>
      </c>
      <c r="AL32" s="8" t="s">
        <v>21</v>
      </c>
      <c r="AN32" s="12"/>
      <c r="AO32" s="13">
        <f>AO20</f>
        <v>0.105</v>
      </c>
      <c r="AP32" s="13">
        <f t="shared" ref="AP32:AS32" si="87">AP20</f>
        <v>0.105</v>
      </c>
      <c r="AQ32" s="13">
        <f t="shared" si="87"/>
        <v>0.105</v>
      </c>
      <c r="AR32" s="13">
        <f t="shared" si="87"/>
        <v>0.105</v>
      </c>
      <c r="AS32" s="13">
        <f t="shared" si="87"/>
        <v>0.105</v>
      </c>
      <c r="AT32" s="13">
        <v>0.05</v>
      </c>
    </row>
    <row r="34" spans="2:46" x14ac:dyDescent="0.25">
      <c r="B34" t="s">
        <v>17</v>
      </c>
      <c r="D34" s="10">
        <v>475</v>
      </c>
      <c r="E34" s="10">
        <f>D34*(1+E35)</f>
        <v>503.5</v>
      </c>
      <c r="F34" s="10">
        <f t="shared" ref="F34:I34" si="88">E34*(1+F35)</f>
        <v>533.71</v>
      </c>
      <c r="G34" s="10">
        <f t="shared" si="88"/>
        <v>565.73260000000005</v>
      </c>
      <c r="H34" s="10">
        <f t="shared" si="88"/>
        <v>599.67655600000012</v>
      </c>
      <c r="I34" s="10">
        <f t="shared" si="88"/>
        <v>635.65714936000018</v>
      </c>
      <c r="J34" s="10">
        <f>J35*J31</f>
        <v>712.54489992100821</v>
      </c>
      <c r="N34" t="s">
        <v>17</v>
      </c>
      <c r="P34" s="10">
        <v>475</v>
      </c>
      <c r="Q34" s="10">
        <f>P34*(1+Q35)</f>
        <v>522.5</v>
      </c>
      <c r="R34" s="10">
        <f t="shared" ref="R34" si="89">Q34*(1+R35)</f>
        <v>574.75</v>
      </c>
      <c r="S34" s="10">
        <f t="shared" ref="S34" si="90">R34*(1+S35)</f>
        <v>632.22500000000002</v>
      </c>
      <c r="T34" s="10">
        <f t="shared" ref="T34" si="91">S34*(1+T35)</f>
        <v>695.4475000000001</v>
      </c>
      <c r="U34" s="10">
        <f t="shared" ref="U34" si="92">T34*(1+U35)</f>
        <v>764.99225000000013</v>
      </c>
      <c r="V34" s="10">
        <f>V35*V31</f>
        <v>857.52410205000035</v>
      </c>
      <c r="Z34" t="s">
        <v>17</v>
      </c>
      <c r="AB34" s="10">
        <v>729</v>
      </c>
      <c r="AC34" s="10">
        <f>AB34*(1+AC35)</f>
        <v>801.90000000000009</v>
      </c>
      <c r="AD34" s="10">
        <f t="shared" ref="AD34" si="93">AC34*(1+AD35)</f>
        <v>882.09000000000015</v>
      </c>
      <c r="AE34" s="10">
        <f t="shared" ref="AE34" si="94">AD34*(1+AE35)</f>
        <v>970.29900000000021</v>
      </c>
      <c r="AF34" s="10">
        <f t="shared" ref="AF34" si="95">AE34*(1+AF35)</f>
        <v>1067.3289000000002</v>
      </c>
      <c r="AG34" s="10">
        <f t="shared" ref="AG34" si="96">AF34*(1+AG35)</f>
        <v>1174.0617900000004</v>
      </c>
      <c r="AH34" s="10">
        <f>AH35*AH31</f>
        <v>1013.7757822500005</v>
      </c>
      <c r="AL34" t="s">
        <v>17</v>
      </c>
      <c r="AN34" s="10">
        <f>AB34+P34</f>
        <v>1204</v>
      </c>
      <c r="AO34" s="10">
        <f>AN34*(1+AO35)</f>
        <v>1330.42</v>
      </c>
      <c r="AP34" s="10">
        <f t="shared" ref="AP34" si="97">AO34*(1+AP35)</f>
        <v>1470.1141</v>
      </c>
      <c r="AQ34" s="10">
        <f t="shared" ref="AQ34" si="98">AP34*(1+AQ35)</f>
        <v>1624.4760805000001</v>
      </c>
      <c r="AR34" s="10">
        <f t="shared" ref="AR34" si="99">AQ34*(1+AR35)</f>
        <v>1795.0460689525</v>
      </c>
      <c r="AS34" s="10">
        <f t="shared" ref="AS34" si="100">AR34*(1+AS35)</f>
        <v>1983.5259061925126</v>
      </c>
      <c r="AT34" s="10">
        <f>AT35*AT31</f>
        <v>1914.2178207493905</v>
      </c>
    </row>
    <row r="35" spans="2:46" x14ac:dyDescent="0.25">
      <c r="B35" s="8" t="s">
        <v>22</v>
      </c>
      <c r="E35" s="13">
        <v>0.06</v>
      </c>
      <c r="F35" s="13">
        <v>0.06</v>
      </c>
      <c r="G35" s="13">
        <v>0.06</v>
      </c>
      <c r="H35" s="13">
        <v>0.06</v>
      </c>
      <c r="I35" s="13">
        <v>0.06</v>
      </c>
      <c r="J35" s="16">
        <v>1.1000000000000001</v>
      </c>
      <c r="N35" s="8" t="s">
        <v>22</v>
      </c>
      <c r="Q35" s="13">
        <f>Q20</f>
        <v>0.1</v>
      </c>
      <c r="R35" s="13">
        <f t="shared" ref="R35:U35" si="101">R20</f>
        <v>0.1</v>
      </c>
      <c r="S35" s="13">
        <f t="shared" si="101"/>
        <v>0.1</v>
      </c>
      <c r="T35" s="13">
        <f t="shared" si="101"/>
        <v>0.1</v>
      </c>
      <c r="U35" s="13">
        <f t="shared" si="101"/>
        <v>0.1</v>
      </c>
      <c r="V35" s="16">
        <v>1.1000000000000001</v>
      </c>
      <c r="Z35" s="8" t="s">
        <v>22</v>
      </c>
      <c r="AC35" s="13">
        <f>AC20</f>
        <v>0.1</v>
      </c>
      <c r="AD35" s="13">
        <f t="shared" ref="AD35:AG35" si="102">AD20</f>
        <v>0.1</v>
      </c>
      <c r="AE35" s="13">
        <f t="shared" si="102"/>
        <v>0.1</v>
      </c>
      <c r="AF35" s="13">
        <f t="shared" si="102"/>
        <v>0.1</v>
      </c>
      <c r="AG35" s="13">
        <f t="shared" si="102"/>
        <v>0.1</v>
      </c>
      <c r="AH35" s="16">
        <v>1.1000000000000001</v>
      </c>
      <c r="AL35" s="8" t="s">
        <v>22</v>
      </c>
      <c r="AO35" s="13">
        <f>AO20</f>
        <v>0.105</v>
      </c>
      <c r="AP35" s="13">
        <f t="shared" ref="AP35:AS35" si="103">AP20</f>
        <v>0.105</v>
      </c>
      <c r="AQ35" s="13">
        <f t="shared" si="103"/>
        <v>0.105</v>
      </c>
      <c r="AR35" s="13">
        <f t="shared" si="103"/>
        <v>0.105</v>
      </c>
      <c r="AS35" s="13">
        <f t="shared" si="103"/>
        <v>0.105</v>
      </c>
      <c r="AT35" s="16">
        <v>1.1000000000000001</v>
      </c>
    </row>
    <row r="37" spans="2:46" x14ac:dyDescent="0.25">
      <c r="B37" t="s">
        <v>19</v>
      </c>
      <c r="D37" s="10">
        <f t="shared" ref="D37:J37" si="104">D38*D19</f>
        <v>1956.8999999999999</v>
      </c>
      <c r="E37" s="10">
        <f t="shared" si="104"/>
        <v>2074.3139999999999</v>
      </c>
      <c r="F37" s="10">
        <f t="shared" si="104"/>
        <v>2198.7728400000001</v>
      </c>
      <c r="G37" s="10">
        <f t="shared" si="104"/>
        <v>2330.6992104000001</v>
      </c>
      <c r="H37" s="10">
        <f t="shared" si="104"/>
        <v>2470.5411630240005</v>
      </c>
      <c r="I37" s="10">
        <f t="shared" si="104"/>
        <v>2618.7736328054402</v>
      </c>
      <c r="J37" s="10">
        <f t="shared" si="104"/>
        <v>2749.7123144457123</v>
      </c>
      <c r="N37" t="s">
        <v>19</v>
      </c>
      <c r="P37" s="10">
        <f t="shared" ref="P37:V37" si="105">P38*P19</f>
        <v>1956.8999999999999</v>
      </c>
      <c r="Q37" s="10">
        <f t="shared" si="105"/>
        <v>2152.59</v>
      </c>
      <c r="R37" s="10">
        <f t="shared" si="105"/>
        <v>2367.8490000000002</v>
      </c>
      <c r="S37" s="10">
        <f t="shared" si="105"/>
        <v>2604.6339000000003</v>
      </c>
      <c r="T37" s="10">
        <f t="shared" si="105"/>
        <v>2865.0972900000006</v>
      </c>
      <c r="U37" s="10">
        <f t="shared" si="105"/>
        <v>3151.6070190000009</v>
      </c>
      <c r="V37" s="10">
        <f t="shared" si="105"/>
        <v>3309.1873699500011</v>
      </c>
      <c r="Z37" t="s">
        <v>19</v>
      </c>
      <c r="AB37" s="10">
        <f t="shared" ref="AB37:AH37" si="106">AB38*AB19</f>
        <v>3822.6</v>
      </c>
      <c r="AC37" s="10">
        <f t="shared" si="106"/>
        <v>4204.8599999999997</v>
      </c>
      <c r="AD37" s="10">
        <f t="shared" si="106"/>
        <v>4625.3460000000005</v>
      </c>
      <c r="AE37" s="10">
        <f t="shared" si="106"/>
        <v>5087.8806000000004</v>
      </c>
      <c r="AF37" s="10">
        <f t="shared" si="106"/>
        <v>5596.6686600000012</v>
      </c>
      <c r="AG37" s="10">
        <f t="shared" si="106"/>
        <v>6156.3355260000017</v>
      </c>
      <c r="AH37" s="10">
        <f t="shared" si="106"/>
        <v>6464.1523023000027</v>
      </c>
      <c r="AL37" t="s">
        <v>19</v>
      </c>
      <c r="AN37" s="10">
        <f t="shared" ref="AN37:AT37" si="107">AN38*AN19</f>
        <v>5779.5</v>
      </c>
      <c r="AO37" s="10">
        <f t="shared" si="107"/>
        <v>6386.3474999999999</v>
      </c>
      <c r="AP37" s="10">
        <f t="shared" si="107"/>
        <v>7056.9139874999992</v>
      </c>
      <c r="AQ37" s="10">
        <f t="shared" si="107"/>
        <v>7797.8899561874996</v>
      </c>
      <c r="AR37" s="10">
        <f t="shared" si="107"/>
        <v>8616.668401587187</v>
      </c>
      <c r="AS37" s="10">
        <f t="shared" si="107"/>
        <v>9521.4185837538425</v>
      </c>
      <c r="AT37" s="10">
        <f t="shared" si="107"/>
        <v>9997.4895129415345</v>
      </c>
    </row>
    <row r="38" spans="2:46" x14ac:dyDescent="0.25">
      <c r="B38" s="8" t="s">
        <v>15</v>
      </c>
      <c r="D38" s="9">
        <v>0.15</v>
      </c>
      <c r="E38" s="13">
        <v>0.15</v>
      </c>
      <c r="F38" s="13">
        <v>0.15</v>
      </c>
      <c r="G38" s="13">
        <v>0.15</v>
      </c>
      <c r="H38" s="13">
        <v>0.15</v>
      </c>
      <c r="I38" s="13">
        <v>0.15</v>
      </c>
      <c r="J38" s="13">
        <v>0.15</v>
      </c>
      <c r="N38" s="8" t="s">
        <v>15</v>
      </c>
      <c r="P38" s="9">
        <v>0.15</v>
      </c>
      <c r="Q38" s="13">
        <v>0.15</v>
      </c>
      <c r="R38" s="13">
        <v>0.15</v>
      </c>
      <c r="S38" s="13">
        <v>0.15</v>
      </c>
      <c r="T38" s="13">
        <v>0.15</v>
      </c>
      <c r="U38" s="13">
        <v>0.15</v>
      </c>
      <c r="V38" s="13">
        <v>0.15</v>
      </c>
      <c r="Z38" s="8" t="s">
        <v>15</v>
      </c>
      <c r="AB38" s="9">
        <v>0.15</v>
      </c>
      <c r="AC38" s="13">
        <v>0.15</v>
      </c>
      <c r="AD38" s="13">
        <v>0.15</v>
      </c>
      <c r="AE38" s="13">
        <v>0.15</v>
      </c>
      <c r="AF38" s="13">
        <v>0.15</v>
      </c>
      <c r="AG38" s="13">
        <v>0.15</v>
      </c>
      <c r="AH38" s="13">
        <v>0.15</v>
      </c>
      <c r="AL38" s="8" t="s">
        <v>15</v>
      </c>
      <c r="AN38" s="9">
        <v>0.15</v>
      </c>
      <c r="AO38" s="13">
        <v>0.15</v>
      </c>
      <c r="AP38" s="13">
        <v>0.15</v>
      </c>
      <c r="AQ38" s="13">
        <v>0.15</v>
      </c>
      <c r="AR38" s="13">
        <v>0.15</v>
      </c>
      <c r="AS38" s="13">
        <v>0.15</v>
      </c>
      <c r="AT38" s="13">
        <v>0.15</v>
      </c>
    </row>
    <row r="40" spans="2:46" x14ac:dyDescent="0.25">
      <c r="B40" t="s">
        <v>26</v>
      </c>
      <c r="E40" s="10">
        <f>E37-D37</f>
        <v>117.41399999999999</v>
      </c>
      <c r="F40" s="10">
        <f t="shared" ref="F40:J40" si="108">F37-E37</f>
        <v>124.45884000000024</v>
      </c>
      <c r="G40" s="10">
        <f t="shared" si="108"/>
        <v>131.9263704</v>
      </c>
      <c r="H40" s="10">
        <f t="shared" si="108"/>
        <v>139.84195262400044</v>
      </c>
      <c r="I40" s="10">
        <f t="shared" si="108"/>
        <v>148.2324697814397</v>
      </c>
      <c r="J40" s="10">
        <f t="shared" si="108"/>
        <v>130.93868164027208</v>
      </c>
      <c r="N40" t="s">
        <v>26</v>
      </c>
      <c r="Q40" s="10">
        <f>Q37-P37</f>
        <v>195.69000000000028</v>
      </c>
      <c r="R40" s="10">
        <f t="shared" ref="R40:V40" si="109">R37-Q37</f>
        <v>215.25900000000001</v>
      </c>
      <c r="S40" s="10">
        <f t="shared" si="109"/>
        <v>236.78490000000011</v>
      </c>
      <c r="T40" s="10">
        <f t="shared" si="109"/>
        <v>260.46339000000035</v>
      </c>
      <c r="U40" s="10">
        <f t="shared" si="109"/>
        <v>286.50972900000033</v>
      </c>
      <c r="V40" s="10">
        <f t="shared" si="109"/>
        <v>157.58035095000014</v>
      </c>
      <c r="Z40" t="s">
        <v>26</v>
      </c>
      <c r="AC40" s="10">
        <f>AC37-AB37</f>
        <v>382.25999999999976</v>
      </c>
      <c r="AD40" s="10">
        <f t="shared" ref="AD40:AH40" si="110">AD37-AC37</f>
        <v>420.48600000000079</v>
      </c>
      <c r="AE40" s="10">
        <f t="shared" si="110"/>
        <v>462.53459999999995</v>
      </c>
      <c r="AF40" s="10">
        <f t="shared" si="110"/>
        <v>508.78806000000077</v>
      </c>
      <c r="AG40" s="10">
        <f t="shared" si="110"/>
        <v>559.66686600000048</v>
      </c>
      <c r="AH40" s="10">
        <f t="shared" si="110"/>
        <v>307.81677630000104</v>
      </c>
      <c r="AL40" t="s">
        <v>26</v>
      </c>
      <c r="AO40" s="10">
        <f>AO37-AN37</f>
        <v>606.84749999999985</v>
      </c>
      <c r="AP40" s="10">
        <f t="shared" ref="AP40" si="111">AP37-AO37</f>
        <v>670.56648749999931</v>
      </c>
      <c r="AQ40" s="10">
        <f t="shared" ref="AQ40" si="112">AQ37-AP37</f>
        <v>740.97596868750043</v>
      </c>
      <c r="AR40" s="10">
        <f t="shared" ref="AR40" si="113">AR37-AQ37</f>
        <v>818.77844539968737</v>
      </c>
      <c r="AS40" s="10">
        <f t="shared" ref="AS40" si="114">AS37-AR37</f>
        <v>904.75018216665558</v>
      </c>
      <c r="AT40" s="10">
        <f t="shared" ref="AT40" si="115">AT37-AS37</f>
        <v>476.07092918769195</v>
      </c>
    </row>
    <row r="42" spans="2:46" x14ac:dyDescent="0.25">
      <c r="B42" s="19" t="s">
        <v>27</v>
      </c>
      <c r="C42" s="20"/>
      <c r="D42" s="20"/>
      <c r="E42" s="21">
        <f>E28+E31-E34-E40</f>
        <v>133.25819200000001</v>
      </c>
      <c r="F42" s="21">
        <f t="shared" ref="F42:J42" si="116">F28+F31-F34-F40</f>
        <v>141.25368351999975</v>
      </c>
      <c r="G42" s="21">
        <f t="shared" si="116"/>
        <v>149.7289045312001</v>
      </c>
      <c r="H42" s="21">
        <f t="shared" si="116"/>
        <v>158.71263880307163</v>
      </c>
      <c r="I42" s="21">
        <f t="shared" si="116"/>
        <v>168.2353971312566</v>
      </c>
      <c r="J42" s="22">
        <f t="shared" si="116"/>
        <v>156.24768552505111</v>
      </c>
      <c r="N42" s="19" t="s">
        <v>27</v>
      </c>
      <c r="O42" s="20"/>
      <c r="P42" s="20"/>
      <c r="Q42" s="21">
        <f>Q28+Q31-Q34-Q40</f>
        <v>156.28535999999974</v>
      </c>
      <c r="R42" s="21">
        <f t="shared" ref="R42:V42" si="117">R28+R31-R34-R40</f>
        <v>171.91389600000002</v>
      </c>
      <c r="S42" s="21">
        <f t="shared" si="117"/>
        <v>189.1052856</v>
      </c>
      <c r="T42" s="21">
        <f t="shared" si="117"/>
        <v>208.01581415999988</v>
      </c>
      <c r="U42" s="21">
        <f t="shared" si="117"/>
        <v>228.81739557599997</v>
      </c>
      <c r="V42" s="22">
        <f t="shared" si="117"/>
        <v>329.23089030480003</v>
      </c>
      <c r="Z42" s="19" t="s">
        <v>27</v>
      </c>
      <c r="AA42" s="20"/>
      <c r="AB42" s="20"/>
      <c r="AC42" s="21">
        <f>AC28+AC31-AC34-AC40</f>
        <v>1518.1880000000001</v>
      </c>
      <c r="AD42" s="21">
        <f t="shared" ref="AD42:AH42" si="118">AD28+AD31-AD34-AD40</f>
        <v>1670.0067999999992</v>
      </c>
      <c r="AE42" s="21">
        <f t="shared" si="118"/>
        <v>1837.0074800000002</v>
      </c>
      <c r="AF42" s="21">
        <f t="shared" si="118"/>
        <v>2020.7082279999995</v>
      </c>
      <c r="AG42" s="21">
        <f t="shared" si="118"/>
        <v>2222.7790508000007</v>
      </c>
      <c r="AH42" s="22">
        <f t="shared" si="118"/>
        <v>2832.7405335899994</v>
      </c>
      <c r="AL42" s="19" t="s">
        <v>27</v>
      </c>
      <c r="AM42" s="20"/>
      <c r="AN42" s="20"/>
      <c r="AO42" s="21">
        <f>AO28+AO31-AO34-AO40</f>
        <v>1726.6480559968004</v>
      </c>
      <c r="AP42" s="21">
        <f t="shared" ref="AP42:AT42" si="119">AP28+AP31-AP34-AP40</f>
        <v>1907.9461018764641</v>
      </c>
      <c r="AQ42" s="21">
        <f t="shared" si="119"/>
        <v>2108.2804425734917</v>
      </c>
      <c r="AR42" s="21">
        <f t="shared" si="119"/>
        <v>2329.6498890437097</v>
      </c>
      <c r="AS42" s="21">
        <f t="shared" si="119"/>
        <v>2574.2631273932975</v>
      </c>
      <c r="AT42" s="22">
        <f t="shared" si="119"/>
        <v>3345.3774266030068</v>
      </c>
    </row>
    <row r="43" spans="2:46" x14ac:dyDescent="0.25">
      <c r="B43" s="19" t="s">
        <v>28</v>
      </c>
      <c r="C43" s="20"/>
      <c r="D43" s="20"/>
      <c r="E43" s="23">
        <f>E42/(1+$L$7)^E17</f>
        <v>119.41500728095527</v>
      </c>
      <c r="F43" s="23">
        <f t="shared" ref="F43:I43" si="120">F42/(1+$L$7)^F17</f>
        <v>113.43047939405636</v>
      </c>
      <c r="G43" s="23">
        <f t="shared" si="120"/>
        <v>107.74586836722901</v>
      </c>
      <c r="H43" s="23">
        <f t="shared" si="120"/>
        <v>102.3461437545197</v>
      </c>
      <c r="I43" s="24">
        <f t="shared" si="120"/>
        <v>97.217028366414695</v>
      </c>
      <c r="N43" s="19" t="s">
        <v>28</v>
      </c>
      <c r="O43" s="20"/>
      <c r="P43" s="20"/>
      <c r="Q43" s="23">
        <f>Q42/(1+$T$14)^Q17</f>
        <v>140.35506061966748</v>
      </c>
      <c r="R43" s="23">
        <f>R42/(1+$T$14)^R17</f>
        <v>138.65340519230759</v>
      </c>
      <c r="S43" s="23">
        <f t="shared" ref="S43:U43" si="121">S42/(1+$T$14)^S17</f>
        <v>136.97238052226166</v>
      </c>
      <c r="T43" s="23">
        <f t="shared" si="121"/>
        <v>135.31173648359922</v>
      </c>
      <c r="U43" s="23">
        <f t="shared" si="121"/>
        <v>133.67122598290004</v>
      </c>
      <c r="Z43" s="19" t="s">
        <v>28</v>
      </c>
      <c r="AA43" s="20"/>
      <c r="AB43" s="20"/>
      <c r="AC43" s="23">
        <f>AC42/(1+$AJ$7)^AC17</f>
        <v>1354.4668227946916</v>
      </c>
      <c r="AD43" s="23">
        <f t="shared" ref="AD43:AG43" si="122">AD42/(1+$AJ$7)^AD17</f>
        <v>1329.2414453655938</v>
      </c>
      <c r="AE43" s="23">
        <f t="shared" si="122"/>
        <v>1304.4858614048433</v>
      </c>
      <c r="AF43" s="23">
        <f t="shared" si="122"/>
        <v>1280.1913215526504</v>
      </c>
      <c r="AG43" s="24">
        <f t="shared" si="122"/>
        <v>1256.3492393959327</v>
      </c>
      <c r="AL43" s="19" t="s">
        <v>28</v>
      </c>
      <c r="AM43" s="20"/>
      <c r="AN43" s="20"/>
      <c r="AO43" s="23">
        <f>AO42/(1+$AV$7)^AO17</f>
        <v>1541.9253938174679</v>
      </c>
      <c r="AP43" s="23">
        <f t="shared" ref="AP43:AS43" si="123">AP42/(1+$AV$7)^AP17</f>
        <v>1521.5463119916967</v>
      </c>
      <c r="AQ43" s="23">
        <f t="shared" si="123"/>
        <v>1501.4365732727488</v>
      </c>
      <c r="AR43" s="23">
        <f t="shared" si="123"/>
        <v>1481.592617848177</v>
      </c>
      <c r="AS43" s="23">
        <f t="shared" si="123"/>
        <v>1462.0109329543086</v>
      </c>
    </row>
    <row r="44" spans="2:46" x14ac:dyDescent="0.25">
      <c r="B44" s="17" t="s">
        <v>29</v>
      </c>
      <c r="C44" s="25"/>
      <c r="D44" s="25"/>
      <c r="E44" s="25"/>
      <c r="F44" s="25"/>
      <c r="G44" s="25"/>
      <c r="H44" s="25"/>
      <c r="I44" s="25"/>
      <c r="J44" s="18">
        <f>J42/(L13-J20)</f>
        <v>2717.3510526095847</v>
      </c>
      <c r="N44" s="17" t="s">
        <v>29</v>
      </c>
      <c r="O44" s="25"/>
      <c r="P44" s="25"/>
      <c r="Q44" s="25"/>
      <c r="R44" s="25"/>
      <c r="S44" s="25"/>
      <c r="T44" s="25"/>
      <c r="U44" s="25"/>
      <c r="V44" s="18">
        <f>V42/(X13-V20)</f>
        <v>6584.6178060960001</v>
      </c>
      <c r="Z44" s="17" t="s">
        <v>29</v>
      </c>
      <c r="AA44" s="25"/>
      <c r="AB44" s="25"/>
      <c r="AC44" s="25"/>
      <c r="AD44" s="25"/>
      <c r="AE44" s="25"/>
      <c r="AF44" s="25"/>
      <c r="AG44" s="25"/>
      <c r="AH44" s="18">
        <f>AH42/(AJ13-AH20)</f>
        <v>56654.810671799984</v>
      </c>
      <c r="AL44" s="17" t="s">
        <v>29</v>
      </c>
      <c r="AM44" s="25"/>
      <c r="AN44" s="25"/>
      <c r="AO44" s="25"/>
      <c r="AP44" s="25"/>
      <c r="AQ44" s="25"/>
      <c r="AR44" s="25"/>
      <c r="AS44" s="25"/>
      <c r="AT44" s="18">
        <f>AT42/(AV13-AT20)</f>
        <v>66907.548532060129</v>
      </c>
    </row>
    <row r="46" spans="2:46" x14ac:dyDescent="0.25">
      <c r="B46" t="s">
        <v>30</v>
      </c>
      <c r="D46" s="26">
        <f>J44/(1+L7)^I17</f>
        <v>1570.2569070939703</v>
      </c>
      <c r="N46" t="s">
        <v>30</v>
      </c>
      <c r="P46" s="26">
        <f>V44/(1+T14)^U17</f>
        <v>3846.6215934065326</v>
      </c>
      <c r="Z46" t="s">
        <v>30</v>
      </c>
      <c r="AB46" s="26">
        <f>AH44/(1+AJ7)^AG17</f>
        <v>32022.17884410001</v>
      </c>
      <c r="AL46" t="s">
        <v>30</v>
      </c>
      <c r="AN46" s="26">
        <f>AT44/(1+AV7)^AS17</f>
        <v>37999.05550062986</v>
      </c>
    </row>
    <row r="47" spans="2:46" x14ac:dyDescent="0.25">
      <c r="B47" s="25" t="s">
        <v>31</v>
      </c>
      <c r="C47" s="25"/>
      <c r="D47" s="27">
        <f>SUM(E43:I43)</f>
        <v>540.15452716317498</v>
      </c>
      <c r="N47" s="25" t="s">
        <v>31</v>
      </c>
      <c r="O47" s="25"/>
      <c r="P47" s="27">
        <f>SUM(Q43:U43)</f>
        <v>684.96380880073605</v>
      </c>
      <c r="Z47" s="25" t="s">
        <v>31</v>
      </c>
      <c r="AA47" s="25"/>
      <c r="AB47" s="27">
        <f>SUM(AC43:AG43)</f>
        <v>6524.734690513711</v>
      </c>
      <c r="AL47" s="25" t="s">
        <v>31</v>
      </c>
      <c r="AM47" s="25"/>
      <c r="AN47" s="27">
        <f>SUM(AO43:AS43)</f>
        <v>7508.511829884399</v>
      </c>
    </row>
    <row r="48" spans="2:46" x14ac:dyDescent="0.25">
      <c r="B48" t="s">
        <v>32</v>
      </c>
      <c r="D48" s="26">
        <f>D46+D47</f>
        <v>2110.4114342571452</v>
      </c>
      <c r="N48" t="s">
        <v>32</v>
      </c>
      <c r="P48" s="26">
        <f>P46+P47</f>
        <v>4531.585402207269</v>
      </c>
      <c r="Z48" s="1" t="s">
        <v>32</v>
      </c>
      <c r="AA48" s="1"/>
      <c r="AB48" s="32">
        <f>AB46+AB47</f>
        <v>38546.913534613719</v>
      </c>
      <c r="AL48" s="1" t="s">
        <v>32</v>
      </c>
      <c r="AM48" s="1"/>
      <c r="AN48" s="32">
        <f>AN46+AN47</f>
        <v>45507.567330514255</v>
      </c>
    </row>
    <row r="50" spans="10:12" x14ac:dyDescent="0.25">
      <c r="J50" s="1" t="s">
        <v>42</v>
      </c>
      <c r="K50" s="1"/>
      <c r="L50" s="30">
        <f>P48-D48</f>
        <v>2421.1739679501238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ACBB-E04B-4FFE-B9B9-25D27548124B}">
  <dimension ref="B2"/>
  <sheetViews>
    <sheetView showGridLines="0" workbookViewId="0">
      <selection activeCell="B2" sqref="B2:G2"/>
    </sheetView>
  </sheetViews>
  <sheetFormatPr defaultRowHeight="15" x14ac:dyDescent="0.25"/>
  <cols>
    <col min="1" max="1" width="5.7109375" customWidth="1"/>
  </cols>
  <sheetData>
    <row r="2" spans="2:2" ht="26.25" x14ac:dyDescent="0.4">
      <c r="B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</vt:lpstr>
      <vt:lpstr>Compaq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 (21053197)</dc:creator>
  <cp:lastModifiedBy>Theodor Hogan</cp:lastModifiedBy>
  <dcterms:created xsi:type="dcterms:W3CDTF">2024-03-21T16:51:08Z</dcterms:created>
  <dcterms:modified xsi:type="dcterms:W3CDTF">2024-03-26T11:01:26Z</dcterms:modified>
</cp:coreProperties>
</file>