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#Valuations/"/>
    </mc:Choice>
  </mc:AlternateContent>
  <xr:revisionPtr revIDLastSave="3816" documentId="8_{34CF9922-ED21-4C6C-9169-670F57F9ACD2}" xr6:coauthVersionLast="47" xr6:coauthVersionMax="47" xr10:uidLastSave="{76656184-5E50-4AFE-AAD0-56FF18119C08}"/>
  <bookViews>
    <workbookView xWindow="-120" yWindow="-120" windowWidth="38640" windowHeight="21240" xr2:uid="{649406CA-4EEF-4302-B40B-9610D1738A2D}"/>
  </bookViews>
  <sheets>
    <sheet name="Main" sheetId="10" r:id="rId1"/>
    <sheet name="Comp" sheetId="12" r:id="rId2"/>
    <sheet name="Model" sheetId="6" r:id="rId3"/>
    <sheet name="Stock Price" sheetId="13" r:id="rId4"/>
    <sheet name="Old_DCF" sheetId="8" r:id="rId5"/>
    <sheet name="Old_Main" sheetId="7" r:id="rId6"/>
    <sheet name="Old_Multiples" sheetId="5" r:id="rId7"/>
  </sheets>
  <definedNames>
    <definedName name="_xlchart.v1.0" hidden="1">Old_Main!$C$46:$F$46</definedName>
    <definedName name="_xlchart.v1.1" hidden="1">Old_Main!$C$47:$F$47</definedName>
    <definedName name="WACC">Main!$Q$93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8" i="10" l="1"/>
  <c r="H25" i="10"/>
  <c r="H23" i="10"/>
  <c r="N13" i="6"/>
  <c r="N12" i="6"/>
  <c r="N11" i="6"/>
  <c r="N10" i="6"/>
  <c r="N9" i="6"/>
  <c r="N8" i="6"/>
  <c r="N7" i="6"/>
  <c r="N6" i="6"/>
  <c r="N5" i="6"/>
  <c r="I12" i="6"/>
  <c r="I15" i="6" s="1"/>
  <c r="M12" i="6"/>
  <c r="D17" i="6"/>
  <c r="D31" i="6" s="1"/>
  <c r="D20" i="6"/>
  <c r="D29" i="6"/>
  <c r="D41" i="6"/>
  <c r="D42" i="6" s="1"/>
  <c r="D45" i="6" s="1"/>
  <c r="M29" i="6"/>
  <c r="M20" i="6"/>
  <c r="M17" i="6"/>
  <c r="M31" i="6" s="1"/>
  <c r="D21" i="6" l="1"/>
  <c r="D23" i="6" s="1"/>
  <c r="D25" i="6" s="1"/>
  <c r="D26" i="6" s="1"/>
  <c r="D33" i="6"/>
  <c r="M21" i="6"/>
  <c r="M23" i="6" s="1"/>
  <c r="M25" i="6" s="1"/>
  <c r="M33" i="6" l="1"/>
  <c r="M26" i="6"/>
  <c r="J6" i="7" l="1"/>
  <c r="J5" i="7"/>
  <c r="J4" i="7"/>
  <c r="I6" i="7"/>
  <c r="H41" i="6"/>
  <c r="L41" i="6"/>
  <c r="L42" i="6" s="1"/>
  <c r="L45" i="6" s="1"/>
  <c r="L29" i="6"/>
  <c r="L20" i="6"/>
  <c r="L17" i="6"/>
  <c r="X19" i="7"/>
  <c r="Y19" i="7" s="1"/>
  <c r="Z19" i="7" s="1"/>
  <c r="V19" i="7"/>
  <c r="U19" i="7" s="1"/>
  <c r="T19" i="7" s="1"/>
  <c r="Z20" i="7"/>
  <c r="Y20" i="7"/>
  <c r="X20" i="7"/>
  <c r="W20" i="7"/>
  <c r="V20" i="7"/>
  <c r="U20" i="7"/>
  <c r="T20" i="7"/>
  <c r="Z16" i="7"/>
  <c r="Y16" i="7"/>
  <c r="X16" i="7"/>
  <c r="W16" i="7"/>
  <c r="V16" i="7"/>
  <c r="U16" i="7"/>
  <c r="T14" i="7"/>
  <c r="X14" i="7"/>
  <c r="Y14" i="7" s="1"/>
  <c r="Z14" i="7" s="1"/>
  <c r="V14" i="7"/>
  <c r="U14" i="7"/>
  <c r="Q86" i="10"/>
  <c r="Q89" i="10"/>
  <c r="P90" i="10"/>
  <c r="P91" i="10"/>
  <c r="L21" i="6" l="1"/>
  <c r="L23" i="6" s="1"/>
  <c r="L25" i="6" s="1"/>
  <c r="L26" i="6" s="1"/>
  <c r="L31" i="6"/>
  <c r="P92" i="10"/>
  <c r="Q90" i="10" s="1"/>
  <c r="L33" i="6" l="1"/>
  <c r="Q91" i="10"/>
  <c r="Q93" i="10" s="1"/>
  <c r="Q92" i="10" l="1"/>
  <c r="I90" i="10" l="1"/>
  <c r="J90" i="10" s="1"/>
  <c r="K90" i="10" s="1"/>
  <c r="L90" i="10" s="1"/>
  <c r="L91" i="10" s="1"/>
  <c r="I82" i="10"/>
  <c r="J82" i="10" s="1"/>
  <c r="K82" i="10" s="1"/>
  <c r="L82" i="10" s="1"/>
  <c r="N28" i="10"/>
  <c r="O28" i="10" s="1"/>
  <c r="P28" i="10" s="1"/>
  <c r="Q28" i="10" s="1"/>
  <c r="L71" i="10"/>
  <c r="K71" i="10"/>
  <c r="J71" i="10"/>
  <c r="I71" i="10"/>
  <c r="L70" i="10"/>
  <c r="K70" i="10"/>
  <c r="J70" i="10"/>
  <c r="I70" i="10"/>
  <c r="L69" i="10"/>
  <c r="K69" i="10"/>
  <c r="J69" i="10"/>
  <c r="I69" i="10"/>
  <c r="L68" i="10"/>
  <c r="K68" i="10"/>
  <c r="J68" i="10"/>
  <c r="I68" i="10"/>
  <c r="L67" i="10"/>
  <c r="K67" i="10"/>
  <c r="J67" i="10"/>
  <c r="I67" i="10"/>
  <c r="L66" i="10"/>
  <c r="K66" i="10"/>
  <c r="J66" i="10"/>
  <c r="I66" i="10"/>
  <c r="L65" i="10"/>
  <c r="K65" i="10"/>
  <c r="J65" i="10"/>
  <c r="I65" i="10"/>
  <c r="H71" i="10"/>
  <c r="H70" i="10"/>
  <c r="H69" i="10"/>
  <c r="H68" i="10"/>
  <c r="H67" i="10"/>
  <c r="H66" i="10"/>
  <c r="H65" i="10"/>
  <c r="I64" i="10"/>
  <c r="J64" i="10" s="1"/>
  <c r="K64" i="10" s="1"/>
  <c r="L64" i="10" s="1"/>
  <c r="M64" i="10" s="1"/>
  <c r="N64" i="10" s="1"/>
  <c r="O64" i="10" s="1"/>
  <c r="P64" i="10" s="1"/>
  <c r="Q64" i="10" s="1"/>
  <c r="L58" i="10"/>
  <c r="L75" i="10" s="1"/>
  <c r="K58" i="10"/>
  <c r="K75" i="10" s="1"/>
  <c r="J58" i="10"/>
  <c r="J75" i="10" s="1"/>
  <c r="I58" i="10"/>
  <c r="I75" i="10" s="1"/>
  <c r="H58" i="10"/>
  <c r="H75" i="10" s="1"/>
  <c r="L50" i="10"/>
  <c r="K50" i="10"/>
  <c r="J50" i="10"/>
  <c r="I50" i="10"/>
  <c r="L47" i="10"/>
  <c r="M47" i="10" s="1"/>
  <c r="N47" i="10" s="1"/>
  <c r="O47" i="10" s="1"/>
  <c r="P47" i="10" s="1"/>
  <c r="Q47" i="10" s="1"/>
  <c r="K47" i="10"/>
  <c r="L46" i="10"/>
  <c r="M46" i="10" s="1"/>
  <c r="K46" i="10"/>
  <c r="J46" i="10"/>
  <c r="I46" i="10"/>
  <c r="H46" i="10"/>
  <c r="L42" i="10"/>
  <c r="K42" i="10"/>
  <c r="J42" i="10"/>
  <c r="I42" i="10"/>
  <c r="H42" i="10"/>
  <c r="L39" i="10"/>
  <c r="K39" i="10"/>
  <c r="L37" i="10"/>
  <c r="K37" i="10"/>
  <c r="J37" i="10"/>
  <c r="I37" i="10"/>
  <c r="H37" i="10"/>
  <c r="L34" i="10"/>
  <c r="K34" i="10"/>
  <c r="H34" i="10"/>
  <c r="L33" i="10"/>
  <c r="K33" i="10"/>
  <c r="J33" i="10"/>
  <c r="I33" i="10"/>
  <c r="H33" i="10"/>
  <c r="L32" i="10"/>
  <c r="K32" i="10"/>
  <c r="J32" i="10"/>
  <c r="I32" i="10"/>
  <c r="H32" i="10"/>
  <c r="I30" i="10"/>
  <c r="J30" i="10" s="1"/>
  <c r="K30" i="10" s="1"/>
  <c r="L30" i="10" s="1"/>
  <c r="M30" i="10" s="1"/>
  <c r="N30" i="10" s="1"/>
  <c r="O30" i="10" s="1"/>
  <c r="P30" i="10" s="1"/>
  <c r="Q30" i="10" s="1"/>
  <c r="G3" i="10"/>
  <c r="L17" i="10"/>
  <c r="K17" i="10"/>
  <c r="J17" i="10"/>
  <c r="I17" i="10"/>
  <c r="H17" i="10"/>
  <c r="L13" i="10"/>
  <c r="K13" i="10"/>
  <c r="J13" i="10"/>
  <c r="I13" i="10"/>
  <c r="H13" i="10"/>
  <c r="L11" i="10"/>
  <c r="L27" i="10" s="1"/>
  <c r="K11" i="10"/>
  <c r="J11" i="10"/>
  <c r="I11" i="10"/>
  <c r="H11" i="10"/>
  <c r="K8" i="10"/>
  <c r="J8" i="10"/>
  <c r="I8" i="10"/>
  <c r="H8" i="10"/>
  <c r="L7" i="10"/>
  <c r="K7" i="10"/>
  <c r="J7" i="10"/>
  <c r="I7" i="10"/>
  <c r="H7" i="10"/>
  <c r="L4" i="10"/>
  <c r="K4" i="10"/>
  <c r="J4" i="10"/>
  <c r="I4" i="10"/>
  <c r="H4" i="10"/>
  <c r="L3" i="10"/>
  <c r="M3" i="10" s="1"/>
  <c r="K3" i="10"/>
  <c r="J3" i="10"/>
  <c r="I3" i="10"/>
  <c r="H3" i="10"/>
  <c r="I2" i="10"/>
  <c r="J2" i="10" s="1"/>
  <c r="K2" i="10" s="1"/>
  <c r="L2" i="10" s="1"/>
  <c r="M2" i="10" s="1"/>
  <c r="N2" i="10" s="1"/>
  <c r="O2" i="10" s="1"/>
  <c r="P2" i="10" s="1"/>
  <c r="Q2" i="10" s="1"/>
  <c r="V61" i="6"/>
  <c r="L43" i="10" s="1"/>
  <c r="V54" i="6"/>
  <c r="L38" i="10" s="1"/>
  <c r="M38" i="10" s="1"/>
  <c r="N38" i="10" s="1"/>
  <c r="O38" i="10" s="1"/>
  <c r="P38" i="10" s="1"/>
  <c r="Q38" i="10" s="1"/>
  <c r="V47" i="6"/>
  <c r="V51" i="6" s="1"/>
  <c r="U61" i="6"/>
  <c r="K43" i="10" s="1"/>
  <c r="U54" i="6"/>
  <c r="K38" i="10" s="1"/>
  <c r="U47" i="6"/>
  <c r="U51" i="6" s="1"/>
  <c r="T65" i="6"/>
  <c r="J47" i="10" s="1"/>
  <c r="T61" i="6"/>
  <c r="J43" i="10" s="1"/>
  <c r="T54" i="6"/>
  <c r="J38" i="10" s="1"/>
  <c r="T53" i="6"/>
  <c r="J39" i="10" s="1"/>
  <c r="T50" i="6"/>
  <c r="J34" i="10" s="1"/>
  <c r="T47" i="6"/>
  <c r="S65" i="6"/>
  <c r="I47" i="10" s="1"/>
  <c r="S61" i="6"/>
  <c r="I43" i="10" s="1"/>
  <c r="S54" i="6"/>
  <c r="I38" i="10" s="1"/>
  <c r="S53" i="6"/>
  <c r="I39" i="10" s="1"/>
  <c r="S50" i="6"/>
  <c r="I34" i="10" s="1"/>
  <c r="S47" i="6"/>
  <c r="R68" i="6"/>
  <c r="H50" i="10" s="1"/>
  <c r="R65" i="6"/>
  <c r="H47" i="10" s="1"/>
  <c r="R61" i="6"/>
  <c r="H43" i="10" s="1"/>
  <c r="R54" i="6"/>
  <c r="H38" i="10" s="1"/>
  <c r="R53" i="6"/>
  <c r="H39" i="10" s="1"/>
  <c r="R47" i="6"/>
  <c r="R51" i="6" s="1"/>
  <c r="Q68" i="6"/>
  <c r="Q65" i="6"/>
  <c r="Q61" i="6"/>
  <c r="Q62" i="6" s="1"/>
  <c r="Q54" i="6"/>
  <c r="Q53" i="6"/>
  <c r="Q47" i="6"/>
  <c r="Q51" i="6" s="1"/>
  <c r="P68" i="6"/>
  <c r="P65" i="6"/>
  <c r="P61" i="6"/>
  <c r="P62" i="6" s="1"/>
  <c r="P54" i="6"/>
  <c r="P53" i="6"/>
  <c r="P47" i="6"/>
  <c r="P51" i="6" s="1"/>
  <c r="P67" i="6" l="1"/>
  <c r="P69" i="6" s="1"/>
  <c r="T51" i="6"/>
  <c r="T56" i="6" s="1"/>
  <c r="S51" i="6"/>
  <c r="S56" i="6" s="1"/>
  <c r="U56" i="6"/>
  <c r="I31" i="10"/>
  <c r="I35" i="10" s="1"/>
  <c r="I40" i="10" s="1"/>
  <c r="K31" i="10"/>
  <c r="M39" i="10"/>
  <c r="N39" i="10" s="1"/>
  <c r="R56" i="6"/>
  <c r="S62" i="6"/>
  <c r="S67" i="6" s="1"/>
  <c r="S69" i="6" s="1"/>
  <c r="H31" i="10"/>
  <c r="H35" i="10" s="1"/>
  <c r="H40" i="10" s="1"/>
  <c r="P56" i="6"/>
  <c r="V56" i="6"/>
  <c r="R62" i="6"/>
  <c r="R67" i="6" s="1"/>
  <c r="R69" i="6" s="1"/>
  <c r="J31" i="10"/>
  <c r="J35" i="10" s="1"/>
  <c r="J40" i="10" s="1"/>
  <c r="L31" i="10"/>
  <c r="M31" i="10" s="1"/>
  <c r="N31" i="10" s="1"/>
  <c r="O31" i="10" s="1"/>
  <c r="P31" i="10" s="1"/>
  <c r="Q31" i="10" s="1"/>
  <c r="D99" i="10" s="1"/>
  <c r="V62" i="6"/>
  <c r="V67" i="6" s="1"/>
  <c r="V69" i="6" s="1"/>
  <c r="U62" i="6"/>
  <c r="U67" i="6" s="1"/>
  <c r="U69" i="6" s="1"/>
  <c r="Q67" i="6"/>
  <c r="Q69" i="6" s="1"/>
  <c r="T62" i="6"/>
  <c r="T67" i="6" s="1"/>
  <c r="T69" i="6" s="1"/>
  <c r="I21" i="10"/>
  <c r="J79" i="10"/>
  <c r="L26" i="10"/>
  <c r="H26" i="10"/>
  <c r="L44" i="10"/>
  <c r="L48" i="10" s="1"/>
  <c r="L52" i="10" s="1"/>
  <c r="J23" i="10"/>
  <c r="H27" i="10"/>
  <c r="J55" i="10"/>
  <c r="K23" i="10"/>
  <c r="L60" i="10"/>
  <c r="J26" i="10"/>
  <c r="K27" i="10"/>
  <c r="I26" i="10"/>
  <c r="J27" i="10"/>
  <c r="K26" i="10"/>
  <c r="I27" i="10"/>
  <c r="Q46" i="10"/>
  <c r="D98" i="10" s="1"/>
  <c r="M17" i="10"/>
  <c r="M69" i="10" s="1"/>
  <c r="M4" i="10"/>
  <c r="M33" i="10" s="1"/>
  <c r="N3" i="10"/>
  <c r="M32" i="10"/>
  <c r="K57" i="10"/>
  <c r="I79" i="10"/>
  <c r="I44" i="10"/>
  <c r="I48" i="10" s="1"/>
  <c r="I52" i="10" s="1"/>
  <c r="H79" i="10"/>
  <c r="K79" i="10"/>
  <c r="L21" i="10"/>
  <c r="I60" i="10"/>
  <c r="L56" i="10"/>
  <c r="J44" i="10"/>
  <c r="J48" i="10" s="1"/>
  <c r="J52" i="10" s="1"/>
  <c r="H91" i="10"/>
  <c r="J91" i="10"/>
  <c r="I91" i="10"/>
  <c r="K91" i="10"/>
  <c r="M11" i="10"/>
  <c r="H57" i="10"/>
  <c r="K60" i="10"/>
  <c r="I57" i="10"/>
  <c r="K61" i="10"/>
  <c r="H55" i="10"/>
  <c r="K56" i="10"/>
  <c r="I55" i="10"/>
  <c r="K44" i="10"/>
  <c r="K48" i="10" s="1"/>
  <c r="K52" i="10" s="1"/>
  <c r="J57" i="10"/>
  <c r="K35" i="10"/>
  <c r="K40" i="10" s="1"/>
  <c r="I56" i="10"/>
  <c r="L57" i="10"/>
  <c r="H56" i="10"/>
  <c r="L55" i="10"/>
  <c r="J56" i="10"/>
  <c r="I61" i="10"/>
  <c r="L22" i="10"/>
  <c r="L23" i="10"/>
  <c r="J60" i="10"/>
  <c r="H61" i="10"/>
  <c r="L61" i="10"/>
  <c r="H60" i="10"/>
  <c r="H44" i="10"/>
  <c r="H48" i="10" s="1"/>
  <c r="H52" i="10" s="1"/>
  <c r="H5" i="10"/>
  <c r="H9" i="10" s="1"/>
  <c r="H16" i="10" s="1"/>
  <c r="H18" i="10" s="1"/>
  <c r="H24" i="10"/>
  <c r="K55" i="10"/>
  <c r="I24" i="10"/>
  <c r="I25" i="10"/>
  <c r="H59" i="10"/>
  <c r="J5" i="10"/>
  <c r="J9" i="10" s="1"/>
  <c r="L5" i="10"/>
  <c r="J24" i="10"/>
  <c r="J25" i="10"/>
  <c r="I59" i="10"/>
  <c r="K21" i="10"/>
  <c r="K24" i="10"/>
  <c r="K25" i="10"/>
  <c r="J59" i="10"/>
  <c r="I5" i="10"/>
  <c r="I9" i="10" s="1"/>
  <c r="I23" i="10"/>
  <c r="L25" i="10"/>
  <c r="K59" i="10"/>
  <c r="L59" i="10"/>
  <c r="J61" i="10"/>
  <c r="K5" i="10"/>
  <c r="K9" i="10" s="1"/>
  <c r="K12" i="10" s="1"/>
  <c r="K14" i="10" s="1"/>
  <c r="H21" i="10"/>
  <c r="K22" i="10"/>
  <c r="J21" i="10"/>
  <c r="H22" i="10"/>
  <c r="I22" i="10"/>
  <c r="J22" i="10"/>
  <c r="Q56" i="6"/>
  <c r="L35" i="10" l="1"/>
  <c r="L40" i="10" s="1"/>
  <c r="M23" i="10"/>
  <c r="M7" i="10" s="1"/>
  <c r="M57" i="10"/>
  <c r="M34" i="10" s="1"/>
  <c r="M35" i="10" s="1"/>
  <c r="O39" i="10"/>
  <c r="N62" i="10"/>
  <c r="O62" i="10" s="1"/>
  <c r="P62" i="10" s="1"/>
  <c r="M61" i="10"/>
  <c r="M43" i="10" s="1"/>
  <c r="Q11" i="10"/>
  <c r="M5" i="10"/>
  <c r="M59" i="10"/>
  <c r="M60" i="10"/>
  <c r="M42" i="10" s="1"/>
  <c r="O3" i="10"/>
  <c r="N4" i="10"/>
  <c r="N8" i="10"/>
  <c r="N67" i="10" s="1"/>
  <c r="N32" i="10"/>
  <c r="N7" i="10"/>
  <c r="N43" i="10"/>
  <c r="N58" i="10"/>
  <c r="N75" i="10" s="1"/>
  <c r="I88" i="10" s="1"/>
  <c r="N17" i="10"/>
  <c r="I86" i="10" s="1"/>
  <c r="M66" i="10"/>
  <c r="H86" i="10"/>
  <c r="K16" i="10"/>
  <c r="K18" i="10" s="1"/>
  <c r="H12" i="10"/>
  <c r="H14" i="10" s="1"/>
  <c r="K28" i="10"/>
  <c r="J12" i="10"/>
  <c r="J16" i="10"/>
  <c r="J18" i="10" s="1"/>
  <c r="I16" i="10"/>
  <c r="I18" i="10" s="1"/>
  <c r="I12" i="10"/>
  <c r="N66" i="10" l="1"/>
  <c r="N46" i="10"/>
  <c r="O46" i="10" s="1"/>
  <c r="N57" i="10"/>
  <c r="O57" i="10" s="1"/>
  <c r="P39" i="10"/>
  <c r="Q39" i="10" s="1"/>
  <c r="N42" i="10"/>
  <c r="N44" i="10" s="1"/>
  <c r="N48" i="10" s="1"/>
  <c r="N33" i="10"/>
  <c r="M75" i="10"/>
  <c r="H88" i="10" s="1"/>
  <c r="M37" i="10"/>
  <c r="N37" i="10" s="1"/>
  <c r="N69" i="10"/>
  <c r="P3" i="10"/>
  <c r="O8" i="10"/>
  <c r="O67" i="10" s="1"/>
  <c r="O17" i="10"/>
  <c r="J86" i="10" s="1"/>
  <c r="O43" i="10"/>
  <c r="O58" i="10"/>
  <c r="O75" i="10" s="1"/>
  <c r="J88" i="10" s="1"/>
  <c r="O32" i="10"/>
  <c r="O7" i="10"/>
  <c r="O4" i="10"/>
  <c r="N11" i="10"/>
  <c r="N5" i="10"/>
  <c r="N9" i="10" s="1"/>
  <c r="M44" i="10"/>
  <c r="M48" i="10" s="1"/>
  <c r="M72" i="10"/>
  <c r="H87" i="10" s="1"/>
  <c r="H28" i="10"/>
  <c r="I14" i="10"/>
  <c r="I28" i="10"/>
  <c r="J14" i="10"/>
  <c r="J28" i="10"/>
  <c r="N34" i="10" l="1"/>
  <c r="O69" i="10"/>
  <c r="M40" i="10"/>
  <c r="O66" i="10"/>
  <c r="N72" i="10"/>
  <c r="I87" i="10" s="1"/>
  <c r="Q3" i="10"/>
  <c r="P4" i="10"/>
  <c r="P43" i="10"/>
  <c r="P58" i="10"/>
  <c r="P75" i="10" s="1"/>
  <c r="K88" i="10" s="1"/>
  <c r="P32" i="10"/>
  <c r="P7" i="10"/>
  <c r="P17" i="10"/>
  <c r="K86" i="10" s="1"/>
  <c r="P8" i="10"/>
  <c r="P67" i="10" s="1"/>
  <c r="M50" i="10"/>
  <c r="M52" i="10" s="1"/>
  <c r="N35" i="10"/>
  <c r="N40" i="10" s="1"/>
  <c r="N50" i="10" s="1"/>
  <c r="N52" i="10" s="1"/>
  <c r="O37" i="10"/>
  <c r="O42" i="10"/>
  <c r="O44" i="10" s="1"/>
  <c r="O48" i="10" s="1"/>
  <c r="O33" i="10"/>
  <c r="N16" i="10"/>
  <c r="N12" i="10"/>
  <c r="N13" i="10" s="1"/>
  <c r="N14" i="10" s="1"/>
  <c r="N65" i="10" s="1"/>
  <c r="O5" i="10"/>
  <c r="O9" i="10" s="1"/>
  <c r="O16" i="10" s="1"/>
  <c r="O11" i="10"/>
  <c r="P46" i="10"/>
  <c r="P57" i="10"/>
  <c r="O34" i="10"/>
  <c r="F47" i="7"/>
  <c r="E47" i="7"/>
  <c r="D47" i="7"/>
  <c r="C47" i="7"/>
  <c r="R4" i="7"/>
  <c r="N73" i="10" l="1"/>
  <c r="O72" i="10"/>
  <c r="J87" i="10" s="1"/>
  <c r="P66" i="10"/>
  <c r="O35" i="10"/>
  <c r="O40" i="10" s="1"/>
  <c r="O50" i="10" s="1"/>
  <c r="O52" i="10" s="1"/>
  <c r="P69" i="10"/>
  <c r="Q57" i="10"/>
  <c r="Q34" i="10" s="1"/>
  <c r="P34" i="10"/>
  <c r="N18" i="10"/>
  <c r="I83" i="10"/>
  <c r="P42" i="10"/>
  <c r="P44" i="10" s="1"/>
  <c r="P48" i="10" s="1"/>
  <c r="P33" i="10"/>
  <c r="P11" i="10"/>
  <c r="P5" i="10"/>
  <c r="P9" i="10" s="1"/>
  <c r="P16" i="10" s="1"/>
  <c r="O18" i="10"/>
  <c r="J83" i="10"/>
  <c r="Q43" i="10"/>
  <c r="Q58" i="10"/>
  <c r="Q75" i="10" s="1"/>
  <c r="L88" i="10" s="1"/>
  <c r="Q8" i="10"/>
  <c r="Q67" i="10" s="1"/>
  <c r="Q32" i="10"/>
  <c r="Q7" i="10"/>
  <c r="Q17" i="10"/>
  <c r="L86" i="10" s="1"/>
  <c r="Q4" i="10"/>
  <c r="Q5" i="10" s="1"/>
  <c r="O12" i="10"/>
  <c r="P37" i="10"/>
  <c r="C7" i="7"/>
  <c r="M12" i="8"/>
  <c r="N12" i="8" s="1"/>
  <c r="O12" i="8" s="1"/>
  <c r="P63" i="8"/>
  <c r="P35" i="8"/>
  <c r="O35" i="8"/>
  <c r="N35" i="8"/>
  <c r="M35" i="8"/>
  <c r="P38" i="8"/>
  <c r="O38" i="8"/>
  <c r="N38" i="8"/>
  <c r="M38" i="8"/>
  <c r="L38" i="8"/>
  <c r="P49" i="8"/>
  <c r="O49" i="8"/>
  <c r="N49" i="8"/>
  <c r="M49" i="8"/>
  <c r="L49" i="8"/>
  <c r="F33" i="8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P41" i="6"/>
  <c r="P42" i="6" s="1"/>
  <c r="P45" i="6" s="1"/>
  <c r="R41" i="6"/>
  <c r="K27" i="8"/>
  <c r="J27" i="8"/>
  <c r="I27" i="8"/>
  <c r="H27" i="8"/>
  <c r="G27" i="8"/>
  <c r="F27" i="8"/>
  <c r="E27" i="8"/>
  <c r="K24" i="8"/>
  <c r="J24" i="8"/>
  <c r="I24" i="8"/>
  <c r="H24" i="8"/>
  <c r="G24" i="8"/>
  <c r="F24" i="8"/>
  <c r="E24" i="8"/>
  <c r="F23" i="8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K20" i="8"/>
  <c r="K40" i="8" s="1"/>
  <c r="J20" i="8"/>
  <c r="I20" i="8"/>
  <c r="H20" i="8"/>
  <c r="H40" i="8" s="1"/>
  <c r="G20" i="8"/>
  <c r="F20" i="8"/>
  <c r="F40" i="8" s="1"/>
  <c r="E20" i="8"/>
  <c r="E40" i="8" s="1"/>
  <c r="K14" i="8"/>
  <c r="J14" i="8"/>
  <c r="I14" i="8"/>
  <c r="H14" i="8"/>
  <c r="G14" i="8"/>
  <c r="F14" i="8"/>
  <c r="E14" i="8"/>
  <c r="F13" i="8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R6" i="7"/>
  <c r="R5" i="7"/>
  <c r="P60" i="8" s="1"/>
  <c r="Q41" i="6"/>
  <c r="F30" i="8" s="1"/>
  <c r="R42" i="6"/>
  <c r="R45" i="6" s="1"/>
  <c r="R29" i="6"/>
  <c r="Q29" i="6"/>
  <c r="R2" i="6"/>
  <c r="Q2" i="6" s="1"/>
  <c r="P2" i="6" s="1"/>
  <c r="R20" i="6"/>
  <c r="Q20" i="6"/>
  <c r="P20" i="6"/>
  <c r="P17" i="6"/>
  <c r="Q17" i="6"/>
  <c r="R17" i="6"/>
  <c r="K29" i="6"/>
  <c r="J29" i="6"/>
  <c r="I29" i="6"/>
  <c r="H29" i="6"/>
  <c r="G29" i="6"/>
  <c r="F29" i="6"/>
  <c r="E29" i="6"/>
  <c r="V29" i="6"/>
  <c r="U29" i="6"/>
  <c r="T29" i="6"/>
  <c r="S29" i="6"/>
  <c r="K20" i="6"/>
  <c r="K17" i="6"/>
  <c r="K31" i="6" s="1"/>
  <c r="G20" i="6"/>
  <c r="G17" i="6"/>
  <c r="G31" i="6" s="1"/>
  <c r="J20" i="6"/>
  <c r="J17" i="6"/>
  <c r="J31" i="6" s="1"/>
  <c r="V41" i="6"/>
  <c r="V19" i="6"/>
  <c r="V17" i="6"/>
  <c r="I38" i="6"/>
  <c r="I37" i="6"/>
  <c r="I36" i="6"/>
  <c r="I35" i="6"/>
  <c r="H42" i="6"/>
  <c r="H45" i="6" s="1"/>
  <c r="I20" i="6"/>
  <c r="E20" i="6"/>
  <c r="E17" i="6"/>
  <c r="E31" i="6" s="1"/>
  <c r="I17" i="6"/>
  <c r="I31" i="6" s="1"/>
  <c r="H20" i="6"/>
  <c r="H17" i="6"/>
  <c r="H31" i="6" s="1"/>
  <c r="F20" i="6"/>
  <c r="F17" i="6"/>
  <c r="T2" i="6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AH2" i="6" s="1"/>
  <c r="AI2" i="6" s="1"/>
  <c r="AJ2" i="6" s="1"/>
  <c r="AK2" i="6" s="1"/>
  <c r="S17" i="6"/>
  <c r="T17" i="6"/>
  <c r="U17" i="6"/>
  <c r="S20" i="6"/>
  <c r="T20" i="6"/>
  <c r="U20" i="6"/>
  <c r="S41" i="6"/>
  <c r="T41" i="6"/>
  <c r="U41" i="6"/>
  <c r="V20" i="6" l="1"/>
  <c r="V21" i="6" s="1"/>
  <c r="L8" i="10"/>
  <c r="G30" i="8"/>
  <c r="G31" i="8" s="1"/>
  <c r="H72" i="10"/>
  <c r="H73" i="10" s="1"/>
  <c r="T42" i="6"/>
  <c r="T45" i="6" s="1"/>
  <c r="J72" i="10"/>
  <c r="J73" i="10" s="1"/>
  <c r="V42" i="6"/>
  <c r="V45" i="6" s="1"/>
  <c r="L72" i="10"/>
  <c r="L73" i="10" s="1"/>
  <c r="U42" i="6"/>
  <c r="U45" i="6" s="1"/>
  <c r="K72" i="10"/>
  <c r="K73" i="10" s="1"/>
  <c r="S42" i="6"/>
  <c r="S45" i="6" s="1"/>
  <c r="I72" i="10"/>
  <c r="I73" i="10" s="1"/>
  <c r="I78" i="10" s="1"/>
  <c r="P72" i="10"/>
  <c r="K87" i="10" s="1"/>
  <c r="Q37" i="10"/>
  <c r="Q66" i="10"/>
  <c r="I84" i="10"/>
  <c r="I85" i="10" s="1"/>
  <c r="I89" i="10" s="1"/>
  <c r="I92" i="10" s="1"/>
  <c r="P18" i="10"/>
  <c r="K83" i="10"/>
  <c r="P12" i="10"/>
  <c r="P13" i="10" s="1"/>
  <c r="P14" i="10" s="1"/>
  <c r="P65" i="10" s="1"/>
  <c r="Q9" i="10"/>
  <c r="O13" i="10"/>
  <c r="O14" i="10" s="1"/>
  <c r="O65" i="10" s="1"/>
  <c r="O73" i="10" s="1"/>
  <c r="Q33" i="10"/>
  <c r="Q35" i="10" s="1"/>
  <c r="Q42" i="10"/>
  <c r="Q44" i="10" s="1"/>
  <c r="Q48" i="10" s="1"/>
  <c r="P35" i="10"/>
  <c r="P40" i="10" s="1"/>
  <c r="P50" i="10" s="1"/>
  <c r="P52" i="10" s="1"/>
  <c r="J84" i="10"/>
  <c r="J85" i="10" s="1"/>
  <c r="J89" i="10" s="1"/>
  <c r="J92" i="10" s="1"/>
  <c r="Q69" i="10"/>
  <c r="P21" i="6"/>
  <c r="P23" i="6" s="1"/>
  <c r="P25" i="6" s="1"/>
  <c r="Q21" i="6"/>
  <c r="F17" i="8" s="1"/>
  <c r="F18" i="8" s="1"/>
  <c r="E28" i="8"/>
  <c r="E30" i="8"/>
  <c r="E31" i="8" s="1"/>
  <c r="T21" i="6"/>
  <c r="H30" i="8"/>
  <c r="H31" i="8" s="1"/>
  <c r="J30" i="8"/>
  <c r="J31" i="8" s="1"/>
  <c r="R21" i="6"/>
  <c r="K30" i="8"/>
  <c r="K31" i="8" s="1"/>
  <c r="Q42" i="6"/>
  <c r="I30" i="8"/>
  <c r="I31" i="8" s="1"/>
  <c r="D5" i="7"/>
  <c r="P61" i="8"/>
  <c r="D4" i="7"/>
  <c r="D7" i="7"/>
  <c r="H25" i="8"/>
  <c r="J28" i="8"/>
  <c r="I25" i="8"/>
  <c r="K15" i="8"/>
  <c r="J25" i="8"/>
  <c r="K28" i="8"/>
  <c r="I15" i="8"/>
  <c r="F15" i="8"/>
  <c r="P12" i="8"/>
  <c r="H15" i="8"/>
  <c r="G25" i="8"/>
  <c r="E34" i="8"/>
  <c r="I40" i="8"/>
  <c r="J40" i="8"/>
  <c r="F34" i="8"/>
  <c r="H28" i="8"/>
  <c r="H34" i="8"/>
  <c r="I28" i="8"/>
  <c r="I34" i="8"/>
  <c r="G28" i="8"/>
  <c r="J34" i="8"/>
  <c r="F28" i="8"/>
  <c r="G34" i="8"/>
  <c r="E25" i="8"/>
  <c r="K34" i="8"/>
  <c r="G40" i="8"/>
  <c r="G15" i="8"/>
  <c r="F25" i="8"/>
  <c r="J15" i="8"/>
  <c r="K25" i="8"/>
  <c r="F31" i="8"/>
  <c r="R7" i="7"/>
  <c r="J21" i="6"/>
  <c r="J23" i="6" s="1"/>
  <c r="J25" i="6" s="1"/>
  <c r="J33" i="6" s="1"/>
  <c r="F21" i="6"/>
  <c r="F23" i="6" s="1"/>
  <c r="F25" i="6" s="1"/>
  <c r="F33" i="6" s="1"/>
  <c r="E21" i="6"/>
  <c r="E23" i="6" s="1"/>
  <c r="E25" i="6" s="1"/>
  <c r="E26" i="6" s="1"/>
  <c r="F31" i="6"/>
  <c r="G21" i="6"/>
  <c r="G23" i="6" s="1"/>
  <c r="G25" i="6" s="1"/>
  <c r="G26" i="6" s="1"/>
  <c r="K21" i="6"/>
  <c r="K23" i="6" s="1"/>
  <c r="K25" i="6" s="1"/>
  <c r="S21" i="6"/>
  <c r="I21" i="6"/>
  <c r="I23" i="6" s="1"/>
  <c r="I25" i="6" s="1"/>
  <c r="U21" i="6"/>
  <c r="H21" i="6"/>
  <c r="H23" i="6" s="1"/>
  <c r="H25" i="6" s="1"/>
  <c r="H33" i="6" s="1"/>
  <c r="K78" i="10" l="1"/>
  <c r="L78" i="10"/>
  <c r="J78" i="10"/>
  <c r="F21" i="8"/>
  <c r="Q45" i="6"/>
  <c r="G73" i="10"/>
  <c r="H78" i="10" s="1"/>
  <c r="F37" i="8"/>
  <c r="F38" i="8" s="1"/>
  <c r="P73" i="10"/>
  <c r="E17" i="8"/>
  <c r="L24" i="10"/>
  <c r="M24" i="10" s="1"/>
  <c r="M8" i="10" s="1"/>
  <c r="M9" i="10" s="1"/>
  <c r="L79" i="10"/>
  <c r="M79" i="10" s="1"/>
  <c r="L9" i="10"/>
  <c r="Q40" i="10"/>
  <c r="Q50" i="10" s="1"/>
  <c r="Q52" i="10" s="1"/>
  <c r="Q16" i="10"/>
  <c r="Q12" i="10"/>
  <c r="Q13" i="10" s="1"/>
  <c r="Q14" i="10" s="1"/>
  <c r="Q65" i="10" s="1"/>
  <c r="Q72" i="10"/>
  <c r="L87" i="10" s="1"/>
  <c r="K84" i="10"/>
  <c r="K85" i="10" s="1"/>
  <c r="K89" i="10" s="1"/>
  <c r="K92" i="10" s="1"/>
  <c r="Q23" i="6"/>
  <c r="Q25" i="6" s="1"/>
  <c r="Q33" i="6" s="1"/>
  <c r="T23" i="6"/>
  <c r="T25" i="6" s="1"/>
  <c r="I17" i="8"/>
  <c r="F26" i="6"/>
  <c r="L52" i="8"/>
  <c r="M52" i="8" s="1"/>
  <c r="G17" i="8"/>
  <c r="R23" i="6"/>
  <c r="R25" i="6" s="1"/>
  <c r="S23" i="6"/>
  <c r="S25" i="6" s="1"/>
  <c r="S33" i="6" s="1"/>
  <c r="H17" i="8"/>
  <c r="J26" i="6"/>
  <c r="P26" i="6"/>
  <c r="P33" i="6"/>
  <c r="U23" i="6"/>
  <c r="U25" i="6" s="1"/>
  <c r="U26" i="6" s="1"/>
  <c r="J17" i="8"/>
  <c r="V23" i="6"/>
  <c r="V25" i="6" s="1"/>
  <c r="V26" i="6" s="1"/>
  <c r="K17" i="8"/>
  <c r="L46" i="8"/>
  <c r="L45" i="8" s="1"/>
  <c r="J35" i="8"/>
  <c r="H35" i="8"/>
  <c r="I35" i="8"/>
  <c r="G35" i="8"/>
  <c r="F35" i="8"/>
  <c r="K35" i="8"/>
  <c r="L35" i="8"/>
  <c r="E33" i="6"/>
  <c r="G33" i="6"/>
  <c r="K33" i="6"/>
  <c r="K26" i="6"/>
  <c r="I33" i="6"/>
  <c r="I26" i="6"/>
  <c r="H26" i="6"/>
  <c r="S10" i="5"/>
  <c r="S7" i="5"/>
  <c r="S6" i="5"/>
  <c r="S5" i="5"/>
  <c r="M22" i="5"/>
  <c r="M23" i="5" s="1"/>
  <c r="M24" i="5" s="1"/>
  <c r="M25" i="5" s="1"/>
  <c r="N12" i="5"/>
  <c r="N13" i="5"/>
  <c r="N15" i="5"/>
  <c r="M5" i="5"/>
  <c r="M6" i="5" s="1"/>
  <c r="M7" i="5" s="1"/>
  <c r="M8" i="5" s="1"/>
  <c r="F25" i="5"/>
  <c r="H25" i="5" s="1"/>
  <c r="F24" i="5"/>
  <c r="H24" i="5" s="1"/>
  <c r="F23" i="5"/>
  <c r="H23" i="5" s="1"/>
  <c r="F22" i="5"/>
  <c r="H22" i="5" s="1"/>
  <c r="F21" i="5"/>
  <c r="B21" i="5"/>
  <c r="K4" i="5" a="1"/>
  <c r="K4" i="5" s="1"/>
  <c r="K10" i="5" s="1"/>
  <c r="I8" i="5"/>
  <c r="I7" i="5"/>
  <c r="I6" i="5"/>
  <c r="I5" i="5"/>
  <c r="I4" i="5"/>
  <c r="E8" i="5"/>
  <c r="E7" i="5"/>
  <c r="E6" i="5"/>
  <c r="E5" i="5"/>
  <c r="E4" i="5"/>
  <c r="Q26" i="6" l="1"/>
  <c r="F41" i="8"/>
  <c r="L16" i="10"/>
  <c r="L18" i="10" s="1"/>
  <c r="L12" i="10"/>
  <c r="M16" i="10"/>
  <c r="M12" i="10"/>
  <c r="M13" i="10" s="1"/>
  <c r="M14" i="10" s="1"/>
  <c r="M65" i="10" s="1"/>
  <c r="M67" i="10"/>
  <c r="E21" i="8"/>
  <c r="E18" i="8"/>
  <c r="E37" i="8"/>
  <c r="Q73" i="10"/>
  <c r="Q18" i="10"/>
  <c r="L83" i="10"/>
  <c r="L51" i="8"/>
  <c r="T33" i="6"/>
  <c r="T26" i="6"/>
  <c r="M46" i="8"/>
  <c r="M45" i="8" s="1"/>
  <c r="U33" i="6"/>
  <c r="V33" i="6"/>
  <c r="I18" i="8"/>
  <c r="I37" i="8"/>
  <c r="I21" i="8"/>
  <c r="J37" i="8"/>
  <c r="J18" i="8"/>
  <c r="J21" i="8"/>
  <c r="H37" i="8"/>
  <c r="H18" i="8"/>
  <c r="H21" i="8"/>
  <c r="K37" i="8"/>
  <c r="K18" i="8"/>
  <c r="R26" i="6"/>
  <c r="R33" i="6"/>
  <c r="S26" i="6"/>
  <c r="G18" i="8"/>
  <c r="G37" i="8"/>
  <c r="G21" i="8"/>
  <c r="N52" i="8"/>
  <c r="M51" i="8"/>
  <c r="I21" i="5" a="1"/>
  <c r="H21" i="5"/>
  <c r="H27" i="5" s="1"/>
  <c r="B22" i="5"/>
  <c r="B23" i="5" s="1"/>
  <c r="B24" i="5" s="1"/>
  <c r="B25" i="5" s="1"/>
  <c r="J4" i="5" a="1"/>
  <c r="J4" i="5" s="1"/>
  <c r="J10" i="5" s="1"/>
  <c r="N10" i="5" s="1"/>
  <c r="B5" i="5"/>
  <c r="B6" i="5" s="1"/>
  <c r="B7" i="5" s="1"/>
  <c r="B8" i="5" s="1"/>
  <c r="E41" i="8" l="1"/>
  <c r="E38" i="8"/>
  <c r="H83" i="10"/>
  <c r="H84" i="10" s="1"/>
  <c r="H85" i="10" s="1"/>
  <c r="H89" i="10" s="1"/>
  <c r="H92" i="10" s="1"/>
  <c r="M18" i="10"/>
  <c r="M73" i="10"/>
  <c r="L14" i="10"/>
  <c r="L28" i="10"/>
  <c r="L84" i="10"/>
  <c r="L85" i="10" s="1"/>
  <c r="L89" i="10" s="1"/>
  <c r="Q100" i="10" s="1"/>
  <c r="N46" i="8"/>
  <c r="O46" i="8" s="1"/>
  <c r="I41" i="8"/>
  <c r="I38" i="8"/>
  <c r="G38" i="8"/>
  <c r="G41" i="8"/>
  <c r="H41" i="8"/>
  <c r="H38" i="8"/>
  <c r="K43" i="8"/>
  <c r="K41" i="8"/>
  <c r="K38" i="8"/>
  <c r="J38" i="8"/>
  <c r="J41" i="8"/>
  <c r="O52" i="8"/>
  <c r="N51" i="8"/>
  <c r="J25" i="5"/>
  <c r="I10" i="5"/>
  <c r="D27" i="5"/>
  <c r="C27" i="5"/>
  <c r="G27" i="5"/>
  <c r="F27" i="5"/>
  <c r="J23" i="5"/>
  <c r="J22" i="5"/>
  <c r="I21" i="5"/>
  <c r="J21" i="5" s="1"/>
  <c r="J24" i="5"/>
  <c r="G10" i="5"/>
  <c r="F10" i="5"/>
  <c r="H10" i="5"/>
  <c r="D10" i="5"/>
  <c r="C10" i="5"/>
  <c r="O4" i="5" s="1"/>
  <c r="Q102" i="10" l="1"/>
  <c r="D96" i="10" s="1"/>
  <c r="L92" i="10"/>
  <c r="D95" i="10" s="1"/>
  <c r="N45" i="8"/>
  <c r="L41" i="8"/>
  <c r="L40" i="8" s="1"/>
  <c r="L43" i="8" s="1"/>
  <c r="L54" i="8" s="1"/>
  <c r="L55" i="8" s="1"/>
  <c r="P46" i="8"/>
  <c r="P45" i="8" s="1"/>
  <c r="O45" i="8"/>
  <c r="P52" i="8"/>
  <c r="P51" i="8" s="1"/>
  <c r="O51" i="8"/>
  <c r="O5" i="5"/>
  <c r="O6" i="5" s="1"/>
  <c r="O7" i="5" s="1"/>
  <c r="O8" i="5" s="1"/>
  <c r="N4" i="5"/>
  <c r="N5" i="5" s="1"/>
  <c r="N6" i="5" s="1"/>
  <c r="N7" i="5" s="1"/>
  <c r="N8" i="5" s="1"/>
  <c r="N11" i="5" s="1"/>
  <c r="N14" i="5" s="1"/>
  <c r="N16" i="5" s="1"/>
  <c r="O21" i="5" a="1"/>
  <c r="O21" i="5" s="1"/>
  <c r="N21" i="5" s="1"/>
  <c r="N22" i="5" s="1"/>
  <c r="N23" i="5" s="1"/>
  <c r="N24" i="5" s="1"/>
  <c r="N25" i="5" s="1"/>
  <c r="N28" i="5" s="1"/>
  <c r="J27" i="5"/>
  <c r="N27" i="5" s="1"/>
  <c r="I27" i="5"/>
  <c r="D97" i="10" l="1"/>
  <c r="D100" i="10" s="1"/>
  <c r="D102" i="10" s="1"/>
  <c r="M41" i="8"/>
  <c r="N41" i="8" s="1"/>
  <c r="M40" i="8" l="1"/>
  <c r="M43" i="8" s="1"/>
  <c r="M54" i="8" s="1"/>
  <c r="M55" i="8" s="1"/>
  <c r="O41" i="8"/>
  <c r="N40" i="8"/>
  <c r="N43" i="8" s="1"/>
  <c r="N54" i="8" s="1"/>
  <c r="N55" i="8" s="1"/>
  <c r="P41" i="8" l="1"/>
  <c r="P40" i="8" s="1"/>
  <c r="P43" i="8" s="1"/>
  <c r="P54" i="8" s="1"/>
  <c r="P57" i="8" s="1"/>
  <c r="O40" i="8"/>
  <c r="O43" i="8" s="1"/>
  <c r="O54" i="8" s="1"/>
  <c r="O55" i="8" s="1"/>
  <c r="P58" i="8" l="1"/>
  <c r="P55" i="8"/>
  <c r="P59" i="8" l="1"/>
  <c r="P62" i="8" s="1"/>
  <c r="P6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tido</author>
  </authors>
  <commentList>
    <comment ref="H43" authorId="0" shapeId="0" xr:uid="{900AD6CD-DCF6-4BB8-B356-6A23E8E9C4AA}">
      <text>
        <r>
          <rPr>
            <b/>
            <sz val="9"/>
            <color indexed="81"/>
            <rFont val="Tahoma"/>
            <family val="2"/>
          </rPr>
          <t>tido:</t>
        </r>
        <r>
          <rPr>
            <sz val="9"/>
            <color indexed="81"/>
            <rFont val="Tahoma"/>
            <family val="2"/>
          </rPr>
          <t xml:space="preserve">
Incl. ST Debt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tido</author>
  </authors>
  <commentList>
    <comment ref="S50" authorId="0" shapeId="0" xr:uid="{2AF8B735-DFC0-4213-8C43-5086D665CCF3}">
      <text>
        <r>
          <rPr>
            <b/>
            <sz val="9"/>
            <color indexed="81"/>
            <rFont val="Tahoma"/>
            <family val="2"/>
          </rPr>
          <t>tido:</t>
        </r>
        <r>
          <rPr>
            <sz val="9"/>
            <color indexed="81"/>
            <rFont val="Tahoma"/>
            <family val="2"/>
          </rPr>
          <t xml:space="preserve">
includes assets held for sale at 5.4bill
</t>
        </r>
      </text>
    </comment>
    <comment ref="T50" authorId="0" shapeId="0" xr:uid="{686433C6-14F1-4AF0-8B36-88BE5F51BD15}">
      <text>
        <r>
          <rPr>
            <b/>
            <sz val="9"/>
            <color indexed="81"/>
            <rFont val="Tahoma"/>
            <family val="2"/>
          </rPr>
          <t>tido:</t>
        </r>
        <r>
          <rPr>
            <sz val="9"/>
            <color indexed="81"/>
            <rFont val="Tahoma"/>
            <family val="2"/>
          </rPr>
          <t xml:space="preserve">
6.9 bil in assets held for sale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<sst xmlns="http://schemas.openxmlformats.org/spreadsheetml/2006/main" count="477" uniqueCount="299">
  <si>
    <t>Revenue</t>
  </si>
  <si>
    <t>EBITDA</t>
  </si>
  <si>
    <t>EBITDA GROWTH</t>
  </si>
  <si>
    <t>Debt ST + LT</t>
  </si>
  <si>
    <t>Excess Cash</t>
  </si>
  <si>
    <t>Market Cap</t>
  </si>
  <si>
    <t xml:space="preserve">Enterprise Value </t>
  </si>
  <si>
    <t>EV/ EBITDA</t>
  </si>
  <si>
    <t>Net Debt/ EBITDA</t>
  </si>
  <si>
    <t>Year</t>
  </si>
  <si>
    <t>CFO</t>
  </si>
  <si>
    <t>CAPEX</t>
  </si>
  <si>
    <t>Debit Issue PMT</t>
  </si>
  <si>
    <t>FCFE</t>
  </si>
  <si>
    <t>FCFE Yield</t>
  </si>
  <si>
    <t>Shares</t>
  </si>
  <si>
    <t>FCFE/SHR</t>
  </si>
  <si>
    <t>Share Price</t>
  </si>
  <si>
    <t>Growth</t>
  </si>
  <si>
    <t>EBITDA Mutiple</t>
  </si>
  <si>
    <t>EV</t>
  </si>
  <si>
    <t>Less Debt</t>
  </si>
  <si>
    <t>Add Cash</t>
  </si>
  <si>
    <t xml:space="preserve">Shares </t>
  </si>
  <si>
    <t>2026 Price</t>
  </si>
  <si>
    <t>CGAR or AVG</t>
  </si>
  <si>
    <t>Current Share Price</t>
  </si>
  <si>
    <t xml:space="preserve">EBITDA Multiple </t>
  </si>
  <si>
    <t>Share Price 2026</t>
  </si>
  <si>
    <t>Weight</t>
  </si>
  <si>
    <t>Price</t>
  </si>
  <si>
    <t>Future Potential</t>
  </si>
  <si>
    <t>Annual Return</t>
  </si>
  <si>
    <t>FCF</t>
  </si>
  <si>
    <t>CapEx</t>
  </si>
  <si>
    <t>CFFO</t>
  </si>
  <si>
    <t>WC</t>
  </si>
  <si>
    <t>Divestures</t>
  </si>
  <si>
    <t>Equity Investments</t>
  </si>
  <si>
    <t>Amortization</t>
  </si>
  <si>
    <t>Restructuring</t>
  </si>
  <si>
    <t>SBC</t>
  </si>
  <si>
    <t>Depreciation</t>
  </si>
  <si>
    <t>Reported NI</t>
  </si>
  <si>
    <t>Model NI</t>
  </si>
  <si>
    <t>EPS</t>
  </si>
  <si>
    <t>Net Income</t>
  </si>
  <si>
    <t>Taxes</t>
  </si>
  <si>
    <t>Pretax</t>
  </si>
  <si>
    <t>Interest</t>
  </si>
  <si>
    <t>Operating Income</t>
  </si>
  <si>
    <t>Operating Expenditures</t>
  </si>
  <si>
    <t>MG&amp;A</t>
  </si>
  <si>
    <t>R&amp;D</t>
  </si>
  <si>
    <t>Gross Margin</t>
  </si>
  <si>
    <t>COGS</t>
  </si>
  <si>
    <t>Intel Corp.</t>
  </si>
  <si>
    <t>Q323</t>
  </si>
  <si>
    <t>Q223</t>
  </si>
  <si>
    <t>Q123</t>
  </si>
  <si>
    <t>Q422</t>
  </si>
  <si>
    <t>Q322</t>
  </si>
  <si>
    <t>Q222</t>
  </si>
  <si>
    <t>Q122</t>
  </si>
  <si>
    <t>Q421</t>
  </si>
  <si>
    <t>Debt</t>
  </si>
  <si>
    <t>Cash</t>
  </si>
  <si>
    <t>MC</t>
  </si>
  <si>
    <t>Q423</t>
  </si>
  <si>
    <t>Revenue y/y</t>
  </si>
  <si>
    <t>GDP y/y</t>
  </si>
  <si>
    <t>Gross Margin %</t>
  </si>
  <si>
    <t>Intel DCF</t>
  </si>
  <si>
    <t>x</t>
  </si>
  <si>
    <t>Ticker</t>
  </si>
  <si>
    <t>Date</t>
  </si>
  <si>
    <t>INTC</t>
  </si>
  <si>
    <t>Valuation Assumptions</t>
  </si>
  <si>
    <t>WACC</t>
  </si>
  <si>
    <t>TGR</t>
  </si>
  <si>
    <t>Assumptions</t>
  </si>
  <si>
    <t>Income Statement</t>
  </si>
  <si>
    <t>% growth</t>
  </si>
  <si>
    <t>EBIT</t>
  </si>
  <si>
    <t>% of sales</t>
  </si>
  <si>
    <t>% of EBIT</t>
  </si>
  <si>
    <t>Cash Flow Items</t>
  </si>
  <si>
    <t>D&amp;A</t>
  </si>
  <si>
    <t>Change in NWC</t>
  </si>
  <si>
    <t>DCF</t>
  </si>
  <si>
    <t>% margin</t>
  </si>
  <si>
    <t>EBIAT</t>
  </si>
  <si>
    <t>Unlevered FCF</t>
  </si>
  <si>
    <t>Present Value of FCF</t>
  </si>
  <si>
    <t>Terminal Value</t>
  </si>
  <si>
    <t>Present Value of Terminal Value</t>
  </si>
  <si>
    <t>Enterprise Value</t>
  </si>
  <si>
    <t>(+) Cash</t>
  </si>
  <si>
    <t>(-) Debt</t>
  </si>
  <si>
    <t>Equity Value</t>
  </si>
  <si>
    <t>Revenue by Division</t>
  </si>
  <si>
    <t>Desktop</t>
  </si>
  <si>
    <t xml:space="preserve">Notebook </t>
  </si>
  <si>
    <t>Other Computing</t>
  </si>
  <si>
    <t>Network and Edge</t>
  </si>
  <si>
    <t>Data Center and AI</t>
  </si>
  <si>
    <t>Mobileye</t>
  </si>
  <si>
    <t>Intet Foundy Services</t>
  </si>
  <si>
    <t>All other</t>
  </si>
  <si>
    <t>Total</t>
  </si>
  <si>
    <t>FY 2023</t>
  </si>
  <si>
    <t>Revenue by Region</t>
  </si>
  <si>
    <t>Asia/Pacific</t>
  </si>
  <si>
    <t>CCG</t>
  </si>
  <si>
    <t>DCAI</t>
  </si>
  <si>
    <t>NEX</t>
  </si>
  <si>
    <t xml:space="preserve"> </t>
  </si>
  <si>
    <t>Cost of Sales</t>
  </si>
  <si>
    <t>Gross Profit</t>
  </si>
  <si>
    <t>Selling, General &amp; Administrative</t>
  </si>
  <si>
    <t>Pretax Income</t>
  </si>
  <si>
    <t>– Tax Provision</t>
  </si>
  <si>
    <t>Depreciation &amp; Amortization</t>
  </si>
  <si>
    <t>Income Statement Drivers</t>
  </si>
  <si>
    <t>Revenue Growth</t>
  </si>
  <si>
    <t>Cost of Sales % Revenues</t>
  </si>
  <si>
    <t>Selling, General and Administrative Expenses % Revenues</t>
  </si>
  <si>
    <t>D&amp;A as a % of Revenue</t>
  </si>
  <si>
    <t>D&amp;A as a % Capital Expenditures</t>
  </si>
  <si>
    <t>Taxes % of Profit Before Tax</t>
  </si>
  <si>
    <t>Balance Sheet</t>
  </si>
  <si>
    <t>Total Cash</t>
  </si>
  <si>
    <t>Accounts Receivable</t>
  </si>
  <si>
    <t>Inventory</t>
  </si>
  <si>
    <t>Other Current Assets</t>
  </si>
  <si>
    <t>Total Current Assets</t>
  </si>
  <si>
    <t>Net Property, Plant &amp; Equipment (PPE)</t>
  </si>
  <si>
    <t>Other Non-Current Assets</t>
  </si>
  <si>
    <t>Total Assets</t>
  </si>
  <si>
    <t>Accounts Payable</t>
  </si>
  <si>
    <t>Other Current Liabilities</t>
  </si>
  <si>
    <t>Total Current Liabilities</t>
  </si>
  <si>
    <t>Long Term Debt</t>
  </si>
  <si>
    <t>Deferred Tax Liabilities</t>
  </si>
  <si>
    <t>Total Liabilities</t>
  </si>
  <si>
    <t>Total Equity</t>
  </si>
  <si>
    <t xml:space="preserve">Total Liabilities and Equity </t>
  </si>
  <si>
    <t>Balance Sheet Drivers</t>
  </si>
  <si>
    <t>Accounts Receivable % Revenues</t>
  </si>
  <si>
    <t>Inventory % COGS</t>
  </si>
  <si>
    <t>Other Current Assets % Revenues</t>
  </si>
  <si>
    <t>Capital Expenditures</t>
  </si>
  <si>
    <t>Capital Expenditures % Revenue</t>
  </si>
  <si>
    <t>Accounts Payable % COGS</t>
  </si>
  <si>
    <t>Other Current Liabilities % Revenues</t>
  </si>
  <si>
    <t>LT Debt Repayment Schedule</t>
  </si>
  <si>
    <t>Equity Beta</t>
  </si>
  <si>
    <t>Cost of debt</t>
  </si>
  <si>
    <t>Tax rate</t>
  </si>
  <si>
    <t>Equity</t>
  </si>
  <si>
    <t>Discounted Cash Flow</t>
  </si>
  <si>
    <t>NOPAT</t>
  </si>
  <si>
    <t>Market</t>
  </si>
  <si>
    <t>Enterprise</t>
  </si>
  <si>
    <t>Company</t>
  </si>
  <si>
    <t>Value</t>
  </si>
  <si>
    <t>AR</t>
  </si>
  <si>
    <t>Inv</t>
  </si>
  <si>
    <t>Other CA</t>
  </si>
  <si>
    <t>Total CA</t>
  </si>
  <si>
    <t>PPE (Net)</t>
  </si>
  <si>
    <t>AP</t>
  </si>
  <si>
    <t>Other CL</t>
  </si>
  <si>
    <t>Total CL</t>
  </si>
  <si>
    <t>LT Debt</t>
  </si>
  <si>
    <t>-</t>
  </si>
  <si>
    <t>LT Investments</t>
  </si>
  <si>
    <t>Intangible Assets</t>
  </si>
  <si>
    <t>Other Assets</t>
  </si>
  <si>
    <t>Assets</t>
  </si>
  <si>
    <t>ST Debt</t>
  </si>
  <si>
    <t>Other Liabilities</t>
  </si>
  <si>
    <t>Liabilities</t>
  </si>
  <si>
    <t>Liabilities + Equitiy</t>
  </si>
  <si>
    <t>Tax Liabilities LT</t>
  </si>
  <si>
    <t>Contract Liabilities</t>
  </si>
  <si>
    <t>DI / IT Pay.</t>
  </si>
  <si>
    <t>Research and Development</t>
  </si>
  <si>
    <t>Interest NET</t>
  </si>
  <si>
    <t>Research and Development as % Revenues</t>
  </si>
  <si>
    <t>Intangibles</t>
  </si>
  <si>
    <t>Selected Cashflow Items</t>
  </si>
  <si>
    <t>Stock-Based Compensation</t>
  </si>
  <si>
    <t>Restructuring Charges</t>
  </si>
  <si>
    <t>Change in Working Capital</t>
  </si>
  <si>
    <t>Cash Flow from Operations</t>
  </si>
  <si>
    <t>Stock Based Compensation % of SG&amp;A</t>
  </si>
  <si>
    <t>CFFO Growth</t>
  </si>
  <si>
    <t>Cashflow Drivers</t>
  </si>
  <si>
    <t>Interest Expense as a % of LT Debt</t>
  </si>
  <si>
    <t>Risk free rate</t>
  </si>
  <si>
    <t>Equity risk premium</t>
  </si>
  <si>
    <t>Cost of Equity</t>
  </si>
  <si>
    <t>After-tax Cost of Debt</t>
  </si>
  <si>
    <t>Total Capital</t>
  </si>
  <si>
    <t>Weighted Average Cost of Capital Calculation</t>
  </si>
  <si>
    <t>2 Based on 5 year monthly beta</t>
  </si>
  <si>
    <t>1 As of Apr-15-2024 based on 10Yr treasury</t>
  </si>
  <si>
    <t>3 NYU Country Spreads and Risk Premiums</t>
  </si>
  <si>
    <t>4 Based on current debt outstanding WA coupons</t>
  </si>
  <si>
    <t xml:space="preserve">Taxes </t>
  </si>
  <si>
    <t>(+) D&amp;A</t>
  </si>
  <si>
    <t>(+) Changes in NWC</t>
  </si>
  <si>
    <t>(-) CapEx</t>
  </si>
  <si>
    <t>Discount Period Adj.</t>
  </si>
  <si>
    <t>Discount Factor</t>
  </si>
  <si>
    <t>Present Value of Unlevered FCF</t>
  </si>
  <si>
    <t>FY2028E Unlevered FCF</t>
  </si>
  <si>
    <t>DCF Value - WACC Method</t>
  </si>
  <si>
    <t>NPV of FCF 2024-28</t>
  </si>
  <si>
    <t>PV of TV</t>
  </si>
  <si>
    <t>Implied EV</t>
  </si>
  <si>
    <t xml:space="preserve">Implied Equity </t>
  </si>
  <si>
    <t>CS Outstanding</t>
  </si>
  <si>
    <t>Implied $/SHR</t>
  </si>
  <si>
    <t>Median</t>
  </si>
  <si>
    <t>Average</t>
  </si>
  <si>
    <t>02/04/2024</t>
  </si>
  <si>
    <t>AVGO-US</t>
  </si>
  <si>
    <t>Broadcom</t>
  </si>
  <si>
    <t>12/31/2023</t>
  </si>
  <si>
    <t>MCHP-US</t>
  </si>
  <si>
    <t>Microchip Technology</t>
  </si>
  <si>
    <t>01/2024</t>
  </si>
  <si>
    <t>MRVL-US</t>
  </si>
  <si>
    <t>Marvell Tech</t>
  </si>
  <si>
    <t>12/2023</t>
  </si>
  <si>
    <t>AMD-US</t>
  </si>
  <si>
    <t>AMD</t>
  </si>
  <si>
    <t>02/03/2024</t>
  </si>
  <si>
    <t>ADI-US</t>
  </si>
  <si>
    <t>Analog Devices</t>
  </si>
  <si>
    <t>12/24/2023</t>
  </si>
  <si>
    <t>QCOM-US</t>
  </si>
  <si>
    <t>QUALCOMM</t>
  </si>
  <si>
    <t>TXN-US</t>
  </si>
  <si>
    <t>Texas Instruments</t>
  </si>
  <si>
    <t>INTC-US</t>
  </si>
  <si>
    <t>Intel</t>
  </si>
  <si>
    <t>NTM</t>
  </si>
  <si>
    <t>Actual</t>
  </si>
  <si>
    <t>Period</t>
  </si>
  <si>
    <t>Fiscal</t>
  </si>
  <si>
    <t>Net Margin (%)</t>
  </si>
  <si>
    <t>Pretax Margin (%)</t>
  </si>
  <si>
    <t>EBIT Margin (%)</t>
  </si>
  <si>
    <t>EBITDA Margin (%)</t>
  </si>
  <si>
    <t>Gross Margin (%)</t>
  </si>
  <si>
    <t>Margins</t>
  </si>
  <si>
    <t>Yield (%)</t>
  </si>
  <si>
    <t>FY2</t>
  </si>
  <si>
    <t>FY1</t>
  </si>
  <si>
    <t>Sales</t>
  </si>
  <si>
    <t>Target</t>
  </si>
  <si>
    <t>Div</t>
  </si>
  <si>
    <t>EV/</t>
  </si>
  <si>
    <t>Price/</t>
  </si>
  <si>
    <t>Net</t>
  </si>
  <si>
    <t>P/FCF (x)</t>
  </si>
  <si>
    <t>P/E (x)</t>
  </si>
  <si>
    <t>EV/EBITDA (x)</t>
  </si>
  <si>
    <t>Valuation (x)</t>
  </si>
  <si>
    <t>Market Data ($)</t>
  </si>
  <si>
    <t>Valuation</t>
  </si>
  <si>
    <t>FY2 (%)</t>
  </si>
  <si>
    <t>FY1 (%)</t>
  </si>
  <si>
    <t>Margin</t>
  </si>
  <si>
    <t>Sales ($)</t>
  </si>
  <si>
    <t>Selected Financials</t>
  </si>
  <si>
    <t>Comps Tables - Semiconductors</t>
  </si>
  <si>
    <t>$35.69</t>
  </si>
  <si>
    <t>Intel Corporation (INTC)</t>
  </si>
  <si>
    <t>% Growth</t>
  </si>
  <si>
    <t>Q124</t>
  </si>
  <si>
    <t>United States</t>
  </si>
  <si>
    <t>Crocs Brand</t>
  </si>
  <si>
    <t>HEYDUDE Brand</t>
  </si>
  <si>
    <t>Q224</t>
  </si>
  <si>
    <t>Notebook</t>
  </si>
  <si>
    <t>Other</t>
  </si>
  <si>
    <t>Intel Foundy</t>
  </si>
  <si>
    <t>All Other</t>
  </si>
  <si>
    <t>Less Transaction Costs</t>
  </si>
  <si>
    <t>YoY</t>
  </si>
  <si>
    <t>Cutting headcount by 15%</t>
  </si>
  <si>
    <t>Suspending div in Q4</t>
  </si>
  <si>
    <t>Q2 dissapointing</t>
  </si>
  <si>
    <t>A18 launch next year</t>
  </si>
  <si>
    <t>Reducing capex by 10 billies 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</si>
</sst>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_([$$-409]* #,##0_);_([$$-409]* \(#,##0\);_([$$-409]* &quot;-&quot;??_);_(@_)"/>
    <numFmt numFmtId="166" formatCode="_([$$-409]* #,##0.00_);_([$$-409]* \(#,##0.00\);_([$$-409]* &quot;-&quot;??_);_(@_)"/>
    <numFmt numFmtId="167" formatCode="0.0%"/>
    <numFmt numFmtId="168" formatCode="0\F"/>
    <numFmt numFmtId="169" formatCode="&quot;FY&quot;0\A"/>
    <numFmt numFmtId="170" formatCode="&quot;FY&quot;0\E"/>
    <numFmt numFmtId="171" formatCode="0.0\x"/>
    <numFmt numFmtId="172" formatCode="#,##0.0\%"/>
    <numFmt numFmtId="173" formatCode="#,##0.00\%"/>
    <numFmt numFmtId="174" formatCode="#,##0.00\x"/>
    <numFmt numFmtId="175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2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BE1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963"/>
        <bgColor indexed="64"/>
      </patternFill>
    </fill>
    <fill>
      <patternFill patternType="solid">
        <fgColor rgb="FFFFC323"/>
        <bgColor indexed="64"/>
      </patternFill>
    </fill>
    <fill>
      <patternFill patternType="solid">
        <fgColor rgb="FF9ED1F6"/>
        <bgColor indexed="64"/>
      </patternFill>
    </fill>
    <fill>
      <patternFill patternType="solid">
        <fgColor rgb="FFF0E39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6" borderId="0" applyNumberFormat="0" applyBorder="0" applyAlignment="0" applyProtection="0"/>
    <xf numFmtId="0" fontId="12" fillId="0" borderId="0"/>
    <xf numFmtId="0" fontId="16" fillId="0" borderId="0"/>
  </cellStyleXfs>
  <cellXfs count="23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7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9" fontId="1" fillId="2" borderId="3" xfId="2" applyFon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9" fontId="1" fillId="2" borderId="0" xfId="2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43" fontId="1" fillId="2" borderId="8" xfId="1" applyFont="1" applyFill="1" applyBorder="1" applyAlignment="1">
      <alignment horizontal="center"/>
    </xf>
    <xf numFmtId="164" fontId="0" fillId="2" borderId="3" xfId="1" applyNumberFormat="1" applyFon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3" xfId="1" applyNumberFormat="1" applyFont="1" applyFill="1" applyBorder="1" applyAlignment="1">
      <alignment horizontal="center"/>
    </xf>
    <xf numFmtId="167" fontId="0" fillId="2" borderId="4" xfId="2" applyNumberFormat="1" applyFont="1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167" fontId="0" fillId="2" borderId="6" xfId="2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9" fontId="2" fillId="3" borderId="4" xfId="2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9" fontId="2" fillId="3" borderId="6" xfId="2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9" fontId="0" fillId="3" borderId="6" xfId="2" applyFon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left" indent="1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6" fontId="0" fillId="3" borderId="9" xfId="0" applyNumberFormat="1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166" fontId="0" fillId="3" borderId="1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6" fontId="0" fillId="0" borderId="0" xfId="0" applyNumberFormat="1"/>
    <xf numFmtId="0" fontId="0" fillId="0" borderId="10" xfId="0" applyBorder="1"/>
    <xf numFmtId="10" fontId="1" fillId="2" borderId="1" xfId="2" applyNumberFormat="1" applyFont="1" applyFill="1" applyBorder="1" applyAlignment="1">
      <alignment horizontal="center"/>
    </xf>
    <xf numFmtId="43" fontId="0" fillId="3" borderId="0" xfId="0" applyNumberFormat="1" applyFill="1" applyAlignment="1">
      <alignment horizontal="center"/>
    </xf>
    <xf numFmtId="0" fontId="0" fillId="4" borderId="2" xfId="0" applyFill="1" applyBorder="1" applyAlignment="1">
      <alignment horizontal="center"/>
    </xf>
    <xf numFmtId="166" fontId="0" fillId="4" borderId="3" xfId="0" applyNumberFormat="1" applyFill="1" applyBorder="1" applyAlignment="1">
      <alignment horizontal="center"/>
    </xf>
    <xf numFmtId="9" fontId="2" fillId="4" borderId="4" xfId="2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9" fontId="2" fillId="4" borderId="6" xfId="2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/>
    <xf numFmtId="9" fontId="0" fillId="4" borderId="0" xfId="2" applyFont="1" applyFill="1" applyBorder="1" applyAlignment="1">
      <alignment horizontal="center"/>
    </xf>
    <xf numFmtId="166" fontId="0" fillId="4" borderId="9" xfId="0" applyNumberForma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" xfId="0" applyFill="1" applyBorder="1"/>
    <xf numFmtId="0" fontId="0" fillId="4" borderId="8" xfId="0" applyFill="1" applyBorder="1"/>
    <xf numFmtId="9" fontId="0" fillId="2" borderId="2" xfId="2" applyFon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9" fontId="0" fillId="2" borderId="7" xfId="2" applyFon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/>
    <xf numFmtId="0" fontId="0" fillId="5" borderId="7" xfId="0" applyFill="1" applyBorder="1"/>
    <xf numFmtId="0" fontId="0" fillId="5" borderId="0" xfId="0" applyFill="1"/>
    <xf numFmtId="166" fontId="0" fillId="5" borderId="11" xfId="0" applyNumberFormat="1" applyFill="1" applyBorder="1"/>
    <xf numFmtId="0" fontId="0" fillId="5" borderId="6" xfId="0" applyFill="1" applyBorder="1"/>
    <xf numFmtId="166" fontId="0" fillId="5" borderId="8" xfId="0" applyNumberFormat="1" applyFill="1" applyBorder="1"/>
    <xf numFmtId="10" fontId="0" fillId="5" borderId="8" xfId="2" applyNumberFormat="1" applyFont="1" applyFill="1" applyBorder="1"/>
    <xf numFmtId="3" fontId="3" fillId="0" borderId="0" xfId="0" applyNumberFormat="1" applyFont="1"/>
    <xf numFmtId="3" fontId="0" fillId="0" borderId="0" xfId="0" applyNumberFormat="1"/>
    <xf numFmtId="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9" fontId="0" fillId="0" borderId="0" xfId="2" applyFont="1"/>
    <xf numFmtId="9" fontId="3" fillId="0" borderId="0" xfId="2" applyFont="1"/>
    <xf numFmtId="0" fontId="5" fillId="7" borderId="0" xfId="0" applyFont="1" applyFill="1"/>
    <xf numFmtId="0" fontId="1" fillId="6" borderId="12" xfId="3" applyBorder="1" applyAlignment="1">
      <alignment horizontal="center"/>
    </xf>
    <xf numFmtId="14" fontId="1" fillId="6" borderId="12" xfId="3" applyNumberFormat="1" applyBorder="1" applyAlignment="1">
      <alignment horizontal="center"/>
    </xf>
    <xf numFmtId="3" fontId="6" fillId="0" borderId="0" xfId="0" applyNumberFormat="1" applyFont="1"/>
    <xf numFmtId="9" fontId="4" fillId="0" borderId="0" xfId="2" applyFont="1"/>
    <xf numFmtId="3" fontId="7" fillId="0" borderId="0" xfId="0" applyNumberFormat="1" applyFont="1"/>
    <xf numFmtId="0" fontId="3" fillId="0" borderId="13" xfId="0" applyFont="1" applyBorder="1"/>
    <xf numFmtId="0" fontId="3" fillId="0" borderId="10" xfId="0" applyFont="1" applyBorder="1"/>
    <xf numFmtId="3" fontId="3" fillId="0" borderId="10" xfId="0" applyNumberFormat="1" applyFont="1" applyBorder="1"/>
    <xf numFmtId="9" fontId="4" fillId="0" borderId="0" xfId="0" applyNumberFormat="1" applyFont="1"/>
    <xf numFmtId="3" fontId="3" fillId="0" borderId="14" xfId="0" applyNumberFormat="1" applyFont="1" applyBorder="1"/>
    <xf numFmtId="10" fontId="1" fillId="6" borderId="12" xfId="2" applyNumberFormat="1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4" fontId="3" fillId="0" borderId="0" xfId="0" applyNumberFormat="1" applyFont="1"/>
    <xf numFmtId="168" fontId="0" fillId="0" borderId="0" xfId="0" applyNumberFormat="1"/>
    <xf numFmtId="0" fontId="3" fillId="0" borderId="1" xfId="0" applyFont="1" applyBorder="1"/>
    <xf numFmtId="37" fontId="0" fillId="0" borderId="1" xfId="0" applyNumberFormat="1" applyBorder="1"/>
    <xf numFmtId="8" fontId="0" fillId="0" borderId="0" xfId="0" applyNumberFormat="1"/>
    <xf numFmtId="10" fontId="0" fillId="0" borderId="0" xfId="2" applyNumberFormat="1" applyFont="1"/>
    <xf numFmtId="3" fontId="0" fillId="0" borderId="0" xfId="0" applyNumberFormat="1" applyAlignment="1">
      <alignment horizontal="center"/>
    </xf>
    <xf numFmtId="167" fontId="0" fillId="0" borderId="0" xfId="2" applyNumberFormat="1" applyFont="1"/>
    <xf numFmtId="167" fontId="0" fillId="0" borderId="1" xfId="2" applyNumberFormat="1" applyFont="1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left" indent="1"/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left" indent="1"/>
      <protection locked="0"/>
    </xf>
    <xf numFmtId="0" fontId="11" fillId="0" borderId="0" xfId="0" applyFont="1" applyAlignment="1" applyProtection="1">
      <alignment horizontal="left" indent="1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9" xfId="0" applyFont="1" applyBorder="1" applyAlignment="1" applyProtection="1">
      <alignment horizontal="left"/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11" fillId="0" borderId="0" xfId="0" applyFont="1" applyAlignment="1" applyProtection="1">
      <alignment horizontal="left" vertical="center" indent="1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 vertical="center" indent="1"/>
      <protection locked="0"/>
    </xf>
    <xf numFmtId="0" fontId="5" fillId="9" borderId="0" xfId="0" applyFont="1" applyFill="1"/>
    <xf numFmtId="0" fontId="8" fillId="9" borderId="0" xfId="0" applyFont="1" applyFill="1"/>
    <xf numFmtId="169" fontId="5" fillId="9" borderId="0" xfId="0" applyNumberFormat="1" applyFont="1" applyFill="1" applyAlignment="1">
      <alignment horizontal="center"/>
    </xf>
    <xf numFmtId="170" fontId="5" fillId="10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left" indent="2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" xfId="0" applyFont="1" applyBorder="1" applyProtection="1">
      <protection locked="0"/>
    </xf>
    <xf numFmtId="0" fontId="0" fillId="0" borderId="9" xfId="0" applyBorder="1"/>
    <xf numFmtId="3" fontId="3" fillId="0" borderId="9" xfId="0" applyNumberFormat="1" applyFont="1" applyBorder="1"/>
    <xf numFmtId="3" fontId="15" fillId="0" borderId="0" xfId="0" applyNumberFormat="1" applyFont="1"/>
    <xf numFmtId="0" fontId="0" fillId="11" borderId="0" xfId="0" applyFill="1"/>
    <xf numFmtId="0" fontId="3" fillId="11" borderId="0" xfId="0" applyFont="1" applyFill="1"/>
    <xf numFmtId="167" fontId="4" fillId="0" borderId="0" xfId="2" applyNumberFormat="1" applyFont="1"/>
    <xf numFmtId="0" fontId="11" fillId="0" borderId="1" xfId="0" applyFont="1" applyBorder="1" applyAlignment="1" applyProtection="1">
      <alignment horizontal="left" indent="1"/>
      <protection locked="0"/>
    </xf>
    <xf numFmtId="0" fontId="9" fillId="0" borderId="15" xfId="0" applyFont="1" applyBorder="1" applyAlignment="1" applyProtection="1">
      <alignment horizontal="left"/>
      <protection locked="0"/>
    </xf>
    <xf numFmtId="0" fontId="11" fillId="0" borderId="9" xfId="0" applyFont="1" applyBorder="1" applyAlignment="1" applyProtection="1">
      <alignment horizontal="left"/>
      <protection locked="0"/>
    </xf>
    <xf numFmtId="43" fontId="9" fillId="0" borderId="0" xfId="1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 vertical="center" indent="1"/>
      <protection locked="0"/>
    </xf>
    <xf numFmtId="0" fontId="3" fillId="0" borderId="9" xfId="0" applyFont="1" applyBorder="1"/>
    <xf numFmtId="0" fontId="9" fillId="0" borderId="1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3" fontId="3" fillId="0" borderId="15" xfId="0" applyNumberFormat="1" applyFont="1" applyBorder="1"/>
    <xf numFmtId="0" fontId="15" fillId="0" borderId="0" xfId="0" applyFont="1"/>
    <xf numFmtId="0" fontId="0" fillId="0" borderId="12" xfId="0" applyBorder="1"/>
    <xf numFmtId="167" fontId="4" fillId="0" borderId="12" xfId="0" applyNumberFormat="1" applyFont="1" applyBorder="1"/>
    <xf numFmtId="167" fontId="4" fillId="0" borderId="12" xfId="2" applyNumberFormat="1" applyFont="1" applyBorder="1"/>
    <xf numFmtId="3" fontId="4" fillId="0" borderId="12" xfId="2" applyNumberFormat="1" applyFont="1" applyBorder="1"/>
    <xf numFmtId="3" fontId="0" fillId="0" borderId="10" xfId="0" applyNumberFormat="1" applyBorder="1"/>
    <xf numFmtId="167" fontId="0" fillId="0" borderId="10" xfId="2" applyNumberFormat="1" applyFont="1" applyBorder="1"/>
    <xf numFmtId="10" fontId="0" fillId="0" borderId="0" xfId="0" applyNumberFormat="1"/>
    <xf numFmtId="171" fontId="0" fillId="0" borderId="0" xfId="0" applyNumberFormat="1"/>
    <xf numFmtId="10" fontId="0" fillId="0" borderId="1" xfId="0" applyNumberFormat="1" applyBorder="1"/>
    <xf numFmtId="10" fontId="3" fillId="0" borderId="0" xfId="0" applyNumberFormat="1" applyFont="1"/>
    <xf numFmtId="9" fontId="0" fillId="0" borderId="1" xfId="0" applyNumberFormat="1" applyBorder="1"/>
    <xf numFmtId="10" fontId="3" fillId="12" borderId="9" xfId="0" applyNumberFormat="1" applyFont="1" applyFill="1" applyBorder="1"/>
    <xf numFmtId="2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left" indent="1"/>
    </xf>
    <xf numFmtId="0" fontId="3" fillId="2" borderId="0" xfId="0" applyFont="1" applyFill="1"/>
    <xf numFmtId="0" fontId="0" fillId="2" borderId="0" xfId="0" applyFill="1"/>
    <xf numFmtId="4" fontId="3" fillId="12" borderId="0" xfId="0" applyNumberFormat="1" applyFont="1" applyFill="1"/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16" fillId="0" borderId="0" xfId="5"/>
    <xf numFmtId="0" fontId="17" fillId="0" borderId="0" xfId="5" applyFont="1"/>
    <xf numFmtId="0" fontId="16" fillId="0" borderId="16" xfId="5" applyBorder="1"/>
    <xf numFmtId="0" fontId="16" fillId="0" borderId="17" xfId="5" applyBorder="1"/>
    <xf numFmtId="0" fontId="0" fillId="0" borderId="0" xfId="0" quotePrefix="1"/>
    <xf numFmtId="0" fontId="17" fillId="11" borderId="0" xfId="5" applyFont="1" applyFill="1" applyAlignment="1">
      <alignment horizontal="left"/>
    </xf>
    <xf numFmtId="0" fontId="16" fillId="8" borderId="0" xfId="5" applyFill="1" applyAlignment="1">
      <alignment horizontal="left"/>
    </xf>
    <xf numFmtId="175" fontId="16" fillId="8" borderId="0" xfId="5" applyNumberFormat="1" applyFill="1" applyAlignment="1">
      <alignment horizontal="right"/>
    </xf>
    <xf numFmtId="175" fontId="18" fillId="8" borderId="0" xfId="5" applyNumberFormat="1" applyFont="1" applyFill="1" applyAlignment="1">
      <alignment horizontal="right"/>
    </xf>
    <xf numFmtId="172" fontId="16" fillId="8" borderId="0" xfId="5" applyNumberFormat="1" applyFill="1" applyAlignment="1">
      <alignment horizontal="right"/>
    </xf>
    <xf numFmtId="0" fontId="17" fillId="11" borderId="0" xfId="5" applyFont="1" applyFill="1" applyAlignment="1">
      <alignment horizontal="center"/>
    </xf>
    <xf numFmtId="0" fontId="17" fillId="11" borderId="5" xfId="5" applyFont="1" applyFill="1" applyBorder="1" applyAlignment="1">
      <alignment horizontal="center"/>
    </xf>
    <xf numFmtId="0" fontId="17" fillId="11" borderId="6" xfId="5" applyFont="1" applyFill="1" applyBorder="1" applyAlignment="1">
      <alignment horizontal="center"/>
    </xf>
    <xf numFmtId="0" fontId="16" fillId="5" borderId="2" xfId="5" applyFill="1" applyBorder="1" applyAlignment="1">
      <alignment horizontal="left"/>
    </xf>
    <xf numFmtId="0" fontId="16" fillId="5" borderId="3" xfId="5" applyFill="1" applyBorder="1" applyAlignment="1">
      <alignment horizontal="left"/>
    </xf>
    <xf numFmtId="172" fontId="16" fillId="5" borderId="4" xfId="5" applyNumberFormat="1" applyFill="1" applyBorder="1" applyAlignment="1">
      <alignment horizontal="center"/>
    </xf>
    <xf numFmtId="0" fontId="16" fillId="5" borderId="7" xfId="5" applyFill="1" applyBorder="1" applyAlignment="1">
      <alignment horizontal="left"/>
    </xf>
    <xf numFmtId="0" fontId="16" fillId="5" borderId="1" xfId="5" applyFill="1" applyBorder="1" applyAlignment="1">
      <alignment horizontal="left"/>
    </xf>
    <xf numFmtId="172" fontId="16" fillId="5" borderId="8" xfId="5" applyNumberFormat="1" applyFill="1" applyBorder="1" applyAlignment="1">
      <alignment horizontal="center"/>
    </xf>
    <xf numFmtId="0" fontId="16" fillId="5" borderId="3" xfId="5" applyFill="1" applyBorder="1" applyAlignment="1">
      <alignment horizontal="center"/>
    </xf>
    <xf numFmtId="0" fontId="16" fillId="5" borderId="2" xfId="5" applyFill="1" applyBorder="1" applyAlignment="1">
      <alignment horizontal="center"/>
    </xf>
    <xf numFmtId="0" fontId="16" fillId="5" borderId="4" xfId="5" applyFill="1" applyBorder="1" applyAlignment="1">
      <alignment horizontal="center"/>
    </xf>
    <xf numFmtId="174" fontId="16" fillId="5" borderId="2" xfId="5" applyNumberFormat="1" applyFill="1" applyBorder="1" applyAlignment="1">
      <alignment horizontal="center"/>
    </xf>
    <xf numFmtId="174" fontId="16" fillId="5" borderId="4" xfId="5" applyNumberFormat="1" applyFill="1" applyBorder="1" applyAlignment="1">
      <alignment horizontal="center"/>
    </xf>
    <xf numFmtId="173" fontId="16" fillId="5" borderId="3" xfId="5" applyNumberFormat="1" applyFill="1" applyBorder="1" applyAlignment="1">
      <alignment horizontal="center"/>
    </xf>
    <xf numFmtId="173" fontId="16" fillId="5" borderId="4" xfId="5" applyNumberFormat="1" applyFill="1" applyBorder="1" applyAlignment="1">
      <alignment horizontal="center"/>
    </xf>
    <xf numFmtId="0" fontId="16" fillId="5" borderId="1" xfId="5" applyFill="1" applyBorder="1" applyAlignment="1">
      <alignment horizontal="center"/>
    </xf>
    <xf numFmtId="0" fontId="16" fillId="5" borderId="7" xfId="5" applyFill="1" applyBorder="1" applyAlignment="1">
      <alignment horizontal="center"/>
    </xf>
    <xf numFmtId="0" fontId="16" fillId="5" borderId="8" xfId="5" applyFill="1" applyBorder="1" applyAlignment="1">
      <alignment horizontal="center"/>
    </xf>
    <xf numFmtId="174" fontId="16" fillId="5" borderId="7" xfId="5" applyNumberFormat="1" applyFill="1" applyBorder="1" applyAlignment="1">
      <alignment horizontal="center"/>
    </xf>
    <xf numFmtId="174" fontId="16" fillId="5" borderId="8" xfId="5" applyNumberFormat="1" applyFill="1" applyBorder="1" applyAlignment="1">
      <alignment horizontal="center"/>
    </xf>
    <xf numFmtId="173" fontId="16" fillId="5" borderId="1" xfId="5" applyNumberFormat="1" applyFill="1" applyBorder="1" applyAlignment="1">
      <alignment horizontal="center"/>
    </xf>
    <xf numFmtId="173" fontId="16" fillId="5" borderId="8" xfId="5" applyNumberFormat="1" applyFill="1" applyBorder="1" applyAlignment="1">
      <alignment horizontal="center"/>
    </xf>
    <xf numFmtId="172" fontId="16" fillId="5" borderId="3" xfId="5" applyNumberFormat="1" applyFill="1" applyBorder="1" applyAlignment="1">
      <alignment horizontal="right"/>
    </xf>
    <xf numFmtId="175" fontId="16" fillId="5" borderId="3" xfId="5" applyNumberFormat="1" applyFill="1" applyBorder="1" applyAlignment="1">
      <alignment horizontal="right"/>
    </xf>
    <xf numFmtId="175" fontId="16" fillId="5" borderId="4" xfId="5" applyNumberFormat="1" applyFill="1" applyBorder="1" applyAlignment="1">
      <alignment horizontal="right"/>
    </xf>
    <xf numFmtId="172" fontId="16" fillId="5" borderId="1" xfId="5" applyNumberFormat="1" applyFill="1" applyBorder="1" applyAlignment="1">
      <alignment horizontal="right"/>
    </xf>
    <xf numFmtId="175" fontId="16" fillId="5" borderId="1" xfId="5" applyNumberFormat="1" applyFill="1" applyBorder="1" applyAlignment="1">
      <alignment horizontal="right"/>
    </xf>
    <xf numFmtId="175" fontId="16" fillId="5" borderId="8" xfId="5" applyNumberFormat="1" applyFill="1" applyBorder="1" applyAlignment="1">
      <alignment horizontal="right"/>
    </xf>
    <xf numFmtId="172" fontId="16" fillId="5" borderId="2" xfId="5" applyNumberFormat="1" applyFill="1" applyBorder="1" applyAlignment="1">
      <alignment horizontal="center"/>
    </xf>
    <xf numFmtId="172" fontId="16" fillId="5" borderId="7" xfId="5" applyNumberFormat="1" applyFill="1" applyBorder="1" applyAlignment="1">
      <alignment horizontal="center"/>
    </xf>
    <xf numFmtId="0" fontId="17" fillId="11" borderId="5" xfId="5" applyFont="1" applyFill="1" applyBorder="1" applyAlignment="1">
      <alignment horizontal="left"/>
    </xf>
    <xf numFmtId="0" fontId="17" fillId="11" borderId="6" xfId="5" applyFont="1" applyFill="1" applyBorder="1" applyAlignment="1">
      <alignment horizontal="left"/>
    </xf>
    <xf numFmtId="172" fontId="16" fillId="8" borderId="5" xfId="5" applyNumberFormat="1" applyFill="1" applyBorder="1" applyAlignment="1">
      <alignment horizontal="center"/>
    </xf>
    <xf numFmtId="172" fontId="16" fillId="8" borderId="6" xfId="5" applyNumberFormat="1" applyFill="1" applyBorder="1" applyAlignment="1">
      <alignment horizontal="center"/>
    </xf>
    <xf numFmtId="0" fontId="1" fillId="0" borderId="0" xfId="0" applyFont="1"/>
    <xf numFmtId="4" fontId="16" fillId="8" borderId="0" xfId="5" applyNumberFormat="1" applyFill="1" applyAlignment="1">
      <alignment horizontal="center"/>
    </xf>
    <xf numFmtId="4" fontId="16" fillId="8" borderId="5" xfId="5" applyNumberFormat="1" applyFill="1" applyBorder="1" applyAlignment="1">
      <alignment horizontal="center"/>
    </xf>
    <xf numFmtId="175" fontId="16" fillId="8" borderId="0" xfId="5" applyNumberFormat="1" applyFill="1" applyAlignment="1">
      <alignment horizontal="center"/>
    </xf>
    <xf numFmtId="175" fontId="16" fillId="8" borderId="6" xfId="5" applyNumberFormat="1" applyFill="1" applyBorder="1" applyAlignment="1">
      <alignment horizontal="center"/>
    </xf>
    <xf numFmtId="174" fontId="16" fillId="8" borderId="5" xfId="5" applyNumberFormat="1" applyFill="1" applyBorder="1" applyAlignment="1">
      <alignment horizontal="center"/>
    </xf>
    <xf numFmtId="174" fontId="16" fillId="8" borderId="6" xfId="5" applyNumberFormat="1" applyFill="1" applyBorder="1" applyAlignment="1">
      <alignment horizontal="center"/>
    </xf>
    <xf numFmtId="0" fontId="16" fillId="8" borderId="5" xfId="5" applyFill="1" applyBorder="1" applyAlignment="1">
      <alignment horizontal="center"/>
    </xf>
    <xf numFmtId="0" fontId="16" fillId="8" borderId="6" xfId="5" applyFill="1" applyBorder="1" applyAlignment="1">
      <alignment horizontal="center"/>
    </xf>
    <xf numFmtId="173" fontId="16" fillId="8" borderId="0" xfId="5" applyNumberFormat="1" applyFill="1" applyAlignment="1">
      <alignment horizontal="center"/>
    </xf>
    <xf numFmtId="175" fontId="3" fillId="0" borderId="0" xfId="0" applyNumberFormat="1" applyFont="1"/>
    <xf numFmtId="167" fontId="0" fillId="0" borderId="0" xfId="0" applyNumberFormat="1"/>
    <xf numFmtId="169" fontId="0" fillId="0" borderId="0" xfId="0" applyNumberFormat="1" applyAlignment="1">
      <alignment horizontal="center"/>
    </xf>
    <xf numFmtId="0" fontId="17" fillId="11" borderId="5" xfId="5" applyFont="1" applyFill="1" applyBorder="1" applyAlignment="1">
      <alignment horizontal="center"/>
    </xf>
    <xf numFmtId="0" fontId="17" fillId="11" borderId="6" xfId="5" applyFont="1" applyFill="1" applyBorder="1" applyAlignment="1">
      <alignment horizontal="center"/>
    </xf>
    <xf numFmtId="0" fontId="17" fillId="11" borderId="0" xfId="5" applyFont="1" applyFill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20% - Accent4" xfId="3" builtinId="42"/>
    <cellStyle name="Comma" xfId="1" builtinId="3"/>
    <cellStyle name="Normal" xfId="0" builtinId="0"/>
    <cellStyle name="Normal 2" xfId="4" xr:uid="{A68C1BE6-1EEF-4892-BEF6-74C6D5CC7940}"/>
    <cellStyle name="Normal 3" xfId="5" xr:uid="{4FD33D8B-9142-463D-8B5A-874D8331EBEB}"/>
    <cellStyle name="Per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0E399"/>
      <color rgb="FF9ED1F6"/>
      <color rgb="FF002963"/>
      <color rgb="FFFFC323"/>
      <color rgb="FFFBE1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204-47FD-837C-AB4DC71403AF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04-47FD-837C-AB4DC71403AF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204-47FD-837C-AB4DC71403AF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04-47FD-837C-AB4DC71403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Old_Main!$F$4:$F$7</c:f>
              <c:strCache>
                <c:ptCount val="3"/>
                <c:pt idx="0">
                  <c:v>United States</c:v>
                </c:pt>
                <c:pt idx="1">
                  <c:v>Asia/Pacific</c:v>
                </c:pt>
                <c:pt idx="2">
                  <c:v>Total</c:v>
                </c:pt>
              </c:strCache>
            </c:strRef>
          </c:cat>
          <c:val>
            <c:numRef>
              <c:f>Old_Main!$J$4:$J$7</c:f>
              <c:numCache>
                <c:formatCode>0.0%</c:formatCode>
                <c:ptCount val="4"/>
                <c:pt idx="0">
                  <c:v>0.64952993768592204</c:v>
                </c:pt>
                <c:pt idx="1">
                  <c:v>0.35047006231407801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4-47FD-837C-AB4DC71403A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11243362021608"/>
          <c:y val="5.0925925925925923E-2"/>
          <c:w val="0.88010634329623527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Old_Main!$S$15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2963"/>
            </a:solidFill>
            <a:ln>
              <a:noFill/>
            </a:ln>
            <a:effectLst/>
          </c:spPr>
          <c:invertIfNegative val="0"/>
          <c:cat>
            <c:numRef>
              <c:f>Old_Main!$U$14:$Z$14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Old_Main!$U$15:$Z$15</c:f>
              <c:numCache>
                <c:formatCode>#,##0.0</c:formatCode>
                <c:ptCount val="6"/>
                <c:pt idx="0">
                  <c:v>70.847999999999999</c:v>
                </c:pt>
                <c:pt idx="1">
                  <c:v>71.965000000000003</c:v>
                </c:pt>
                <c:pt idx="2">
                  <c:v>77.867000000000004</c:v>
                </c:pt>
                <c:pt idx="3">
                  <c:v>79.024000000000001</c:v>
                </c:pt>
                <c:pt idx="4">
                  <c:v>63.054000000000002</c:v>
                </c:pt>
                <c:pt idx="5">
                  <c:v>54.228000000000002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0-41B3-8E1E-B732DCCD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888384"/>
        <c:axId val="937888864"/>
      </c:barChart>
      <c:lineChart>
        <c:grouping val="standard"/>
        <c:varyColors val="0"/>
        <c:ser>
          <c:idx val="1"/>
          <c:order val="1"/>
          <c:tx>
            <c:strRef>
              <c:f>Old_Main!$S$16</c:f>
              <c:strCache>
                <c:ptCount val="1"/>
                <c:pt idx="0">
                  <c:v>% Growth</c:v>
                </c:pt>
              </c:strCache>
            </c:strRef>
          </c:tx>
          <c:spPr>
            <a:ln w="28575" cap="rnd">
              <a:solidFill>
                <a:srgbClr val="FFC32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Old_Main!$U$14:$Z$14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Old_Main!$U$16:$Z$16</c:f>
              <c:numCache>
                <c:formatCode>0%</c:formatCode>
                <c:ptCount val="6"/>
                <c:pt idx="0">
                  <c:v>0.12885390608817571</c:v>
                </c:pt>
                <c:pt idx="1">
                  <c:v>1.576614724480585E-2</c:v>
                </c:pt>
                <c:pt idx="2">
                  <c:v>8.2012089210032668E-2</c:v>
                </c:pt>
                <c:pt idx="3">
                  <c:v>1.4858669269395275E-2</c:v>
                </c:pt>
                <c:pt idx="4">
                  <c:v>-0.20209050415063778</c:v>
                </c:pt>
                <c:pt idx="5">
                  <c:v>-0.13997525930155108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0-41B3-8E1E-B732DCCD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694880"/>
        <c:axId val="1425733952"/>
      </c:lineChart>
      <c:catAx>
        <c:axId val="937888384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888864"/>
        <c:crosses val="autoZero"/>
        <c:auto val="1"/>
        <c:lblAlgn val="ctr"/>
        <c:lblOffset val="100"/>
        <c:noMultiLvlLbl val="0"/>
      </c:catAx>
      <c:valAx>
        <c:axId val="937888864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888384"/>
        <c:crosses val="autoZero"/>
        <c:crossBetween val="between"/>
      </c:valAx>
      <c:valAx>
        <c:axId val="142573395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694880"/>
        <c:crosses val="max"/>
        <c:crossBetween val="between"/>
      </c:valAx>
      <c:catAx>
        <c:axId val="1522694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5733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Old_Main!$S$20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02963"/>
            </a:solidFill>
            <a:ln>
              <a:noFill/>
            </a:ln>
            <a:effectLst/>
          </c:spPr>
          <c:invertIfNegative val="0"/>
          <c:cat>
            <c:numRef>
              <c:f>Old_Main!$U$19:$Z$19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Old_Main!$U$20:$Z$20</c:f>
              <c:numCache>
                <c:formatCode>#,##0</c:formatCode>
                <c:ptCount val="6"/>
                <c:pt idx="0">
                  <c:v>43737</c:v>
                </c:pt>
                <c:pt idx="1">
                  <c:v>42140</c:v>
                </c:pt>
                <c:pt idx="2">
                  <c:v>43612</c:v>
                </c:pt>
                <c:pt idx="3">
                  <c:v>43815</c:v>
                </c:pt>
                <c:pt idx="4">
                  <c:v>26866</c:v>
                </c:pt>
                <c:pt idx="5">
                  <c:v>21711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0-4DAB-95D6-75CA02FEC1DD}"/>
            </c:ext>
          </c:extLst>
        </c:ser>
        <c:ser>
          <c:idx val="1"/>
          <c:order val="1"/>
          <c:tx>
            <c:strRef>
              <c:f>Old_Main!$S$21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9ED1F6"/>
            </a:solidFill>
            <a:ln>
              <a:noFill/>
            </a:ln>
            <a:effectLst/>
          </c:spPr>
          <c:invertIfNegative val="0"/>
          <c:cat>
            <c:numRef>
              <c:f>Old_Main!$U$19:$Z$19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Old_Main!$U$21:$Z$21</c:f>
              <c:numCache>
                <c:formatCode>#,##0</c:formatCode>
                <c:ptCount val="6"/>
                <c:pt idx="0">
                  <c:v>70848</c:v>
                </c:pt>
                <c:pt idx="1">
                  <c:v>71965</c:v>
                </c:pt>
                <c:pt idx="2">
                  <c:v>77867</c:v>
                </c:pt>
                <c:pt idx="3">
                  <c:v>79024</c:v>
                </c:pt>
                <c:pt idx="4">
                  <c:v>63054</c:v>
                </c:pt>
                <c:pt idx="5">
                  <c:v>54228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0-4DAB-95D6-75CA02FEC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005824"/>
        <c:axId val="935007744"/>
      </c:barChart>
      <c:catAx>
        <c:axId val="93500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007744"/>
        <c:crosses val="autoZero"/>
        <c:auto val="1"/>
        <c:lblAlgn val="ctr"/>
        <c:lblOffset val="100"/>
        <c:noMultiLvlLbl val="0"/>
      </c:catAx>
      <c:valAx>
        <c:axId val="9350077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00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ED1F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6E-4FD9-82AC-651491BF00AE}"/>
              </c:ext>
            </c:extLst>
          </c:dPt>
          <c:dPt>
            <c:idx val="1"/>
            <c:bubble3D val="0"/>
            <c:spPr>
              <a:solidFill>
                <a:srgbClr val="F0E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56E-4FD9-82AC-651491BF00AE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Old_Main!$S$25:$S$26</c:f>
              <c:strCache>
                <c:ptCount val="2"/>
                <c:pt idx="0">
                  <c:v>Intel</c:v>
                </c:pt>
                <c:pt idx="1">
                  <c:v>AMD</c:v>
                </c:pt>
              </c:strCache>
            </c:strRef>
          </c:cat>
          <c:val>
            <c:numRef>
              <c:f>Old_Main!$T$25:$T$26</c:f>
              <c:numCache>
                <c:formatCode>0.0%</c:formatCode>
                <c:ptCount val="2"/>
                <c:pt idx="0">
                  <c:v>0.626</c:v>
                </c:pt>
                <c:pt idx="1">
                  <c:v>0.33400000000000002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E-4FD9-82AC-651491BF00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size">
        <cx:f dir="row">_xlchart.v1.1</cx:f>
      </cx:numDim>
    </cx:data>
  </cx:chartData>
  <cx:chart>
    <cx:plotArea>
      <cx:plotAreaRegion>
        <cx:series layoutId="treemap" uniqueId="{DF2A99E6-BBF5-4ABB-97D9-C22E40451EC8}">
          <cx:dataLabels pos="inEnd">
            <cx:numFmt formatCode="0.00%" sourceLinked="0"/>
            <cx:visibility seriesName="0" categoryName="0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95250</xdr:rowOff>
    </xdr:from>
    <xdr:to>
      <xdr:col>12</xdr:col>
      <xdr:colOff>0</xdr:colOff>
      <xdr:row>79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54DAF3D-54B0-CE95-DCB9-470DC3711747}"/>
            </a:ext>
          </a:extLst>
        </xdr:cNvPr>
        <xdr:cNvCxnSpPr/>
      </xdr:nvCxnSpPr>
      <xdr:spPr>
        <a:xfrm>
          <a:off x="7086600" y="95250"/>
          <a:ext cx="0" cy="15201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24765</xdr:colOff>
      <xdr:row>1</xdr:row>
      <xdr:rowOff>38100</xdr:rowOff>
    </xdr:from>
    <xdr:to>
      <xdr:col>22</xdr:col>
      <xdr:colOff>24765</xdr:colOff>
      <xdr:row>70</xdr:row>
      <xdr:rowOff>76200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C265486-B7CA-4211-B827-5989C2C88CDF}"/>
            </a:ext>
          </a:extLst>
        </xdr:cNvPr>
        <xdr:cNvCxnSpPr/>
      </xdr:nvCxnSpPr>
      <xdr:spPr>
        <a:xfrm>
          <a:off x="17198340" y="228600"/>
          <a:ext cx="0" cy="1146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</xdr:colOff>
      <xdr:row>1</xdr:row>
      <xdr:rowOff>37148</xdr:rowOff>
    </xdr:from>
    <xdr:to>
      <xdr:col>13</xdr:col>
      <xdr:colOff>952</xdr:colOff>
      <xdr:row>52</xdr:row>
      <xdr:rowOff>12383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FFDF439-448F-4DE0-AE83-A01916C0FACA}"/>
            </a:ext>
          </a:extLst>
        </xdr:cNvPr>
        <xdr:cNvCxnSpPr/>
      </xdr:nvCxnSpPr>
      <xdr:spPr>
        <a:xfrm>
          <a:off x="13316902" y="218123"/>
          <a:ext cx="0" cy="75761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133350</xdr:rowOff>
    </xdr:from>
    <xdr:to>
      <xdr:col>11</xdr:col>
      <xdr:colOff>19050</xdr:colOff>
      <xdr:row>55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3B2413A-655F-BCC2-2F85-D6A687483034}"/>
            </a:ext>
          </a:extLst>
        </xdr:cNvPr>
        <xdr:cNvCxnSpPr/>
      </xdr:nvCxnSpPr>
      <xdr:spPr>
        <a:xfrm>
          <a:off x="6334125" y="2038350"/>
          <a:ext cx="0" cy="838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395287</xdr:colOff>
      <xdr:row>20</xdr:row>
      <xdr:rowOff>166687</xdr:rowOff>
    </xdr:from>
    <xdr:to>
      <xdr:col>16</xdr:col>
      <xdr:colOff>438150</xdr:colOff>
      <xdr:row>35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12D26B-5016-8553-0F80-1721D2FC0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147638</xdr:colOff>
      <xdr:row>23</xdr:row>
      <xdr:rowOff>23812</xdr:rowOff>
    </xdr:from>
    <xdr:to>
      <xdr:col>5</xdr:col>
      <xdr:colOff>571500</xdr:colOff>
      <xdr:row>35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B89A659-B957-5AB2-80D1-18219197D9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1138" y="4405312"/>
              <a:ext cx="3119437" cy="2328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466726</xdr:colOff>
      <xdr:row>20</xdr:row>
      <xdr:rowOff>166687</xdr:rowOff>
    </xdr:from>
    <xdr:to>
      <xdr:col>16</xdr:col>
      <xdr:colOff>219076</xdr:colOff>
      <xdr:row>35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2C59C3-25D8-5C76-438C-F28C370F5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576263</xdr:colOff>
      <xdr:row>31</xdr:row>
      <xdr:rowOff>4762</xdr:rowOff>
    </xdr:from>
    <xdr:to>
      <xdr:col>23</xdr:col>
      <xdr:colOff>171450</xdr:colOff>
      <xdr:row>44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D02EF7-EF00-44E2-E72A-F4FF00273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528638</xdr:colOff>
      <xdr:row>45</xdr:row>
      <xdr:rowOff>0</xdr:rowOff>
    </xdr:from>
    <xdr:to>
      <xdr:col>22</xdr:col>
      <xdr:colOff>390526</xdr:colOff>
      <xdr:row>56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922807-ACA3-1ADB-382F-A287252A4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FF7C-D32E-4F03-B12E-27E64ADC795C}">
  <dimension ref="B2:U105"/>
  <sheetViews>
    <sheetView showGridLines="0" tabSelected="1" zoomScale="87" zoomScaleNormal="100" workbookViewId="0">
      <selection activeCell="U61" sqref="U61"/>
    </sheetView>
  </sheetViews>
  <sheetFormatPr defaultRowHeight="15" x14ac:dyDescent="0.25"/>
  <cols>
    <col min="1" max="1" width="5.7109375" customWidth="1"/>
    <col min="13" max="13" width="11.7109375" bestFit="1" customWidth="1"/>
    <col min="18" max="18" width="5.7109375" customWidth="1"/>
  </cols>
  <sheetData>
    <row r="2" spans="2:17" x14ac:dyDescent="0.25">
      <c r="B2" s="125" t="s">
        <v>81</v>
      </c>
      <c r="C2" s="126"/>
      <c r="D2" s="126"/>
      <c r="E2" s="126"/>
      <c r="F2" s="126"/>
      <c r="G2" s="126"/>
      <c r="H2" s="127">
        <v>2019</v>
      </c>
      <c r="I2" s="127">
        <f>H2+1</f>
        <v>2020</v>
      </c>
      <c r="J2" s="127">
        <f t="shared" ref="J2:Q2" si="0">I2+1</f>
        <v>2021</v>
      </c>
      <c r="K2" s="127">
        <f t="shared" si="0"/>
        <v>2022</v>
      </c>
      <c r="L2" s="127">
        <f t="shared" si="0"/>
        <v>2023</v>
      </c>
      <c r="M2" s="128">
        <f t="shared" si="0"/>
        <v>2024</v>
      </c>
      <c r="N2" s="128">
        <f t="shared" si="0"/>
        <v>2025</v>
      </c>
      <c r="O2" s="128">
        <f t="shared" si="0"/>
        <v>2026</v>
      </c>
      <c r="P2" s="128">
        <f t="shared" si="0"/>
        <v>2027</v>
      </c>
      <c r="Q2" s="128">
        <f t="shared" si="0"/>
        <v>2028</v>
      </c>
    </row>
    <row r="3" spans="2:17" x14ac:dyDescent="0.25">
      <c r="B3" s="112" t="s">
        <v>0</v>
      </c>
      <c r="G3" s="135">
        <f>Model!Q15</f>
        <v>70848</v>
      </c>
      <c r="H3" s="82">
        <f>Model!R15</f>
        <v>71965</v>
      </c>
      <c r="I3" s="82">
        <f>Model!S15</f>
        <v>77867</v>
      </c>
      <c r="J3" s="82">
        <f>Model!T15</f>
        <v>79024</v>
      </c>
      <c r="K3" s="82">
        <f>Model!U15</f>
        <v>63054</v>
      </c>
      <c r="L3" s="82">
        <f>Model!V15</f>
        <v>54228</v>
      </c>
      <c r="M3" s="82">
        <f>L3*(M21+1)</f>
        <v>57481.68</v>
      </c>
      <c r="N3" s="82">
        <f t="shared" ref="N3:Q3" si="1">M3*(N21+1)</f>
        <v>60930.580800000003</v>
      </c>
      <c r="O3" s="82">
        <f t="shared" si="1"/>
        <v>63977.109840000005</v>
      </c>
      <c r="P3" s="82">
        <f t="shared" si="1"/>
        <v>67175.965332000007</v>
      </c>
      <c r="Q3" s="82">
        <f t="shared" si="1"/>
        <v>69863.003945280012</v>
      </c>
    </row>
    <row r="4" spans="2:17" x14ac:dyDescent="0.25">
      <c r="B4" s="130" t="s">
        <v>117</v>
      </c>
      <c r="C4" s="101"/>
      <c r="D4" s="101"/>
      <c r="E4" s="101"/>
      <c r="F4" s="101"/>
      <c r="G4" s="101"/>
      <c r="H4" s="102">
        <f>Model!R16</f>
        <v>29825</v>
      </c>
      <c r="I4" s="102">
        <f>Model!S16</f>
        <v>34255</v>
      </c>
      <c r="J4" s="102">
        <f>Model!T16</f>
        <v>35209</v>
      </c>
      <c r="K4" s="102">
        <f>Model!U16</f>
        <v>36188</v>
      </c>
      <c r="L4" s="102">
        <f>Model!V16</f>
        <v>32517</v>
      </c>
      <c r="M4" s="102">
        <f>M3*M22</f>
        <v>34489.008000000002</v>
      </c>
      <c r="N4" s="102">
        <f t="shared" ref="N4:Q4" si="2">N3*N22</f>
        <v>33511.819440000007</v>
      </c>
      <c r="O4" s="102">
        <f t="shared" si="2"/>
        <v>31988.554920000002</v>
      </c>
      <c r="P4" s="102">
        <f t="shared" si="2"/>
        <v>30229.184399400005</v>
      </c>
      <c r="Q4" s="102">
        <f t="shared" si="2"/>
        <v>27945.201578112006</v>
      </c>
    </row>
    <row r="5" spans="2:17" x14ac:dyDescent="0.25">
      <c r="B5" s="129" t="s">
        <v>118</v>
      </c>
      <c r="H5" s="81">
        <f>H3-H4</f>
        <v>42140</v>
      </c>
      <c r="I5" s="81">
        <f t="shared" ref="I5:L5" si="3">I3-I4</f>
        <v>43612</v>
      </c>
      <c r="J5" s="81">
        <f t="shared" si="3"/>
        <v>43815</v>
      </c>
      <c r="K5" s="81">
        <f t="shared" si="3"/>
        <v>26866</v>
      </c>
      <c r="L5" s="81">
        <f t="shared" si="3"/>
        <v>21711</v>
      </c>
      <c r="M5" s="81">
        <f t="shared" ref="M5" si="4">M3-M4</f>
        <v>22992.671999999999</v>
      </c>
      <c r="N5" s="81">
        <f t="shared" ref="N5" si="5">N3-N4</f>
        <v>27418.761359999997</v>
      </c>
      <c r="O5" s="81">
        <f t="shared" ref="O5" si="6">O3-O4</f>
        <v>31988.554920000002</v>
      </c>
      <c r="P5" s="81">
        <f t="shared" ref="P5" si="7">P3-P4</f>
        <v>36946.780932599999</v>
      </c>
      <c r="Q5" s="81">
        <f t="shared" ref="Q5" si="8">Q3-Q4</f>
        <v>41917.802367168006</v>
      </c>
    </row>
    <row r="6" spans="2:17" x14ac:dyDescent="0.25">
      <c r="B6" s="114"/>
    </row>
    <row r="7" spans="2:17" x14ac:dyDescent="0.25">
      <c r="B7" s="113" t="s">
        <v>187</v>
      </c>
      <c r="H7" s="82">
        <f>Model!R18</f>
        <v>13362</v>
      </c>
      <c r="I7" s="82">
        <f>Model!S18</f>
        <v>13556</v>
      </c>
      <c r="J7" s="82">
        <f>Model!T18</f>
        <v>15190</v>
      </c>
      <c r="K7" s="82">
        <f>Model!U18</f>
        <v>17528</v>
      </c>
      <c r="L7" s="82">
        <f>Model!V18</f>
        <v>16046</v>
      </c>
      <c r="M7" s="82">
        <f>M3*M23</f>
        <v>14678.959297318683</v>
      </c>
      <c r="N7" s="82">
        <f t="shared" ref="N7:Q7" si="9">N3*N23</f>
        <v>15232.645200000001</v>
      </c>
      <c r="O7" s="82">
        <f t="shared" si="9"/>
        <v>14394.849714000002</v>
      </c>
      <c r="P7" s="82">
        <f t="shared" si="9"/>
        <v>13435.193066400003</v>
      </c>
      <c r="Q7" s="82">
        <f t="shared" si="9"/>
        <v>13972.600789056003</v>
      </c>
    </row>
    <row r="8" spans="2:17" x14ac:dyDescent="0.25">
      <c r="B8" s="130" t="s">
        <v>119</v>
      </c>
      <c r="C8" s="101"/>
      <c r="D8" s="101"/>
      <c r="E8" s="101"/>
      <c r="F8" s="101"/>
      <c r="G8" s="101"/>
      <c r="H8" s="102">
        <f>Model!R19</f>
        <v>6150</v>
      </c>
      <c r="I8" s="102">
        <f>Model!S19</f>
        <v>6180</v>
      </c>
      <c r="J8" s="102">
        <f>Model!T19</f>
        <v>6543</v>
      </c>
      <c r="K8" s="102">
        <f>Model!U19</f>
        <v>7002</v>
      </c>
      <c r="L8" s="102">
        <f>Model!V19</f>
        <v>5634</v>
      </c>
      <c r="M8" s="102">
        <f>M24*M3</f>
        <v>5704.8645880157565</v>
      </c>
      <c r="N8" s="102">
        <f t="shared" ref="N8:Q8" si="10">N24*N3</f>
        <v>5788.4051760000002</v>
      </c>
      <c r="O8" s="102">
        <f t="shared" si="10"/>
        <v>6077.8254348000009</v>
      </c>
      <c r="P8" s="102">
        <f t="shared" si="10"/>
        <v>6045.8368798800002</v>
      </c>
      <c r="Q8" s="102">
        <f t="shared" si="10"/>
        <v>5938.3553353488014</v>
      </c>
    </row>
    <row r="9" spans="2:17" x14ac:dyDescent="0.25">
      <c r="B9" s="114" t="s">
        <v>50</v>
      </c>
      <c r="H9" s="81">
        <f>H5-H7-H8</f>
        <v>22628</v>
      </c>
      <c r="I9" s="81">
        <f t="shared" ref="I9:Q9" si="11">I5-I7-I8</f>
        <v>23876</v>
      </c>
      <c r="J9" s="81">
        <f t="shared" si="11"/>
        <v>22082</v>
      </c>
      <c r="K9" s="81">
        <f t="shared" si="11"/>
        <v>2336</v>
      </c>
      <c r="L9" s="81">
        <f t="shared" si="11"/>
        <v>31</v>
      </c>
      <c r="M9" s="81">
        <f t="shared" si="11"/>
        <v>2608.8481146655595</v>
      </c>
      <c r="N9" s="81">
        <f t="shared" si="11"/>
        <v>6397.7109839999957</v>
      </c>
      <c r="O9" s="81">
        <f t="shared" si="11"/>
        <v>11515.879771199998</v>
      </c>
      <c r="P9" s="81">
        <f t="shared" si="11"/>
        <v>17465.750986319996</v>
      </c>
      <c r="Q9" s="81">
        <f t="shared" si="11"/>
        <v>22006.8462427632</v>
      </c>
    </row>
    <row r="10" spans="2:17" x14ac:dyDescent="0.25">
      <c r="B10" s="114"/>
    </row>
    <row r="11" spans="2:17" x14ac:dyDescent="0.25">
      <c r="B11" s="130" t="s">
        <v>188</v>
      </c>
      <c r="C11" s="101"/>
      <c r="D11" s="101"/>
      <c r="E11" s="101"/>
      <c r="F11" s="101"/>
      <c r="G11" s="101"/>
      <c r="H11" s="101">
        <f>Model!R22</f>
        <v>484</v>
      </c>
      <c r="I11" s="101">
        <f>Model!S22</f>
        <v>-504</v>
      </c>
      <c r="J11" s="101">
        <f>Model!T22</f>
        <v>-482</v>
      </c>
      <c r="K11" s="101">
        <f>Model!U22</f>
        <v>1166</v>
      </c>
      <c r="L11" s="101">
        <f>Model!V22</f>
        <v>629</v>
      </c>
      <c r="M11" s="101">
        <f>M27*M46</f>
        <v>1174.45</v>
      </c>
      <c r="N11" s="101">
        <f t="shared" ref="N11:Q11" si="12">N27*N46</f>
        <v>1106.20875</v>
      </c>
      <c r="O11" s="101">
        <f t="shared" si="12"/>
        <v>1037.9675</v>
      </c>
      <c r="P11" s="101">
        <f t="shared" si="12"/>
        <v>969.72624999999994</v>
      </c>
      <c r="Q11" s="101">
        <f t="shared" si="12"/>
        <v>901.48500000000013</v>
      </c>
    </row>
    <row r="12" spans="2:17" x14ac:dyDescent="0.25">
      <c r="B12" s="131" t="s">
        <v>120</v>
      </c>
      <c r="H12" s="81">
        <f>H9-H11</f>
        <v>22144</v>
      </c>
      <c r="I12" s="81">
        <f t="shared" ref="I12:L12" si="13">I9-I11</f>
        <v>24380</v>
      </c>
      <c r="J12" s="81">
        <f t="shared" si="13"/>
        <v>22564</v>
      </c>
      <c r="K12" s="81">
        <f t="shared" si="13"/>
        <v>1170</v>
      </c>
      <c r="L12" s="81">
        <f t="shared" si="13"/>
        <v>-598</v>
      </c>
      <c r="M12" s="81">
        <f t="shared" ref="M12" si="14">M9-M11</f>
        <v>1434.3981146655594</v>
      </c>
      <c r="N12" s="81">
        <f t="shared" ref="N12" si="15">N9-N11</f>
        <v>5291.502233999996</v>
      </c>
      <c r="O12" s="81">
        <f t="shared" ref="O12" si="16">O9-O11</f>
        <v>10477.912271199997</v>
      </c>
      <c r="P12" s="81">
        <f t="shared" ref="P12" si="17">P9-P11</f>
        <v>16496.024736319996</v>
      </c>
      <c r="Q12" s="81">
        <f t="shared" ref="Q12" si="18">Q9-Q11</f>
        <v>21105.3612427632</v>
      </c>
    </row>
    <row r="13" spans="2:17" x14ac:dyDescent="0.25">
      <c r="B13" s="130" t="s">
        <v>121</v>
      </c>
      <c r="C13" s="101"/>
      <c r="D13" s="101"/>
      <c r="E13" s="101"/>
      <c r="F13" s="101"/>
      <c r="G13" s="101"/>
      <c r="H13" s="102">
        <f>Model!R24</f>
        <v>3010</v>
      </c>
      <c r="I13" s="102">
        <f>Model!S24</f>
        <v>4179</v>
      </c>
      <c r="J13" s="102">
        <f>Model!T24</f>
        <v>1835</v>
      </c>
      <c r="K13" s="102">
        <f>Model!U24</f>
        <v>-249</v>
      </c>
      <c r="L13" s="102">
        <f>Model!V24</f>
        <v>-913</v>
      </c>
      <c r="M13" s="102">
        <f>M12*M28</f>
        <v>301.22360407976748</v>
      </c>
      <c r="N13" s="102">
        <f t="shared" ref="N13:Q13" si="19">N12*N28</f>
        <v>1111.2154691399992</v>
      </c>
      <c r="O13" s="102">
        <f t="shared" si="19"/>
        <v>2200.3615769519993</v>
      </c>
      <c r="P13" s="102">
        <f t="shared" si="19"/>
        <v>3464.1651946271991</v>
      </c>
      <c r="Q13" s="102">
        <f t="shared" si="19"/>
        <v>4432.1258609802717</v>
      </c>
    </row>
    <row r="14" spans="2:17" ht="15.75" thickBot="1" x14ac:dyDescent="0.3">
      <c r="B14" s="132" t="s">
        <v>46</v>
      </c>
      <c r="C14" s="133"/>
      <c r="D14" s="133"/>
      <c r="E14" s="133"/>
      <c r="F14" s="133"/>
      <c r="G14" s="133"/>
      <c r="H14" s="134">
        <f>H12-H13</f>
        <v>19134</v>
      </c>
      <c r="I14" s="134">
        <f t="shared" ref="I14:L14" si="20">I12-I13</f>
        <v>20201</v>
      </c>
      <c r="J14" s="134">
        <f t="shared" si="20"/>
        <v>20729</v>
      </c>
      <c r="K14" s="134">
        <f t="shared" si="20"/>
        <v>1419</v>
      </c>
      <c r="L14" s="134">
        <f t="shared" si="20"/>
        <v>315</v>
      </c>
      <c r="M14" s="134">
        <f t="shared" ref="M14" si="21">M12-M13</f>
        <v>1133.1745105857919</v>
      </c>
      <c r="N14" s="134">
        <f t="shared" ref="N14" si="22">N12-N13</f>
        <v>4180.2867648599968</v>
      </c>
      <c r="O14" s="134">
        <f t="shared" ref="O14" si="23">O12-O13</f>
        <v>8277.5506942479988</v>
      </c>
      <c r="P14" s="134">
        <f t="shared" ref="P14" si="24">P12-P13</f>
        <v>13031.859541692796</v>
      </c>
      <c r="Q14" s="134">
        <f t="shared" ref="Q14" si="25">Q12-Q13</f>
        <v>16673.235381782928</v>
      </c>
    </row>
    <row r="15" spans="2:17" ht="15.75" thickTop="1" x14ac:dyDescent="0.25">
      <c r="B15" s="112"/>
    </row>
    <row r="16" spans="2:17" x14ac:dyDescent="0.25">
      <c r="B16" s="112" t="s">
        <v>83</v>
      </c>
      <c r="H16" s="82">
        <f>H9</f>
        <v>22628</v>
      </c>
      <c r="I16" s="82">
        <f t="shared" ref="I16:Q16" si="26">I9</f>
        <v>23876</v>
      </c>
      <c r="J16" s="82">
        <f t="shared" si="26"/>
        <v>22082</v>
      </c>
      <c r="K16" s="82">
        <f t="shared" si="26"/>
        <v>2336</v>
      </c>
      <c r="L16" s="82">
        <f t="shared" si="26"/>
        <v>31</v>
      </c>
      <c r="M16" s="82">
        <f t="shared" si="26"/>
        <v>2608.8481146655595</v>
      </c>
      <c r="N16" s="82">
        <f t="shared" si="26"/>
        <v>6397.7109839999957</v>
      </c>
      <c r="O16" s="82">
        <f t="shared" si="26"/>
        <v>11515.879771199998</v>
      </c>
      <c r="P16" s="82">
        <f t="shared" si="26"/>
        <v>17465.750986319996</v>
      </c>
      <c r="Q16" s="82">
        <f t="shared" si="26"/>
        <v>22006.8462427632</v>
      </c>
    </row>
    <row r="17" spans="2:21" x14ac:dyDescent="0.25">
      <c r="B17" s="130" t="s">
        <v>122</v>
      </c>
      <c r="C17" s="101"/>
      <c r="D17" s="101"/>
      <c r="E17" s="101"/>
      <c r="F17" s="101"/>
      <c r="G17" s="101"/>
      <c r="H17" s="102">
        <f>Model!R35+Model!R38</f>
        <v>10826</v>
      </c>
      <c r="I17" s="102">
        <f>Model!S35+Model!S38</f>
        <v>12239</v>
      </c>
      <c r="J17" s="102">
        <f>Model!T35+Model!T38</f>
        <v>11792</v>
      </c>
      <c r="K17" s="102">
        <f>Model!U35+Model!U38</f>
        <v>13035</v>
      </c>
      <c r="L17" s="102">
        <f>Model!V35+Model!V38</f>
        <v>12883</v>
      </c>
      <c r="M17" s="102">
        <f>M25*M3</f>
        <v>11496.336000000001</v>
      </c>
      <c r="N17" s="102">
        <f t="shared" ref="N17:Q17" si="27">N25*N3</f>
        <v>12186.116160000001</v>
      </c>
      <c r="O17" s="102">
        <f t="shared" si="27"/>
        <v>12795.421968000002</v>
      </c>
      <c r="P17" s="102">
        <f t="shared" si="27"/>
        <v>12091.67375976</v>
      </c>
      <c r="Q17" s="102">
        <f t="shared" si="27"/>
        <v>11876.710670697603</v>
      </c>
    </row>
    <row r="18" spans="2:21" x14ac:dyDescent="0.25">
      <c r="B18" s="114" t="s">
        <v>1</v>
      </c>
      <c r="H18" s="81">
        <f>H16+H17</f>
        <v>33454</v>
      </c>
      <c r="I18" s="81">
        <f t="shared" ref="I18:L18" si="28">I16+I17</f>
        <v>36115</v>
      </c>
      <c r="J18" s="81">
        <f t="shared" si="28"/>
        <v>33874</v>
      </c>
      <c r="K18" s="81">
        <f t="shared" si="28"/>
        <v>15371</v>
      </c>
      <c r="L18" s="81">
        <f t="shared" si="28"/>
        <v>12914</v>
      </c>
      <c r="M18" s="81">
        <f t="shared" ref="M18" si="29">M16+M17</f>
        <v>14105.184114665561</v>
      </c>
      <c r="N18" s="81">
        <f t="shared" ref="N18" si="30">N16+N17</f>
        <v>18583.827143999995</v>
      </c>
      <c r="O18" s="81">
        <f t="shared" ref="O18" si="31">O16+O17</f>
        <v>24311.3017392</v>
      </c>
      <c r="P18" s="81">
        <f t="shared" ref="P18" si="32">P16+P17</f>
        <v>29557.424746079996</v>
      </c>
      <c r="Q18" s="81">
        <f t="shared" ref="Q18" si="33">Q16+Q17</f>
        <v>33883.556913460801</v>
      </c>
    </row>
    <row r="19" spans="2:21" x14ac:dyDescent="0.25">
      <c r="B19" s="112"/>
    </row>
    <row r="20" spans="2:21" x14ac:dyDescent="0.25">
      <c r="B20" s="137" t="s">
        <v>123</v>
      </c>
      <c r="C20" s="136"/>
      <c r="D20" s="136"/>
      <c r="E20" s="136"/>
      <c r="F20" s="136"/>
      <c r="G20" s="136"/>
    </row>
    <row r="21" spans="2:21" x14ac:dyDescent="0.25">
      <c r="B21" s="115" t="s">
        <v>124</v>
      </c>
      <c r="H21" s="138">
        <f>H3/G3-1</f>
        <v>1.576614724480585E-2</v>
      </c>
      <c r="I21" s="138">
        <f>I3/H3-1</f>
        <v>8.2012089210032668E-2</v>
      </c>
      <c r="J21" s="138">
        <f>J3/I3-1</f>
        <v>1.4858669269395275E-2</v>
      </c>
      <c r="K21" s="138">
        <f>K3/J3-1</f>
        <v>-0.20209050415063778</v>
      </c>
      <c r="L21" s="138">
        <f>L3/K3-1</f>
        <v>-0.13997525930155108</v>
      </c>
      <c r="M21" s="156">
        <v>0.06</v>
      </c>
      <c r="N21" s="156">
        <v>0.06</v>
      </c>
      <c r="O21" s="156">
        <v>0.05</v>
      </c>
      <c r="P21" s="156">
        <v>0.05</v>
      </c>
      <c r="Q21" s="156">
        <v>0.04</v>
      </c>
    </row>
    <row r="22" spans="2:21" x14ac:dyDescent="0.25">
      <c r="B22" s="115" t="s">
        <v>125</v>
      </c>
      <c r="H22" s="138">
        <f>H4/H3</f>
        <v>0.41443757382060725</v>
      </c>
      <c r="I22" s="138">
        <f>I4/I3</f>
        <v>0.43991678117816274</v>
      </c>
      <c r="J22" s="138">
        <f>J4/J3</f>
        <v>0.4455481878922859</v>
      </c>
      <c r="K22" s="138">
        <f>K4/K3</f>
        <v>0.57392076632727507</v>
      </c>
      <c r="L22" s="138">
        <f>L4/L3</f>
        <v>0.59963487497233903</v>
      </c>
      <c r="M22" s="156">
        <v>0.6</v>
      </c>
      <c r="N22" s="156">
        <v>0.55000000000000004</v>
      </c>
      <c r="O22" s="156">
        <v>0.5</v>
      </c>
      <c r="P22" s="156">
        <v>0.45</v>
      </c>
      <c r="Q22" s="156">
        <v>0.4</v>
      </c>
    </row>
    <row r="23" spans="2:21" x14ac:dyDescent="0.25">
      <c r="B23" s="115" t="s">
        <v>189</v>
      </c>
      <c r="H23" s="138">
        <f>H7/H3</f>
        <v>0.18567359132911831</v>
      </c>
      <c r="I23" s="138">
        <f>I7/I3</f>
        <v>0.17409172049777183</v>
      </c>
      <c r="J23" s="138">
        <f>J7/J3</f>
        <v>0.19222008503745697</v>
      </c>
      <c r="K23" s="138">
        <f>K7/K3</f>
        <v>0.27798395026485234</v>
      </c>
      <c r="L23" s="138">
        <f>L7/L3</f>
        <v>0.29589879766910082</v>
      </c>
      <c r="M23" s="156">
        <f>AVERAGE(J23:L23)</f>
        <v>0.25536761099047006</v>
      </c>
      <c r="N23" s="156">
        <v>0.25</v>
      </c>
      <c r="O23" s="156">
        <v>0.22500000000000001</v>
      </c>
      <c r="P23" s="156">
        <v>0.2</v>
      </c>
      <c r="Q23" s="156">
        <v>0.2</v>
      </c>
    </row>
    <row r="24" spans="2:21" x14ac:dyDescent="0.25">
      <c r="B24" s="115" t="s">
        <v>126</v>
      </c>
      <c r="H24" s="138">
        <f>H8/H3</f>
        <v>8.5458208851525053E-2</v>
      </c>
      <c r="I24" s="138">
        <f>I8/I3</f>
        <v>7.9366098604029947E-2</v>
      </c>
      <c r="J24" s="138">
        <f>J8/J3</f>
        <v>8.2797631099412836E-2</v>
      </c>
      <c r="K24" s="138">
        <f>K8/K3</f>
        <v>0.11104767342278048</v>
      </c>
      <c r="L24" s="138">
        <f>L8/L3</f>
        <v>0.10389466696171719</v>
      </c>
      <c r="M24" s="156">
        <f>AVERAGE(J24:L24)</f>
        <v>9.92466571613035E-2</v>
      </c>
      <c r="N24" s="156">
        <v>9.5000000000000001E-2</v>
      </c>
      <c r="O24" s="156">
        <v>9.5000000000000001E-2</v>
      </c>
      <c r="P24" s="156">
        <v>0.09</v>
      </c>
      <c r="Q24" s="156">
        <v>8.5000000000000006E-2</v>
      </c>
    </row>
    <row r="25" spans="2:21" x14ac:dyDescent="0.25">
      <c r="B25" s="115" t="s">
        <v>127</v>
      </c>
      <c r="H25" s="138">
        <f>H17/H3</f>
        <v>0.15043423886611548</v>
      </c>
      <c r="I25" s="138">
        <f>I17/I3</f>
        <v>0.15717826550400041</v>
      </c>
      <c r="J25" s="138">
        <f>J17/J3</f>
        <v>0.1492204899777283</v>
      </c>
      <c r="K25" s="138">
        <f>K17/K3</f>
        <v>0.20672756684746407</v>
      </c>
      <c r="L25" s="138">
        <f>L17/L3</f>
        <v>0.2375709965331563</v>
      </c>
      <c r="M25" s="156">
        <v>0.2</v>
      </c>
      <c r="N25" s="156">
        <v>0.2</v>
      </c>
      <c r="O25" s="156">
        <v>0.2</v>
      </c>
      <c r="P25" s="156">
        <v>0.18</v>
      </c>
      <c r="Q25" s="156">
        <v>0.17</v>
      </c>
      <c r="U25" t="s">
        <v>116</v>
      </c>
    </row>
    <row r="26" spans="2:21" x14ac:dyDescent="0.25">
      <c r="B26" s="115" t="s">
        <v>128</v>
      </c>
      <c r="H26" s="138">
        <f>H17/H58</f>
        <v>0.66773576759390607</v>
      </c>
      <c r="I26" s="138">
        <f t="shared" ref="I26:L26" si="34">I17/I58</f>
        <v>0.85833508661196434</v>
      </c>
      <c r="J26" s="138">
        <f t="shared" si="34"/>
        <v>0.62947739283617143</v>
      </c>
      <c r="K26" s="138">
        <f t="shared" si="34"/>
        <v>0.52467396554500079</v>
      </c>
      <c r="L26" s="138">
        <f t="shared" si="34"/>
        <v>0.50031067961165043</v>
      </c>
      <c r="M26" s="156"/>
      <c r="N26" s="156"/>
      <c r="O26" s="156"/>
      <c r="P26" s="156"/>
      <c r="Q26" s="156"/>
    </row>
    <row r="27" spans="2:21" x14ac:dyDescent="0.25">
      <c r="B27" s="115" t="s">
        <v>199</v>
      </c>
      <c r="H27" s="138">
        <f>H11/H46</f>
        <v>1.8143649722597091E-2</v>
      </c>
      <c r="I27" s="138">
        <f t="shared" ref="I27:L27" si="35">I11/I46</f>
        <v>-1.4292196007259528E-2</v>
      </c>
      <c r="J27" s="138">
        <f t="shared" si="35"/>
        <v>-1.430479299599347E-2</v>
      </c>
      <c r="K27" s="138">
        <f t="shared" si="35"/>
        <v>3.0941513639741004E-2</v>
      </c>
      <c r="L27" s="138">
        <f t="shared" si="35"/>
        <v>1.3389246030056623E-2</v>
      </c>
      <c r="M27" s="156">
        <v>2.5000000000000001E-2</v>
      </c>
      <c r="N27" s="156">
        <v>2.5000000000000001E-2</v>
      </c>
      <c r="O27" s="156">
        <v>2.5000000000000001E-2</v>
      </c>
      <c r="P27" s="156">
        <v>2.5000000000000001E-2</v>
      </c>
      <c r="Q27" s="156">
        <v>2.5000000000000001E-2</v>
      </c>
    </row>
    <row r="28" spans="2:21" x14ac:dyDescent="0.25">
      <c r="B28" s="115" t="s">
        <v>129</v>
      </c>
      <c r="H28" s="138">
        <f>H13/H12</f>
        <v>0.13592846820809248</v>
      </c>
      <c r="I28" s="138">
        <f>I13/I12</f>
        <v>0.1714109926168991</v>
      </c>
      <c r="J28" s="138">
        <f>J13/J12</f>
        <v>8.1324233291969514E-2</v>
      </c>
      <c r="K28" s="138">
        <f>K13/K12</f>
        <v>-0.21282051282051281</v>
      </c>
      <c r="L28" s="138">
        <f>L13/L12</f>
        <v>1.5267558528428093</v>
      </c>
      <c r="M28" s="156">
        <v>0.21</v>
      </c>
      <c r="N28" s="156">
        <f>M28</f>
        <v>0.21</v>
      </c>
      <c r="O28" s="156">
        <f t="shared" ref="O28:Q28" si="36">N28</f>
        <v>0.21</v>
      </c>
      <c r="P28" s="156">
        <f t="shared" si="36"/>
        <v>0.21</v>
      </c>
      <c r="Q28" s="156">
        <f t="shared" si="36"/>
        <v>0.21</v>
      </c>
    </row>
    <row r="30" spans="2:21" x14ac:dyDescent="0.25">
      <c r="B30" s="125" t="s">
        <v>130</v>
      </c>
      <c r="C30" s="126"/>
      <c r="D30" s="126"/>
      <c r="E30" s="126"/>
      <c r="F30" s="126"/>
      <c r="G30" s="126"/>
      <c r="H30" s="127">
        <v>2019</v>
      </c>
      <c r="I30" s="127">
        <f>H30+1</f>
        <v>2020</v>
      </c>
      <c r="J30" s="127">
        <f t="shared" ref="J30:Q30" si="37">I30+1</f>
        <v>2021</v>
      </c>
      <c r="K30" s="127">
        <f t="shared" si="37"/>
        <v>2022</v>
      </c>
      <c r="L30" s="127">
        <f t="shared" si="37"/>
        <v>2023</v>
      </c>
      <c r="M30" s="128">
        <f t="shared" si="37"/>
        <v>2024</v>
      </c>
      <c r="N30" s="128">
        <f t="shared" si="37"/>
        <v>2025</v>
      </c>
      <c r="O30" s="128">
        <f t="shared" si="37"/>
        <v>2026</v>
      </c>
      <c r="P30" s="128">
        <f t="shared" si="37"/>
        <v>2027</v>
      </c>
      <c r="Q30" s="128">
        <f t="shared" si="37"/>
        <v>2028</v>
      </c>
    </row>
    <row r="31" spans="2:21" x14ac:dyDescent="0.25">
      <c r="B31" s="116" t="s">
        <v>131</v>
      </c>
      <c r="C31" s="116"/>
      <c r="H31" s="82">
        <f>Model!R47</f>
        <v>13123</v>
      </c>
      <c r="I31" s="82">
        <f>Model!S47</f>
        <v>23895</v>
      </c>
      <c r="J31" s="82">
        <f>Model!T47</f>
        <v>28413</v>
      </c>
      <c r="K31" s="82">
        <f>Model!U47</f>
        <v>28338</v>
      </c>
      <c r="L31" s="82">
        <f>Model!V47</f>
        <v>25034</v>
      </c>
      <c r="M31" s="82">
        <f>L31/1.2</f>
        <v>20861.666666666668</v>
      </c>
      <c r="N31" s="82">
        <f t="shared" ref="N31:Q31" si="38">M31/1.2</f>
        <v>17384.722222222223</v>
      </c>
      <c r="O31" s="82">
        <f t="shared" si="38"/>
        <v>14487.26851851852</v>
      </c>
      <c r="P31" s="82">
        <f t="shared" si="38"/>
        <v>12072.7237654321</v>
      </c>
      <c r="Q31" s="82">
        <f t="shared" si="38"/>
        <v>10060.603137860084</v>
      </c>
    </row>
    <row r="32" spans="2:21" x14ac:dyDescent="0.25">
      <c r="B32" s="116" t="s">
        <v>132</v>
      </c>
      <c r="C32" s="116"/>
      <c r="H32" s="82">
        <f>Model!R48</f>
        <v>7659</v>
      </c>
      <c r="I32" s="82">
        <f>Model!S48</f>
        <v>6782</v>
      </c>
      <c r="J32" s="82">
        <f>Model!T48</f>
        <v>9457</v>
      </c>
      <c r="K32" s="82">
        <f>Model!U48</f>
        <v>4133</v>
      </c>
      <c r="L32" s="82">
        <f>Model!V48</f>
        <v>3402</v>
      </c>
      <c r="M32" s="82">
        <f>M55*M3</f>
        <v>4023.7176000000004</v>
      </c>
      <c r="N32" s="82">
        <f t="shared" ref="N32:Q32" si="39">N55*N3</f>
        <v>4874.4464640000006</v>
      </c>
      <c r="O32" s="82">
        <f t="shared" si="39"/>
        <v>5757.9398855999998</v>
      </c>
      <c r="P32" s="82">
        <f t="shared" si="39"/>
        <v>6717.5965332000014</v>
      </c>
      <c r="Q32" s="82">
        <f t="shared" si="39"/>
        <v>6986.3003945280016</v>
      </c>
    </row>
    <row r="33" spans="2:17" x14ac:dyDescent="0.25">
      <c r="B33" s="116" t="s">
        <v>133</v>
      </c>
      <c r="C33" s="116"/>
      <c r="H33" s="82">
        <f>Model!R49</f>
        <v>8744</v>
      </c>
      <c r="I33" s="82">
        <f>Model!S49</f>
        <v>8427</v>
      </c>
      <c r="J33" s="82">
        <f>Model!T49</f>
        <v>10776</v>
      </c>
      <c r="K33" s="82">
        <f>Model!U49</f>
        <v>13224</v>
      </c>
      <c r="L33" s="82">
        <f>Model!V49</f>
        <v>11127</v>
      </c>
      <c r="M33" s="82">
        <f>M56*M4</f>
        <v>10346.7024</v>
      </c>
      <c r="N33" s="82">
        <f t="shared" ref="N33:Q33" si="40">N56*N4</f>
        <v>10053.545832000002</v>
      </c>
      <c r="O33" s="82">
        <f t="shared" si="40"/>
        <v>9596.566476</v>
      </c>
      <c r="P33" s="82">
        <f t="shared" si="40"/>
        <v>9068.7553198200003</v>
      </c>
      <c r="Q33" s="82">
        <f t="shared" si="40"/>
        <v>8383.5604734336011</v>
      </c>
    </row>
    <row r="34" spans="2:17" x14ac:dyDescent="0.25">
      <c r="B34" s="139" t="s">
        <v>134</v>
      </c>
      <c r="C34" s="139"/>
      <c r="D34" s="101"/>
      <c r="E34" s="101"/>
      <c r="F34" s="101"/>
      <c r="G34" s="101"/>
      <c r="H34" s="102">
        <f>Model!R50</f>
        <v>1713</v>
      </c>
      <c r="I34" s="102">
        <f>Model!S50</f>
        <v>8145</v>
      </c>
      <c r="J34" s="102">
        <f>Model!T50</f>
        <v>9072</v>
      </c>
      <c r="K34" s="102">
        <f>Model!U50</f>
        <v>4712</v>
      </c>
      <c r="L34" s="102">
        <f>Model!V50</f>
        <v>3706</v>
      </c>
      <c r="M34" s="102">
        <f>M57*M3</f>
        <v>4440.7577149747485</v>
      </c>
      <c r="N34" s="102">
        <f t="shared" ref="N34:Q34" si="41">N57*N3</f>
        <v>4707.2031778732344</v>
      </c>
      <c r="O34" s="102">
        <f t="shared" si="41"/>
        <v>4942.5633367668961</v>
      </c>
      <c r="P34" s="102">
        <f t="shared" si="41"/>
        <v>5189.6915036052405</v>
      </c>
      <c r="Q34" s="102">
        <f t="shared" si="41"/>
        <v>5397.2791637494511</v>
      </c>
    </row>
    <row r="35" spans="2:17" x14ac:dyDescent="0.25">
      <c r="B35" s="117" t="s">
        <v>135</v>
      </c>
      <c r="C35" s="123"/>
      <c r="D35" s="84"/>
      <c r="E35" s="84"/>
      <c r="F35" s="84"/>
      <c r="G35" s="84"/>
      <c r="H35" s="81">
        <f>H31+H32+H33+H34</f>
        <v>31239</v>
      </c>
      <c r="I35" s="81">
        <f t="shared" ref="I35:L35" si="42">I31+I32+I33+I34</f>
        <v>47249</v>
      </c>
      <c r="J35" s="81">
        <f t="shared" si="42"/>
        <v>57718</v>
      </c>
      <c r="K35" s="81">
        <f t="shared" si="42"/>
        <v>50407</v>
      </c>
      <c r="L35" s="81">
        <f t="shared" si="42"/>
        <v>43269</v>
      </c>
      <c r="M35" s="81">
        <f t="shared" ref="M35" si="43">M31+M32+M33+M34</f>
        <v>39672.844381641422</v>
      </c>
      <c r="N35" s="81">
        <f t="shared" ref="N35" si="44">N31+N32+N33+N34</f>
        <v>37019.917696095457</v>
      </c>
      <c r="O35" s="81">
        <f t="shared" ref="O35" si="45">O31+O32+O33+O34</f>
        <v>34784.338216885415</v>
      </c>
      <c r="P35" s="81">
        <f t="shared" ref="P35" si="46">P31+P32+P33+P34</f>
        <v>33048.767122057339</v>
      </c>
      <c r="Q35" s="81">
        <f t="shared" ref="Q35" si="47">Q31+Q32+Q33+Q34</f>
        <v>30827.743169571138</v>
      </c>
    </row>
    <row r="36" spans="2:17" x14ac:dyDescent="0.25">
      <c r="B36" s="117"/>
      <c r="C36" s="117"/>
    </row>
    <row r="37" spans="2:17" x14ac:dyDescent="0.25">
      <c r="B37" s="116" t="s">
        <v>136</v>
      </c>
      <c r="C37" s="116"/>
      <c r="H37" s="82">
        <f>Model!R52</f>
        <v>55386</v>
      </c>
      <c r="I37" s="82">
        <f>Model!S52</f>
        <v>56584</v>
      </c>
      <c r="J37" s="82">
        <f>Model!T52</f>
        <v>63245</v>
      </c>
      <c r="K37" s="82">
        <f>Model!U52</f>
        <v>80860</v>
      </c>
      <c r="L37" s="82">
        <f>Model!V52</f>
        <v>96647</v>
      </c>
      <c r="M37" s="82">
        <f>L37+M58-M17</f>
        <v>106340.57620852768</v>
      </c>
      <c r="N37" s="82">
        <f t="shared" ref="N37:Q37" si="48">M37+N58-N17</f>
        <v>115480.16332852768</v>
      </c>
      <c r="O37" s="82">
        <f t="shared" si="48"/>
        <v>121877.87431252765</v>
      </c>
      <c r="P37" s="82">
        <f t="shared" si="48"/>
        <v>126580.19188576766</v>
      </c>
      <c r="Q37" s="82">
        <f t="shared" si="48"/>
        <v>128676.08200412606</v>
      </c>
    </row>
    <row r="38" spans="2:17" x14ac:dyDescent="0.25">
      <c r="B38" s="116" t="s">
        <v>190</v>
      </c>
      <c r="C38" s="116"/>
      <c r="H38" s="82">
        <f>Model!R54</f>
        <v>37103</v>
      </c>
      <c r="I38" s="82">
        <f>Model!S54</f>
        <v>35997</v>
      </c>
      <c r="J38" s="82">
        <f>Model!T54</f>
        <v>34233</v>
      </c>
      <c r="K38" s="82">
        <f>Model!U54</f>
        <v>33609</v>
      </c>
      <c r="L38" s="82">
        <f>Model!V54</f>
        <v>32180</v>
      </c>
      <c r="M38" s="82">
        <f>L38</f>
        <v>32180</v>
      </c>
      <c r="N38" s="82">
        <f t="shared" ref="N38:Q38" si="49">M38</f>
        <v>32180</v>
      </c>
      <c r="O38" s="82">
        <f t="shared" si="49"/>
        <v>32180</v>
      </c>
      <c r="P38" s="82">
        <f t="shared" si="49"/>
        <v>32180</v>
      </c>
      <c r="Q38" s="82">
        <f t="shared" si="49"/>
        <v>32180</v>
      </c>
    </row>
    <row r="39" spans="2:17" x14ac:dyDescent="0.25">
      <c r="B39" s="139" t="s">
        <v>137</v>
      </c>
      <c r="C39" s="139"/>
      <c r="D39" s="101"/>
      <c r="E39" s="101"/>
      <c r="F39" s="101"/>
      <c r="G39" s="101"/>
      <c r="H39" s="102">
        <f>Model!R55+Model!R53</f>
        <v>12796</v>
      </c>
      <c r="I39" s="102">
        <f>Model!S55+Model!S53</f>
        <v>13261</v>
      </c>
      <c r="J39" s="102">
        <f>Model!T55+Model!T53</f>
        <v>13210</v>
      </c>
      <c r="K39" s="102">
        <f>Model!U55+Model!U53</f>
        <v>17227</v>
      </c>
      <c r="L39" s="102">
        <f>Model!V55+Model!V53</f>
        <v>19476</v>
      </c>
      <c r="M39" s="102">
        <f>AVERAGE(J39:L39)</f>
        <v>16637.666666666668</v>
      </c>
      <c r="N39" s="102">
        <f t="shared" ref="N39:Q39" si="50">AVERAGE(K39:M39)</f>
        <v>17780.222222222223</v>
      </c>
      <c r="O39" s="102">
        <f t="shared" si="50"/>
        <v>17964.629629629631</v>
      </c>
      <c r="P39" s="102">
        <f t="shared" si="50"/>
        <v>17460.839506172841</v>
      </c>
      <c r="Q39" s="102">
        <f t="shared" si="50"/>
        <v>17735.230452674896</v>
      </c>
    </row>
    <row r="40" spans="2:17" ht="15.75" thickBot="1" x14ac:dyDescent="0.3">
      <c r="B40" s="140" t="s">
        <v>138</v>
      </c>
      <c r="C40" s="141"/>
      <c r="D40" s="133"/>
      <c r="E40" s="133"/>
      <c r="F40" s="133"/>
      <c r="G40" s="133"/>
      <c r="H40" s="134">
        <f>H37+H38+H39+H35</f>
        <v>136524</v>
      </c>
      <c r="I40" s="134">
        <f t="shared" ref="I40:L40" si="51">I37+I38+I39+I35</f>
        <v>153091</v>
      </c>
      <c r="J40" s="134">
        <f t="shared" si="51"/>
        <v>168406</v>
      </c>
      <c r="K40" s="134">
        <f t="shared" si="51"/>
        <v>182103</v>
      </c>
      <c r="L40" s="134">
        <f t="shared" si="51"/>
        <v>191572</v>
      </c>
      <c r="M40" s="134">
        <f t="shared" ref="M40" si="52">M37+M38+M39+M35</f>
        <v>194831.08725683574</v>
      </c>
      <c r="N40" s="134">
        <f t="shared" ref="N40" si="53">N37+N38+N39+N35</f>
        <v>202460.30324684535</v>
      </c>
      <c r="O40" s="134">
        <f t="shared" ref="O40" si="54">O37+O38+O39+O35</f>
        <v>206806.84215904272</v>
      </c>
      <c r="P40" s="134">
        <f t="shared" ref="P40" si="55">P37+P38+P39+P35</f>
        <v>209269.79851399787</v>
      </c>
      <c r="Q40" s="134">
        <f t="shared" ref="Q40" si="56">Q37+Q38+Q39+Q35</f>
        <v>209419.05562637208</v>
      </c>
    </row>
    <row r="41" spans="2:17" ht="15.75" thickTop="1" x14ac:dyDescent="0.25">
      <c r="B41" s="119"/>
      <c r="C41" s="119"/>
    </row>
    <row r="42" spans="2:17" x14ac:dyDescent="0.25">
      <c r="B42" s="120" t="s">
        <v>139</v>
      </c>
      <c r="C42" s="120"/>
      <c r="H42" s="82">
        <f>Model!R59</f>
        <v>4128</v>
      </c>
      <c r="I42" s="82">
        <f>Model!S59</f>
        <v>5581</v>
      </c>
      <c r="J42" s="82">
        <f>Model!T59</f>
        <v>5747</v>
      </c>
      <c r="K42" s="82">
        <f>Model!U59</f>
        <v>9595</v>
      </c>
      <c r="L42" s="82">
        <f>Model!V59</f>
        <v>8578</v>
      </c>
      <c r="M42" s="82">
        <f>M60*M4</f>
        <v>5603.6294569414904</v>
      </c>
      <c r="N42" s="82">
        <f t="shared" ref="N42:Q42" si="57">N60*N4</f>
        <v>6032.1274992000008</v>
      </c>
      <c r="O42" s="82">
        <f t="shared" si="57"/>
        <v>6397.7109840000012</v>
      </c>
      <c r="P42" s="82">
        <f t="shared" si="57"/>
        <v>6650.4205678680009</v>
      </c>
      <c r="Q42" s="82">
        <f t="shared" si="57"/>
        <v>6706.8483787468813</v>
      </c>
    </row>
    <row r="43" spans="2:17" x14ac:dyDescent="0.25">
      <c r="B43" s="143" t="s">
        <v>140</v>
      </c>
      <c r="C43" s="143"/>
      <c r="D43" s="101"/>
      <c r="E43" s="101"/>
      <c r="F43" s="101"/>
      <c r="G43" s="101"/>
      <c r="H43" s="102">
        <f>Model!R58+Model!R60+Model!R61</f>
        <v>18182</v>
      </c>
      <c r="I43" s="102">
        <f>Model!S58+Model!S60+Model!S61</f>
        <v>19173</v>
      </c>
      <c r="J43" s="102">
        <f>Model!T58+Model!T60+Model!T61</f>
        <v>21715</v>
      </c>
      <c r="K43" s="102">
        <f>Model!U58+Model!U60+Model!U61</f>
        <v>22560</v>
      </c>
      <c r="L43" s="102">
        <f>Model!V58+Model!V60+Model!V61</f>
        <v>19475</v>
      </c>
      <c r="M43" s="102">
        <f>M61*M3</f>
        <v>19001.724959495376</v>
      </c>
      <c r="N43" s="102">
        <f t="shared" ref="N43:Q43" si="58">N61*N3</f>
        <v>18279.17424</v>
      </c>
      <c r="O43" s="102">
        <f t="shared" si="58"/>
        <v>17593.705206000002</v>
      </c>
      <c r="P43" s="102">
        <f t="shared" si="58"/>
        <v>16793.991333000002</v>
      </c>
      <c r="Q43" s="102">
        <f t="shared" si="58"/>
        <v>17465.750986320003</v>
      </c>
    </row>
    <row r="44" spans="2:17" x14ac:dyDescent="0.25">
      <c r="B44" s="142" t="s">
        <v>141</v>
      </c>
      <c r="C44" s="142"/>
      <c r="H44" s="81">
        <f>H42+H43</f>
        <v>22310</v>
      </c>
      <c r="I44" s="81">
        <f t="shared" ref="I44:L44" si="59">I42+I43</f>
        <v>24754</v>
      </c>
      <c r="J44" s="81">
        <f t="shared" si="59"/>
        <v>27462</v>
      </c>
      <c r="K44" s="81">
        <f t="shared" si="59"/>
        <v>32155</v>
      </c>
      <c r="L44" s="81">
        <f t="shared" si="59"/>
        <v>28053</v>
      </c>
      <c r="M44" s="81">
        <f t="shared" ref="M44" si="60">M42+M43</f>
        <v>24605.354416436865</v>
      </c>
      <c r="N44" s="81">
        <f t="shared" ref="N44" si="61">N42+N43</f>
        <v>24311.3017392</v>
      </c>
      <c r="O44" s="81">
        <f t="shared" ref="O44" si="62">O42+O43</f>
        <v>23991.416190000004</v>
      </c>
      <c r="P44" s="81">
        <f t="shared" ref="P44" si="63">P42+P43</f>
        <v>23444.411900868003</v>
      </c>
      <c r="Q44" s="81">
        <f t="shared" ref="Q44" si="64">Q42+Q43</f>
        <v>24172.599365066882</v>
      </c>
    </row>
    <row r="45" spans="2:17" x14ac:dyDescent="0.25">
      <c r="B45" s="121"/>
      <c r="C45" s="121"/>
    </row>
    <row r="46" spans="2:17" x14ac:dyDescent="0.25">
      <c r="B46" s="120" t="s">
        <v>142</v>
      </c>
      <c r="C46" s="120"/>
      <c r="H46" s="82">
        <f>Model!R63+Model!R64</f>
        <v>26676</v>
      </c>
      <c r="I46" s="82">
        <f>Model!S63+Model!S64</f>
        <v>35264</v>
      </c>
      <c r="J46" s="82">
        <f>Model!T63+Model!T64</f>
        <v>33695</v>
      </c>
      <c r="K46" s="82">
        <f>Model!U63+Model!U64</f>
        <v>37684</v>
      </c>
      <c r="L46" s="82">
        <f>Model!V63+Model!V64</f>
        <v>46978</v>
      </c>
      <c r="M46" s="82">
        <f>L46</f>
        <v>46978</v>
      </c>
      <c r="N46" s="82">
        <f>M46-N62</f>
        <v>44248.35</v>
      </c>
      <c r="O46" s="82">
        <f t="shared" ref="O46:P46" si="65">N46-O62</f>
        <v>41518.699999999997</v>
      </c>
      <c r="P46" s="82">
        <f t="shared" si="65"/>
        <v>38789.049999999996</v>
      </c>
      <c r="Q46" s="82">
        <f>AVERAGE(H46:L46)</f>
        <v>36059.4</v>
      </c>
    </row>
    <row r="47" spans="2:17" x14ac:dyDescent="0.25">
      <c r="B47" s="143" t="s">
        <v>143</v>
      </c>
      <c r="C47" s="143"/>
      <c r="D47" s="101"/>
      <c r="E47" s="101"/>
      <c r="F47" s="101"/>
      <c r="G47" s="101"/>
      <c r="H47" s="102">
        <f>Model!R65+Model!R66</f>
        <v>9879</v>
      </c>
      <c r="I47" s="102">
        <f>Model!S65+Model!S66</f>
        <v>12035</v>
      </c>
      <c r="J47" s="102">
        <f>Model!T65+Model!T66</f>
        <v>11858</v>
      </c>
      <c r="K47" s="102">
        <f>Model!U65+Model!U66</f>
        <v>8978</v>
      </c>
      <c r="L47" s="102">
        <f>Model!V65+Model!V66</f>
        <v>6576</v>
      </c>
      <c r="M47" s="102">
        <f>L47</f>
        <v>6576</v>
      </c>
      <c r="N47" s="102">
        <f t="shared" ref="N47:Q47" si="66">M47</f>
        <v>6576</v>
      </c>
      <c r="O47" s="102">
        <f t="shared" si="66"/>
        <v>6576</v>
      </c>
      <c r="P47" s="102">
        <f t="shared" si="66"/>
        <v>6576</v>
      </c>
      <c r="Q47" s="102">
        <f t="shared" si="66"/>
        <v>6576</v>
      </c>
    </row>
    <row r="48" spans="2:17" ht="15.75" thickBot="1" x14ac:dyDescent="0.3">
      <c r="B48" s="122" t="s">
        <v>144</v>
      </c>
      <c r="C48" s="122"/>
      <c r="D48" s="144"/>
      <c r="E48" s="144"/>
      <c r="F48" s="144"/>
      <c r="G48" s="144"/>
      <c r="H48" s="134">
        <f>H46+H47+H44</f>
        <v>58865</v>
      </c>
      <c r="I48" s="134">
        <f t="shared" ref="I48:L48" si="67">I46+I47+I44</f>
        <v>72053</v>
      </c>
      <c r="J48" s="134">
        <f t="shared" si="67"/>
        <v>73015</v>
      </c>
      <c r="K48" s="134">
        <f t="shared" si="67"/>
        <v>78817</v>
      </c>
      <c r="L48" s="134">
        <f t="shared" si="67"/>
        <v>81607</v>
      </c>
      <c r="M48" s="134">
        <f t="shared" ref="M48" si="68">M46+M47+M44</f>
        <v>78159.354416436865</v>
      </c>
      <c r="N48" s="134">
        <f t="shared" ref="N48" si="69">N46+N47+N44</f>
        <v>75135.651739199995</v>
      </c>
      <c r="O48" s="134">
        <f t="shared" ref="O48" si="70">O46+O47+O44</f>
        <v>72086.116190000001</v>
      </c>
      <c r="P48" s="134">
        <f t="shared" ref="P48" si="71">P46+P47+P44</f>
        <v>68809.461900868002</v>
      </c>
      <c r="Q48" s="134">
        <f t="shared" ref="Q48" si="72">Q46+Q47+Q44</f>
        <v>66807.999365066877</v>
      </c>
    </row>
    <row r="49" spans="2:17" ht="15.75" thickTop="1" x14ac:dyDescent="0.25">
      <c r="B49" s="123"/>
      <c r="C49" s="123"/>
    </row>
    <row r="50" spans="2:17" x14ac:dyDescent="0.25">
      <c r="B50" s="121" t="s">
        <v>145</v>
      </c>
      <c r="C50" s="121"/>
      <c r="H50" s="81">
        <f>Model!R68</f>
        <v>77659</v>
      </c>
      <c r="I50" s="81">
        <f>Model!S68</f>
        <v>81038</v>
      </c>
      <c r="J50" s="81">
        <f>Model!T68</f>
        <v>95391</v>
      </c>
      <c r="K50" s="81">
        <f>Model!U68</f>
        <v>103286</v>
      </c>
      <c r="L50" s="81">
        <f>Model!V68</f>
        <v>109965</v>
      </c>
      <c r="M50" s="81">
        <f>M40-M48</f>
        <v>116671.73284039888</v>
      </c>
      <c r="N50" s="81">
        <f t="shared" ref="N50:Q50" si="73">N40-N48</f>
        <v>127324.65150764535</v>
      </c>
      <c r="O50" s="81">
        <f t="shared" si="73"/>
        <v>134720.72596904272</v>
      </c>
      <c r="P50" s="81">
        <f t="shared" si="73"/>
        <v>140460.33661312988</v>
      </c>
      <c r="Q50" s="81">
        <f t="shared" si="73"/>
        <v>142611.0562613052</v>
      </c>
    </row>
    <row r="51" spans="2:17" x14ac:dyDescent="0.25">
      <c r="B51" s="145"/>
      <c r="C51" s="145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</row>
    <row r="52" spans="2:17" ht="15.75" thickBot="1" x14ac:dyDescent="0.3">
      <c r="B52" s="118" t="s">
        <v>146</v>
      </c>
      <c r="C52" s="118"/>
      <c r="D52" s="144"/>
      <c r="E52" s="144"/>
      <c r="F52" s="144"/>
      <c r="G52" s="144"/>
      <c r="H52" s="134">
        <f>H48+H50</f>
        <v>136524</v>
      </c>
      <c r="I52" s="134">
        <f t="shared" ref="I52:Q52" si="74">I48+I50</f>
        <v>153091</v>
      </c>
      <c r="J52" s="134">
        <f t="shared" si="74"/>
        <v>168406</v>
      </c>
      <c r="K52" s="134">
        <f t="shared" si="74"/>
        <v>182103</v>
      </c>
      <c r="L52" s="134">
        <f t="shared" si="74"/>
        <v>191572</v>
      </c>
      <c r="M52" s="134">
        <f t="shared" si="74"/>
        <v>194831.08725683574</v>
      </c>
      <c r="N52" s="134">
        <f t="shared" si="74"/>
        <v>202460.30324684535</v>
      </c>
      <c r="O52" s="134">
        <f t="shared" si="74"/>
        <v>206806.84215904272</v>
      </c>
      <c r="P52" s="134">
        <f t="shared" si="74"/>
        <v>209269.79851399787</v>
      </c>
      <c r="Q52" s="134">
        <f t="shared" si="74"/>
        <v>209419.05562637208</v>
      </c>
    </row>
    <row r="53" spans="2:17" ht="15.75" thickTop="1" x14ac:dyDescent="0.25">
      <c r="B53" s="124"/>
      <c r="C53" s="124"/>
    </row>
    <row r="54" spans="2:17" x14ac:dyDescent="0.25">
      <c r="B54" s="137" t="s">
        <v>147</v>
      </c>
      <c r="C54" s="137"/>
      <c r="D54" s="137"/>
      <c r="E54" s="137"/>
      <c r="F54" s="137"/>
      <c r="G54" s="137"/>
    </row>
    <row r="55" spans="2:17" x14ac:dyDescent="0.25">
      <c r="B55" s="115" t="s">
        <v>148</v>
      </c>
      <c r="C55" s="115"/>
      <c r="D55" s="115"/>
      <c r="E55" s="115"/>
      <c r="F55" s="115"/>
      <c r="G55" s="115"/>
      <c r="H55" s="138">
        <f t="shared" ref="H55:L56" si="75">H32/H3</f>
        <v>0.106426735218509</v>
      </c>
      <c r="I55" s="138">
        <f t="shared" si="75"/>
        <v>8.7097229891995323E-2</v>
      </c>
      <c r="J55" s="138">
        <f t="shared" si="75"/>
        <v>0.11967250455557805</v>
      </c>
      <c r="K55" s="138">
        <f t="shared" si="75"/>
        <v>6.5546991467630919E-2</v>
      </c>
      <c r="L55" s="138">
        <f t="shared" si="75"/>
        <v>6.2735118389024125E-2</v>
      </c>
      <c r="M55" s="156">
        <v>7.0000000000000007E-2</v>
      </c>
      <c r="N55" s="156">
        <v>0.08</v>
      </c>
      <c r="O55" s="156">
        <v>0.09</v>
      </c>
      <c r="P55" s="156">
        <v>0.1</v>
      </c>
      <c r="Q55" s="156">
        <v>0.1</v>
      </c>
    </row>
    <row r="56" spans="2:17" x14ac:dyDescent="0.25">
      <c r="B56" s="115" t="s">
        <v>149</v>
      </c>
      <c r="C56" s="115"/>
      <c r="D56" s="115"/>
      <c r="E56" s="115"/>
      <c r="F56" s="115"/>
      <c r="G56" s="115"/>
      <c r="H56" s="138">
        <f t="shared" si="75"/>
        <v>0.29317686504610224</v>
      </c>
      <c r="I56" s="138">
        <f t="shared" si="75"/>
        <v>0.24600788206101298</v>
      </c>
      <c r="J56" s="138">
        <f t="shared" si="75"/>
        <v>0.30605811014229317</v>
      </c>
      <c r="K56" s="138">
        <f t="shared" si="75"/>
        <v>0.36542500276334694</v>
      </c>
      <c r="L56" s="138">
        <f t="shared" si="75"/>
        <v>0.34219023895193285</v>
      </c>
      <c r="M56" s="156">
        <v>0.3</v>
      </c>
      <c r="N56" s="156">
        <v>0.3</v>
      </c>
      <c r="O56" s="156">
        <v>0.3</v>
      </c>
      <c r="P56" s="156">
        <v>0.3</v>
      </c>
      <c r="Q56" s="156">
        <v>0.3</v>
      </c>
    </row>
    <row r="57" spans="2:17" x14ac:dyDescent="0.25">
      <c r="B57" s="115" t="s">
        <v>150</v>
      </c>
      <c r="C57" s="115"/>
      <c r="D57" s="115"/>
      <c r="E57" s="115"/>
      <c r="F57" s="115"/>
      <c r="G57" s="115"/>
      <c r="H57" s="138">
        <f>H34/H3</f>
        <v>2.3803237684985757E-2</v>
      </c>
      <c r="I57" s="138">
        <f>I34/I3</f>
        <v>0.10460143578152491</v>
      </c>
      <c r="J57" s="138">
        <f>J34/J3</f>
        <v>0.11480056691637984</v>
      </c>
      <c r="K57" s="138">
        <f>K34/K3</f>
        <v>7.4729596853490662E-2</v>
      </c>
      <c r="L57" s="138">
        <f>L34/L3</f>
        <v>6.8341078409677652E-2</v>
      </c>
      <c r="M57" s="156">
        <f>AVERAGE(H57:L57)</f>
        <v>7.7255183129211757E-2</v>
      </c>
      <c r="N57" s="156">
        <f>M57</f>
        <v>7.7255183129211757E-2</v>
      </c>
      <c r="O57" s="156">
        <f t="shared" ref="O57:Q57" si="76">N57</f>
        <v>7.7255183129211757E-2</v>
      </c>
      <c r="P57" s="156">
        <f t="shared" si="76"/>
        <v>7.7255183129211757E-2</v>
      </c>
      <c r="Q57" s="156">
        <f t="shared" si="76"/>
        <v>7.7255183129211757E-2</v>
      </c>
    </row>
    <row r="58" spans="2:17" x14ac:dyDescent="0.25">
      <c r="B58" s="115" t="s">
        <v>151</v>
      </c>
      <c r="C58" s="115"/>
      <c r="D58" s="115"/>
      <c r="E58" s="115"/>
      <c r="F58" s="115"/>
      <c r="G58" s="115"/>
      <c r="H58" s="82">
        <f>-Model!R44</f>
        <v>16213</v>
      </c>
      <c r="I58" s="82">
        <f>-Model!S44</f>
        <v>14259</v>
      </c>
      <c r="J58" s="82">
        <f>-Model!T44</f>
        <v>18733</v>
      </c>
      <c r="K58" s="82">
        <f>-Model!U44</f>
        <v>24844</v>
      </c>
      <c r="L58" s="82">
        <f>-Model!V44</f>
        <v>25750</v>
      </c>
      <c r="M58" s="157">
        <f>M59*M3</f>
        <v>21189.912208527669</v>
      </c>
      <c r="N58" s="157">
        <f t="shared" ref="N58:Q58" si="77">N59*N3</f>
        <v>21325.703280000002</v>
      </c>
      <c r="O58" s="157">
        <f t="shared" si="77"/>
        <v>19193.132952</v>
      </c>
      <c r="P58" s="157">
        <f t="shared" si="77"/>
        <v>16793.991333000002</v>
      </c>
      <c r="Q58" s="157">
        <f t="shared" si="77"/>
        <v>13972.600789056003</v>
      </c>
    </row>
    <row r="59" spans="2:17" x14ac:dyDescent="0.25">
      <c r="B59" s="115" t="s">
        <v>152</v>
      </c>
      <c r="C59" s="115"/>
      <c r="D59" s="115"/>
      <c r="E59" s="115"/>
      <c r="F59" s="115"/>
      <c r="G59" s="115"/>
      <c r="H59" s="138">
        <f>H58/H3</f>
        <v>0.22529007156256514</v>
      </c>
      <c r="I59" s="138">
        <f>I58/I3</f>
        <v>0.18311993527424969</v>
      </c>
      <c r="J59" s="138">
        <f>J58/J3</f>
        <v>0.23705456570155903</v>
      </c>
      <c r="K59" s="138">
        <f>K58/K3</f>
        <v>0.39401148222158783</v>
      </c>
      <c r="L59" s="138">
        <f>L58/L3</f>
        <v>0.4748469425389098</v>
      </c>
      <c r="M59" s="156">
        <f>AVERAGE(J59:L59)</f>
        <v>0.36863766348735227</v>
      </c>
      <c r="N59" s="156">
        <v>0.35</v>
      </c>
      <c r="O59" s="156">
        <v>0.3</v>
      </c>
      <c r="P59" s="156">
        <v>0.25</v>
      </c>
      <c r="Q59" s="156">
        <v>0.2</v>
      </c>
    </row>
    <row r="60" spans="2:17" x14ac:dyDescent="0.25">
      <c r="B60" s="115" t="s">
        <v>153</v>
      </c>
      <c r="C60" s="115"/>
      <c r="D60" s="115"/>
      <c r="E60" s="115"/>
      <c r="F60" s="115"/>
      <c r="G60" s="115"/>
      <c r="H60" s="138">
        <f>H32/H4</f>
        <v>0.25679798826487849</v>
      </c>
      <c r="I60" s="138">
        <f>I32/I4</f>
        <v>0.19798569551890235</v>
      </c>
      <c r="J60" s="138">
        <f>J32/J4</f>
        <v>0.26859609758868469</v>
      </c>
      <c r="K60" s="138">
        <f>K32/K4</f>
        <v>0.11420913009837515</v>
      </c>
      <c r="L60" s="138">
        <f>L32/L4</f>
        <v>0.10462219761970662</v>
      </c>
      <c r="M60" s="156">
        <f>AVERAGE(J60:L60)</f>
        <v>0.16247580843558881</v>
      </c>
      <c r="N60" s="156">
        <v>0.18</v>
      </c>
      <c r="O60" s="156">
        <v>0.2</v>
      </c>
      <c r="P60" s="156">
        <v>0.22</v>
      </c>
      <c r="Q60" s="156">
        <v>0.24</v>
      </c>
    </row>
    <row r="61" spans="2:17" x14ac:dyDescent="0.25">
      <c r="B61" s="115" t="s">
        <v>154</v>
      </c>
      <c r="C61" s="115"/>
      <c r="D61" s="115"/>
      <c r="E61" s="115"/>
      <c r="F61" s="115"/>
      <c r="G61" s="115"/>
      <c r="H61" s="138">
        <f>H43/H3</f>
        <v>0.25265059403876883</v>
      </c>
      <c r="I61" s="138">
        <f>I43/I3</f>
        <v>0.2462275418341531</v>
      </c>
      <c r="J61" s="138">
        <f>J43/J3</f>
        <v>0.27478993723425793</v>
      </c>
      <c r="K61" s="138">
        <f>K43/K3</f>
        <v>0.35778856218479399</v>
      </c>
      <c r="L61" s="138">
        <f>L43/L3</f>
        <v>0.35913181382311721</v>
      </c>
      <c r="M61" s="156">
        <f>AVERAGE(J61:L61)</f>
        <v>0.33057010441405638</v>
      </c>
      <c r="N61" s="156">
        <v>0.3</v>
      </c>
      <c r="O61" s="156">
        <v>0.27500000000000002</v>
      </c>
      <c r="P61" s="156">
        <v>0.25</v>
      </c>
      <c r="Q61" s="156">
        <v>0.25</v>
      </c>
    </row>
    <row r="62" spans="2:17" x14ac:dyDescent="0.25">
      <c r="B62" s="115" t="s">
        <v>155</v>
      </c>
      <c r="C62" s="115"/>
      <c r="D62" s="115"/>
      <c r="E62" s="115"/>
      <c r="F62" s="115"/>
      <c r="G62" s="115"/>
      <c r="N62" s="157">
        <f>(M46-Q46)/4</f>
        <v>2729.6499999999996</v>
      </c>
      <c r="O62" s="157">
        <f>N62</f>
        <v>2729.6499999999996</v>
      </c>
      <c r="P62" s="157">
        <f>O62</f>
        <v>2729.6499999999996</v>
      </c>
    </row>
    <row r="64" spans="2:17" x14ac:dyDescent="0.25">
      <c r="B64" s="125" t="s">
        <v>191</v>
      </c>
      <c r="C64" s="125"/>
      <c r="D64" s="125"/>
      <c r="E64" s="125"/>
      <c r="F64" s="125"/>
      <c r="G64" s="125"/>
      <c r="H64" s="127">
        <v>2019</v>
      </c>
      <c r="I64" s="127">
        <f>H64+1</f>
        <v>2020</v>
      </c>
      <c r="J64" s="127">
        <f t="shared" ref="J64:Q64" si="78">I64+1</f>
        <v>2021</v>
      </c>
      <c r="K64" s="127">
        <f t="shared" si="78"/>
        <v>2022</v>
      </c>
      <c r="L64" s="127">
        <f t="shared" si="78"/>
        <v>2023</v>
      </c>
      <c r="M64" s="128">
        <f t="shared" si="78"/>
        <v>2024</v>
      </c>
      <c r="N64" s="128">
        <f t="shared" si="78"/>
        <v>2025</v>
      </c>
      <c r="O64" s="128">
        <f t="shared" si="78"/>
        <v>2026</v>
      </c>
      <c r="P64" s="128">
        <f t="shared" si="78"/>
        <v>2027</v>
      </c>
      <c r="Q64" s="128">
        <f t="shared" si="78"/>
        <v>2028</v>
      </c>
    </row>
    <row r="65" spans="2:17" x14ac:dyDescent="0.25">
      <c r="B65" s="116" t="s">
        <v>46</v>
      </c>
      <c r="H65" s="82">
        <f>Model!R34</f>
        <v>21048</v>
      </c>
      <c r="I65" s="82">
        <f>Model!S34</f>
        <v>20899</v>
      </c>
      <c r="J65" s="82">
        <f>Model!T34</f>
        <v>19868</v>
      </c>
      <c r="K65" s="82">
        <f>Model!U34</f>
        <v>8017</v>
      </c>
      <c r="L65" s="82">
        <f>Model!V34</f>
        <v>1675</v>
      </c>
      <c r="M65" s="82">
        <f>M14</f>
        <v>1133.1745105857919</v>
      </c>
      <c r="N65" s="82">
        <f t="shared" ref="N65:Q65" si="79">N14</f>
        <v>4180.2867648599968</v>
      </c>
      <c r="O65" s="82">
        <f t="shared" si="79"/>
        <v>8277.5506942479988</v>
      </c>
      <c r="P65" s="82">
        <f t="shared" si="79"/>
        <v>13031.859541692796</v>
      </c>
      <c r="Q65" s="82">
        <f t="shared" si="79"/>
        <v>16673.235381782928</v>
      </c>
    </row>
    <row r="66" spans="2:17" x14ac:dyDescent="0.25">
      <c r="B66" s="146" t="s">
        <v>42</v>
      </c>
      <c r="H66" s="82">
        <f>Model!R35</f>
        <v>9204</v>
      </c>
      <c r="I66" s="82">
        <f>Model!S35</f>
        <v>10482</v>
      </c>
      <c r="J66" s="82">
        <f>Model!T35</f>
        <v>9953</v>
      </c>
      <c r="K66" s="82">
        <f>Model!U35</f>
        <v>11128</v>
      </c>
      <c r="L66" s="82">
        <f>Model!V35</f>
        <v>11128</v>
      </c>
      <c r="M66" s="82">
        <f>(L66/(L66+L69))*M17</f>
        <v>9930.2357376387499</v>
      </c>
      <c r="N66" s="82">
        <f t="shared" ref="N66:Q66" si="80">(M66/(M66+M69))*N17</f>
        <v>10526.049881897075</v>
      </c>
      <c r="O66" s="82">
        <f t="shared" si="80"/>
        <v>11052.35237599193</v>
      </c>
      <c r="P66" s="82">
        <f t="shared" si="80"/>
        <v>10444.472995312371</v>
      </c>
      <c r="Q66" s="82">
        <f t="shared" si="80"/>
        <v>10258.793475395709</v>
      </c>
    </row>
    <row r="67" spans="2:17" x14ac:dyDescent="0.25">
      <c r="B67" s="146" t="s">
        <v>192</v>
      </c>
      <c r="H67" s="82">
        <f>Model!R36</f>
        <v>1705</v>
      </c>
      <c r="I67" s="82">
        <f>Model!S36</f>
        <v>1854</v>
      </c>
      <c r="J67" s="82">
        <f>Model!T36</f>
        <v>2036</v>
      </c>
      <c r="K67" s="82">
        <f>Model!U36</f>
        <v>3128</v>
      </c>
      <c r="L67" s="82">
        <f>Model!V36</f>
        <v>3229</v>
      </c>
      <c r="M67" s="82">
        <f>M79*M8</f>
        <v>2531.1137668154201</v>
      </c>
      <c r="N67" s="82">
        <f t="shared" ref="N67:Q67" si="81">N79*N8</f>
        <v>2315.3620704</v>
      </c>
      <c r="O67" s="82">
        <f t="shared" si="81"/>
        <v>2127.2389021800004</v>
      </c>
      <c r="P67" s="82">
        <f t="shared" si="81"/>
        <v>1813.751063964</v>
      </c>
      <c r="Q67" s="82">
        <f t="shared" si="81"/>
        <v>1781.5066006046404</v>
      </c>
    </row>
    <row r="68" spans="2:17" x14ac:dyDescent="0.25">
      <c r="B68" s="146" t="s">
        <v>193</v>
      </c>
      <c r="H68" s="82">
        <f>Model!R37</f>
        <v>0</v>
      </c>
      <c r="I68" s="82">
        <f>Model!S37</f>
        <v>198</v>
      </c>
      <c r="J68" s="82">
        <f>Model!T37</f>
        <v>2626</v>
      </c>
      <c r="K68" s="82">
        <f>Model!U37</f>
        <v>1074</v>
      </c>
      <c r="L68" s="82">
        <f>Model!V37</f>
        <v>-424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2:17" x14ac:dyDescent="0.25">
      <c r="B69" s="146" t="s">
        <v>39</v>
      </c>
      <c r="H69" s="82">
        <f>Model!R38</f>
        <v>1622</v>
      </c>
      <c r="I69" s="82">
        <f>Model!S38</f>
        <v>1757</v>
      </c>
      <c r="J69" s="82">
        <f>Model!T38</f>
        <v>1839</v>
      </c>
      <c r="K69" s="82">
        <f>Model!U38</f>
        <v>1907</v>
      </c>
      <c r="L69" s="82">
        <f>Model!V38</f>
        <v>1755</v>
      </c>
      <c r="M69" s="82">
        <f>(L69/(L69+L66)*M17)</f>
        <v>1566.1002623612512</v>
      </c>
      <c r="N69" s="82">
        <f t="shared" ref="N69:Q69" si="82">(M69/(M69+M66)*N17)</f>
        <v>1660.0662781029264</v>
      </c>
      <c r="O69" s="82">
        <f t="shared" si="82"/>
        <v>1743.0695920080727</v>
      </c>
      <c r="P69" s="82">
        <f t="shared" si="82"/>
        <v>1647.2007644476284</v>
      </c>
      <c r="Q69" s="82">
        <f t="shared" si="82"/>
        <v>1617.9171953018933</v>
      </c>
    </row>
    <row r="70" spans="2:17" x14ac:dyDescent="0.25">
      <c r="B70" s="146" t="s">
        <v>38</v>
      </c>
      <c r="H70" s="82">
        <f>Model!R39</f>
        <v>-892</v>
      </c>
      <c r="I70" s="82">
        <f>Model!S39</f>
        <v>-1757</v>
      </c>
      <c r="J70" s="82">
        <f>Model!T39</f>
        <v>-1458</v>
      </c>
      <c r="K70" s="82">
        <f>Model!U39</f>
        <v>-4254</v>
      </c>
      <c r="L70" s="82">
        <f>Model!V39</f>
        <v>-42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2:17" x14ac:dyDescent="0.25">
      <c r="B71" s="146" t="s">
        <v>37</v>
      </c>
      <c r="H71" s="82">
        <f>Model!R40</f>
        <v>-690</v>
      </c>
      <c r="I71" s="82">
        <f>Model!S40</f>
        <v>-30</v>
      </c>
      <c r="J71" s="82">
        <f>Model!T40</f>
        <v>0</v>
      </c>
      <c r="K71" s="82">
        <f>Model!U40</f>
        <v>-1059</v>
      </c>
      <c r="L71" s="82">
        <f>Model!V40</f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2:17" x14ac:dyDescent="0.25">
      <c r="B72" s="148" t="s">
        <v>194</v>
      </c>
      <c r="C72" s="101"/>
      <c r="D72" s="101"/>
      <c r="E72" s="101"/>
      <c r="F72" s="101"/>
      <c r="G72" s="101"/>
      <c r="H72" s="102">
        <f>Model!R41</f>
        <v>1148</v>
      </c>
      <c r="I72" s="102">
        <f>Model!S41</f>
        <v>2461</v>
      </c>
      <c r="J72" s="102">
        <f>Model!T41</f>
        <v>-5408</v>
      </c>
      <c r="K72" s="102">
        <f>Model!U41</f>
        <v>-4508</v>
      </c>
      <c r="L72" s="102">
        <f>Model!V41</f>
        <v>-2569</v>
      </c>
      <c r="M72" s="102">
        <f>L32+L33-L42-(M32+M33-M42)</f>
        <v>-2815.7905430585088</v>
      </c>
      <c r="N72" s="102">
        <f t="shared" ref="N72:Q72" si="83">M32+M33-M42-(N32+N33-N42)</f>
        <v>-129.0742537414917</v>
      </c>
      <c r="O72" s="102">
        <f t="shared" si="83"/>
        <v>-60.930580799999007</v>
      </c>
      <c r="P72" s="102">
        <f t="shared" si="83"/>
        <v>-179.1359075520013</v>
      </c>
      <c r="Q72" s="102">
        <f t="shared" si="83"/>
        <v>472.91879593727936</v>
      </c>
    </row>
    <row r="73" spans="2:17" x14ac:dyDescent="0.25">
      <c r="B73" s="149" t="s">
        <v>195</v>
      </c>
      <c r="C73" s="84"/>
      <c r="D73" s="84"/>
      <c r="E73" s="84"/>
      <c r="F73" s="84"/>
      <c r="G73" s="153">
        <f>Model!Q42</f>
        <v>29432</v>
      </c>
      <c r="H73" s="81">
        <f>SUM(H65:H72)</f>
        <v>33145</v>
      </c>
      <c r="I73" s="81">
        <f t="shared" ref="I73:L73" si="84">SUM(I65:I72)</f>
        <v>35864</v>
      </c>
      <c r="J73" s="81">
        <f t="shared" si="84"/>
        <v>29456</v>
      </c>
      <c r="K73" s="81">
        <f t="shared" si="84"/>
        <v>15433</v>
      </c>
      <c r="L73" s="81">
        <f t="shared" si="84"/>
        <v>14752</v>
      </c>
      <c r="M73" s="81">
        <f t="shared" ref="M73" si="85">SUM(M65:M72)</f>
        <v>12344.833734342705</v>
      </c>
      <c r="N73" s="81">
        <f t="shared" ref="N73" si="86">SUM(N65:N72)</f>
        <v>18552.690741518509</v>
      </c>
      <c r="O73" s="81">
        <f t="shared" ref="O73" si="87">SUM(O65:O72)</f>
        <v>23139.280983628003</v>
      </c>
      <c r="P73" s="81">
        <f t="shared" ref="P73" si="88">SUM(P65:P72)</f>
        <v>26758.148457864794</v>
      </c>
      <c r="Q73" s="81">
        <f t="shared" ref="Q73" si="89">SUM(Q65:Q72)</f>
        <v>30804.371449022448</v>
      </c>
    </row>
    <row r="75" spans="2:17" ht="15.75" thickBot="1" x14ac:dyDescent="0.3">
      <c r="B75" s="150" t="s">
        <v>151</v>
      </c>
      <c r="C75" s="151"/>
      <c r="D75" s="151"/>
      <c r="E75" s="151"/>
      <c r="F75" s="151"/>
      <c r="G75" s="151"/>
      <c r="H75" s="152">
        <f>H58</f>
        <v>16213</v>
      </c>
      <c r="I75" s="152">
        <f t="shared" ref="I75:L75" si="90">I58</f>
        <v>14259</v>
      </c>
      <c r="J75" s="152">
        <f t="shared" si="90"/>
        <v>18733</v>
      </c>
      <c r="K75" s="152">
        <f t="shared" si="90"/>
        <v>24844</v>
      </c>
      <c r="L75" s="152">
        <f t="shared" si="90"/>
        <v>25750</v>
      </c>
      <c r="M75" s="152">
        <f>M58</f>
        <v>21189.912208527669</v>
      </c>
      <c r="N75" s="152">
        <f t="shared" ref="N75:Q75" si="91">N58</f>
        <v>21325.703280000002</v>
      </c>
      <c r="O75" s="152">
        <f t="shared" si="91"/>
        <v>19193.132952</v>
      </c>
      <c r="P75" s="152">
        <f t="shared" si="91"/>
        <v>16793.991333000002</v>
      </c>
      <c r="Q75" s="152">
        <f t="shared" si="91"/>
        <v>13972.600789056003</v>
      </c>
    </row>
    <row r="76" spans="2:17" ht="15.75" thickTop="1" x14ac:dyDescent="0.25"/>
    <row r="77" spans="2:17" x14ac:dyDescent="0.25">
      <c r="B77" s="137" t="s">
        <v>198</v>
      </c>
      <c r="C77" s="137"/>
      <c r="D77" s="137"/>
      <c r="E77" s="137"/>
      <c r="F77" s="137"/>
      <c r="G77" s="137"/>
    </row>
    <row r="78" spans="2:17" x14ac:dyDescent="0.25">
      <c r="B78" s="115" t="s">
        <v>197</v>
      </c>
      <c r="H78" s="138">
        <f>H73/G73-1</f>
        <v>0.12615520521880952</v>
      </c>
      <c r="I78" s="138">
        <f>I73/H73-1</f>
        <v>8.2033489214059507E-2</v>
      </c>
      <c r="J78" s="138">
        <f t="shared" ref="J78:L78" si="92">J73/I73-1</f>
        <v>-0.1786749944233772</v>
      </c>
      <c r="K78" s="138">
        <f t="shared" si="92"/>
        <v>-0.47606599674090166</v>
      </c>
      <c r="L78" s="138">
        <f t="shared" si="92"/>
        <v>-4.4126223028575162E-2</v>
      </c>
      <c r="M78" s="154"/>
      <c r="N78" s="154"/>
      <c r="O78" s="154"/>
      <c r="P78" s="154"/>
      <c r="Q78" s="154"/>
    </row>
    <row r="79" spans="2:17" x14ac:dyDescent="0.25">
      <c r="B79" s="115" t="s">
        <v>196</v>
      </c>
      <c r="H79" s="138">
        <f>H67/H8</f>
        <v>0.27723577235772356</v>
      </c>
      <c r="I79" s="138">
        <f>I67/I8</f>
        <v>0.3</v>
      </c>
      <c r="J79" s="138">
        <f>J67/J8</f>
        <v>0.31117224514748587</v>
      </c>
      <c r="K79" s="138">
        <f>K67/K8</f>
        <v>0.44672950585546989</v>
      </c>
      <c r="L79" s="138">
        <f>L67/L8</f>
        <v>0.57312744053958109</v>
      </c>
      <c r="M79" s="155">
        <f>AVERAGE(J79:L79)</f>
        <v>0.44367639718084567</v>
      </c>
      <c r="N79" s="155">
        <v>0.4</v>
      </c>
      <c r="O79" s="155">
        <v>0.35</v>
      </c>
      <c r="P79" s="155">
        <v>0.3</v>
      </c>
      <c r="Q79" s="155">
        <v>0.3</v>
      </c>
    </row>
    <row r="82" spans="2:18" x14ac:dyDescent="0.25">
      <c r="B82" s="125" t="s">
        <v>160</v>
      </c>
      <c r="C82" s="125"/>
      <c r="D82" s="125"/>
      <c r="E82" s="125"/>
      <c r="F82" s="125"/>
      <c r="G82" s="125"/>
      <c r="H82" s="128">
        <v>2024</v>
      </c>
      <c r="I82" s="128">
        <f t="shared" ref="I82:L82" si="93">H82+1</f>
        <v>2025</v>
      </c>
      <c r="J82" s="128">
        <f t="shared" si="93"/>
        <v>2026</v>
      </c>
      <c r="K82" s="128">
        <f t="shared" si="93"/>
        <v>2027</v>
      </c>
      <c r="L82" s="128">
        <f t="shared" si="93"/>
        <v>2028</v>
      </c>
      <c r="N82" s="125" t="s">
        <v>205</v>
      </c>
      <c r="O82" s="125"/>
      <c r="P82" s="125"/>
      <c r="Q82" s="125"/>
      <c r="R82" s="125"/>
    </row>
    <row r="83" spans="2:18" x14ac:dyDescent="0.25">
      <c r="B83" t="s">
        <v>83</v>
      </c>
      <c r="H83" s="82">
        <f>M16</f>
        <v>2608.8481146655595</v>
      </c>
      <c r="I83" s="82">
        <f t="shared" ref="I83:L83" si="94">N16</f>
        <v>6397.7109839999957</v>
      </c>
      <c r="J83" s="82">
        <f t="shared" si="94"/>
        <v>11515.879771199998</v>
      </c>
      <c r="K83" s="82">
        <f t="shared" si="94"/>
        <v>17465.750986319996</v>
      </c>
      <c r="L83" s="82">
        <f t="shared" si="94"/>
        <v>22006.8462427632</v>
      </c>
      <c r="N83" s="146" t="s">
        <v>200</v>
      </c>
      <c r="Q83" s="160">
        <v>4.5600000000000002E-2</v>
      </c>
      <c r="R83" s="2">
        <v>1</v>
      </c>
    </row>
    <row r="84" spans="2:18" x14ac:dyDescent="0.25">
      <c r="B84" s="146" t="s">
        <v>210</v>
      </c>
      <c r="H84" s="82">
        <f>H83*M28</f>
        <v>547.85810407976749</v>
      </c>
      <c r="I84" s="82">
        <f t="shared" ref="I84:L84" si="95">I83*N28</f>
        <v>1343.5193066399991</v>
      </c>
      <c r="J84" s="82">
        <f t="shared" si="95"/>
        <v>2418.3347519519994</v>
      </c>
      <c r="K84" s="82">
        <f t="shared" si="95"/>
        <v>3667.8077071271991</v>
      </c>
      <c r="L84" s="82">
        <f t="shared" si="95"/>
        <v>4621.4377109802717</v>
      </c>
      <c r="N84" s="146" t="s">
        <v>156</v>
      </c>
      <c r="Q84" s="161">
        <v>1.01</v>
      </c>
      <c r="R84" s="2">
        <v>2</v>
      </c>
    </row>
    <row r="85" spans="2:18" x14ac:dyDescent="0.25">
      <c r="B85" s="84" t="s">
        <v>161</v>
      </c>
      <c r="C85" s="84"/>
      <c r="D85" s="84"/>
      <c r="E85" s="84"/>
      <c r="F85" s="84"/>
      <c r="G85" s="84"/>
      <c r="H85" s="81">
        <f>H83-H84</f>
        <v>2060.9900105857919</v>
      </c>
      <c r="I85" s="81">
        <f t="shared" ref="I85:L85" si="96">I83-I84</f>
        <v>5054.1916773599969</v>
      </c>
      <c r="J85" s="81">
        <f t="shared" si="96"/>
        <v>9097.5450192479984</v>
      </c>
      <c r="K85" s="81">
        <f t="shared" si="96"/>
        <v>13797.943279192797</v>
      </c>
      <c r="L85" s="81">
        <f t="shared" si="96"/>
        <v>17385.40853178293</v>
      </c>
      <c r="N85" s="148" t="s">
        <v>201</v>
      </c>
      <c r="O85" s="101"/>
      <c r="P85" s="101"/>
      <c r="Q85" s="162">
        <v>4.5999999999999999E-2</v>
      </c>
      <c r="R85" s="4">
        <v>3</v>
      </c>
    </row>
    <row r="86" spans="2:18" x14ac:dyDescent="0.25">
      <c r="B86" s="146" t="s">
        <v>211</v>
      </c>
      <c r="H86" s="82">
        <f>M17</f>
        <v>11496.336000000001</v>
      </c>
      <c r="I86" s="82">
        <f t="shared" ref="I86:L86" si="97">N17</f>
        <v>12186.116160000001</v>
      </c>
      <c r="J86" s="82">
        <f t="shared" si="97"/>
        <v>12795.421968000002</v>
      </c>
      <c r="K86" s="82">
        <f t="shared" si="97"/>
        <v>12091.67375976</v>
      </c>
      <c r="L86" s="82">
        <f t="shared" si="97"/>
        <v>11876.710670697603</v>
      </c>
      <c r="N86" s="84" t="s">
        <v>202</v>
      </c>
      <c r="O86" s="84"/>
      <c r="P86" s="84"/>
      <c r="Q86" s="163">
        <f>Q83+Q84*Q85</f>
        <v>9.2060000000000003E-2</v>
      </c>
      <c r="R86" s="172"/>
    </row>
    <row r="87" spans="2:18" x14ac:dyDescent="0.25">
      <c r="B87" s="146" t="s">
        <v>212</v>
      </c>
      <c r="H87" s="82">
        <f>M72</f>
        <v>-2815.7905430585088</v>
      </c>
      <c r="I87" s="82">
        <f t="shared" ref="I87:L87" si="98">N72</f>
        <v>-129.0742537414917</v>
      </c>
      <c r="J87" s="82">
        <f t="shared" si="98"/>
        <v>-60.930580799999007</v>
      </c>
      <c r="K87" s="82">
        <f t="shared" si="98"/>
        <v>-179.1359075520013</v>
      </c>
      <c r="L87" s="82">
        <f t="shared" si="98"/>
        <v>472.91879593727936</v>
      </c>
      <c r="N87" s="146" t="s">
        <v>157</v>
      </c>
      <c r="Q87" s="160">
        <v>4.1000000000000002E-2</v>
      </c>
      <c r="R87" s="2">
        <v>4</v>
      </c>
    </row>
    <row r="88" spans="2:18" x14ac:dyDescent="0.25">
      <c r="B88" s="146" t="s">
        <v>213</v>
      </c>
      <c r="H88" s="82">
        <f>M75</f>
        <v>21189.912208527669</v>
      </c>
      <c r="I88" s="82">
        <f t="shared" ref="I88:L88" si="99">N75</f>
        <v>21325.703280000002</v>
      </c>
      <c r="J88" s="82">
        <f t="shared" si="99"/>
        <v>19193.132952</v>
      </c>
      <c r="K88" s="82">
        <f t="shared" si="99"/>
        <v>16793.991333000002</v>
      </c>
      <c r="L88" s="82">
        <f t="shared" si="99"/>
        <v>13972.600789056003</v>
      </c>
      <c r="N88" s="148" t="s">
        <v>158</v>
      </c>
      <c r="O88" s="101"/>
      <c r="P88" s="101"/>
      <c r="Q88" s="164">
        <v>0.21</v>
      </c>
      <c r="R88" s="4"/>
    </row>
    <row r="89" spans="2:18" ht="15.75" thickBot="1" x14ac:dyDescent="0.3">
      <c r="B89" s="144" t="s">
        <v>92</v>
      </c>
      <c r="C89" s="144"/>
      <c r="D89" s="144"/>
      <c r="E89" s="144"/>
      <c r="F89" s="144"/>
      <c r="G89" s="144"/>
      <c r="H89" s="134">
        <f>H85+H86+H87-H88</f>
        <v>-10448.376741000384</v>
      </c>
      <c r="I89" s="134">
        <f t="shared" ref="I89:L89" si="100">I85+I86+I87-I88</f>
        <v>-4214.4696963814931</v>
      </c>
      <c r="J89" s="134">
        <f t="shared" si="100"/>
        <v>2638.9034544480019</v>
      </c>
      <c r="K89" s="134">
        <f t="shared" si="100"/>
        <v>8916.4897984007948</v>
      </c>
      <c r="L89" s="134">
        <f t="shared" si="100"/>
        <v>15762.437209361811</v>
      </c>
      <c r="N89" s="84" t="s">
        <v>203</v>
      </c>
      <c r="O89" s="84"/>
      <c r="P89" s="84"/>
      <c r="Q89" s="163">
        <f>Q87*(1-Q88)</f>
        <v>3.2390000000000002E-2</v>
      </c>
      <c r="R89" s="172"/>
    </row>
    <row r="90" spans="2:18" ht="15.75" thickTop="1" x14ac:dyDescent="0.25">
      <c r="B90" s="147" t="s">
        <v>214</v>
      </c>
      <c r="H90">
        <v>1</v>
      </c>
      <c r="I90">
        <f>+H90+1</f>
        <v>2</v>
      </c>
      <c r="J90">
        <f t="shared" ref="J90:L90" si="101">+I90+1</f>
        <v>3</v>
      </c>
      <c r="K90">
        <f t="shared" si="101"/>
        <v>4</v>
      </c>
      <c r="L90">
        <f t="shared" si="101"/>
        <v>5</v>
      </c>
      <c r="N90" t="s">
        <v>65</v>
      </c>
      <c r="P90" s="82">
        <f>Model!V58+Model!V63</f>
        <v>49266</v>
      </c>
      <c r="Q90" s="110">
        <f>P90/$P$92</f>
        <v>0.23380732636154114</v>
      </c>
      <c r="R90" s="2"/>
    </row>
    <row r="91" spans="2:18" x14ac:dyDescent="0.25">
      <c r="B91" s="147" t="s">
        <v>215</v>
      </c>
      <c r="H91" s="166">
        <f>1/(1+WACC)^H90</f>
        <v>0.92755024088364912</v>
      </c>
      <c r="I91" s="166">
        <f>1/(1+WACC)^I90</f>
        <v>0.86034944936331559</v>
      </c>
      <c r="J91" s="166">
        <f>1/(1+WACC)^J90</f>
        <v>0.79801733900105831</v>
      </c>
      <c r="K91" s="166">
        <f>1/(1+WACC)^K90</f>
        <v>0.74020117501976035</v>
      </c>
      <c r="L91" s="166">
        <f>1/(1+WACC)^L90</f>
        <v>0.68657377819193888</v>
      </c>
      <c r="N91" s="101" t="s">
        <v>159</v>
      </c>
      <c r="O91" s="101"/>
      <c r="P91" s="102">
        <f>Old_Main!R4</f>
        <v>161445.96</v>
      </c>
      <c r="Q91" s="111">
        <f>P91/$P$92</f>
        <v>0.76619267363845889</v>
      </c>
      <c r="R91" s="4"/>
    </row>
    <row r="92" spans="2:18" ht="15.75" thickBot="1" x14ac:dyDescent="0.3">
      <c r="B92" s="144" t="s">
        <v>216</v>
      </c>
      <c r="C92" s="144"/>
      <c r="D92" s="144"/>
      <c r="E92" s="144"/>
      <c r="F92" s="144"/>
      <c r="G92" s="144"/>
      <c r="H92" s="134">
        <f>H89*H91</f>
        <v>-9691.3943629580226</v>
      </c>
      <c r="I92" s="134">
        <f t="shared" ref="I92:L92" si="102">I89*I91</f>
        <v>-3625.9166826401975</v>
      </c>
      <c r="J92" s="134">
        <f t="shared" si="102"/>
        <v>2105.8907125992951</v>
      </c>
      <c r="K92" s="134">
        <f t="shared" si="102"/>
        <v>6599.9962258279747</v>
      </c>
      <c r="L92" s="134">
        <f t="shared" si="102"/>
        <v>10822.076068344741</v>
      </c>
      <c r="N92" s="48" t="s">
        <v>204</v>
      </c>
      <c r="O92" s="48"/>
      <c r="P92" s="158">
        <f>SUM(P90:P91)</f>
        <v>210711.96</v>
      </c>
      <c r="Q92" s="159">
        <f>SUM(Q90:Q91)</f>
        <v>1</v>
      </c>
      <c r="R92" s="2"/>
    </row>
    <row r="93" spans="2:18" ht="16.5" thickTop="1" thickBot="1" x14ac:dyDescent="0.3">
      <c r="N93" s="144" t="s">
        <v>78</v>
      </c>
      <c r="O93" s="133"/>
      <c r="P93" s="133"/>
      <c r="Q93" s="165">
        <f>Q91*Q86+Q90*Q89</f>
        <v>7.8108716836006842E-2</v>
      </c>
      <c r="R93" s="173"/>
    </row>
    <row r="94" spans="2:18" ht="15.75" thickTop="1" x14ac:dyDescent="0.25">
      <c r="B94" s="169" t="s">
        <v>218</v>
      </c>
      <c r="C94" s="170"/>
      <c r="D94" s="170"/>
      <c r="N94" t="s">
        <v>207</v>
      </c>
    </row>
    <row r="95" spans="2:18" x14ac:dyDescent="0.25">
      <c r="B95" t="s">
        <v>219</v>
      </c>
      <c r="D95" s="82">
        <f>SUM(H92:L92)</f>
        <v>6210.6519611737904</v>
      </c>
      <c r="N95" t="s">
        <v>206</v>
      </c>
    </row>
    <row r="96" spans="2:18" x14ac:dyDescent="0.25">
      <c r="B96" s="101" t="s">
        <v>220</v>
      </c>
      <c r="C96" s="101"/>
      <c r="D96" s="102">
        <f>L91*Q102</f>
        <v>203772.12467328057</v>
      </c>
      <c r="N96" t="s">
        <v>208</v>
      </c>
    </row>
    <row r="97" spans="2:17" x14ac:dyDescent="0.25">
      <c r="B97" s="168" t="s">
        <v>221</v>
      </c>
      <c r="C97" s="84"/>
      <c r="D97" s="81">
        <f>D95+D96</f>
        <v>209982.77663445438</v>
      </c>
      <c r="N97" t="s">
        <v>209</v>
      </c>
    </row>
    <row r="98" spans="2:17" x14ac:dyDescent="0.25">
      <c r="B98" t="s">
        <v>98</v>
      </c>
      <c r="D98" s="82">
        <f>Q46</f>
        <v>36059.4</v>
      </c>
    </row>
    <row r="99" spans="2:17" x14ac:dyDescent="0.25">
      <c r="B99" s="101" t="s">
        <v>97</v>
      </c>
      <c r="C99" s="101"/>
      <c r="D99" s="102">
        <f>+Q31</f>
        <v>10060.603137860084</v>
      </c>
      <c r="N99" s="84" t="s">
        <v>94</v>
      </c>
    </row>
    <row r="100" spans="2:17" x14ac:dyDescent="0.25">
      <c r="B100" s="168" t="s">
        <v>222</v>
      </c>
      <c r="D100" s="82">
        <f>D97-D98+D99</f>
        <v>183983.97977231446</v>
      </c>
      <c r="N100" t="s">
        <v>217</v>
      </c>
      <c r="Q100" s="82">
        <f>L89</f>
        <v>15762.437209361811</v>
      </c>
    </row>
    <row r="101" spans="2:17" x14ac:dyDescent="0.25">
      <c r="B101" s="101" t="s">
        <v>223</v>
      </c>
      <c r="C101" s="105"/>
      <c r="D101" s="101">
        <v>4212</v>
      </c>
      <c r="N101" t="s">
        <v>79</v>
      </c>
      <c r="Q101" s="167">
        <v>2.5000000000000001E-2</v>
      </c>
    </row>
    <row r="102" spans="2:17" x14ac:dyDescent="0.25">
      <c r="B102" s="168" t="s">
        <v>224</v>
      </c>
      <c r="D102" s="171">
        <f>D100/D101</f>
        <v>43.680906878517206</v>
      </c>
      <c r="N102" t="s">
        <v>94</v>
      </c>
      <c r="Q102" s="82">
        <f>Q100/(WACC-Q101)</f>
        <v>296795.67024814914</v>
      </c>
    </row>
    <row r="105" spans="2:17" x14ac:dyDescent="0.25">
      <c r="B105" s="149"/>
      <c r="K105" s="178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0029-3A49-4062-B39A-A2A6E527C742}">
  <sheetPr>
    <outlinePr summaryBelow="0" summaryRight="0"/>
  </sheetPr>
  <dimension ref="A1:R49"/>
  <sheetViews>
    <sheetView showGridLines="0" zoomScale="84" workbookViewId="0">
      <selection activeCell="S1" sqref="S1"/>
    </sheetView>
  </sheetViews>
  <sheetFormatPr defaultColWidth="9.140625" defaultRowHeight="15" customHeight="1" x14ac:dyDescent="0.2"/>
  <cols>
    <col min="1" max="1" width="26.28515625" style="174" customWidth="1"/>
    <col min="2" max="2" width="10.140625" style="174" customWidth="1"/>
    <col min="3" max="3" width="10.42578125" style="174" customWidth="1"/>
    <col min="4" max="4" width="16.28515625" style="174" customWidth="1"/>
    <col min="5" max="5" width="8.28515625" style="174" bestFit="1" customWidth="1"/>
    <col min="6" max="6" width="14.7109375" style="174" customWidth="1"/>
    <col min="7" max="7" width="9.28515625" style="174" bestFit="1" customWidth="1"/>
    <col min="8" max="8" width="15.42578125" style="174" customWidth="1"/>
    <col min="9" max="9" width="6.5703125" style="174" customWidth="1"/>
    <col min="10" max="10" width="17.28515625" style="174" customWidth="1"/>
    <col min="11" max="11" width="6.5703125" style="174" customWidth="1"/>
    <col min="12" max="12" width="14.28515625" style="174" customWidth="1"/>
    <col min="13" max="13" width="7.5703125" style="174" bestFit="1" customWidth="1"/>
    <col min="14" max="14" width="8.28515625" style="174" bestFit="1" customWidth="1"/>
    <col min="15" max="15" width="9.5703125" style="174" customWidth="1"/>
    <col min="16" max="16" width="6.85546875" style="174" customWidth="1"/>
    <col min="17" max="18" width="9" style="174" customWidth="1"/>
    <col min="19" max="16384" width="9.140625" style="174"/>
  </cols>
  <sheetData>
    <row r="1" spans="1:18" ht="15" customHeight="1" x14ac:dyDescent="0.2">
      <c r="A1" s="175" t="s">
        <v>281</v>
      </c>
    </row>
    <row r="2" spans="1:18" ht="15" customHeight="1" x14ac:dyDescent="0.2">
      <c r="A2" s="177" t="s">
        <v>280</v>
      </c>
    </row>
    <row r="3" spans="1:18" ht="15" customHeight="1" x14ac:dyDescent="0.2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</row>
    <row r="5" spans="1:18" ht="15" customHeight="1" x14ac:dyDescent="0.2">
      <c r="A5" s="175" t="s">
        <v>279</v>
      </c>
    </row>
    <row r="6" spans="1:18" ht="15" customHeight="1" x14ac:dyDescent="0.2">
      <c r="A6" s="175" t="s">
        <v>278</v>
      </c>
    </row>
    <row r="7" spans="1:18" ht="15" customHeight="1" x14ac:dyDescent="0.2">
      <c r="A7" s="179"/>
      <c r="B7" s="179"/>
      <c r="C7" s="179"/>
      <c r="D7" s="179" t="s">
        <v>277</v>
      </c>
      <c r="E7" s="179"/>
      <c r="F7" s="179" t="s">
        <v>1</v>
      </c>
      <c r="G7" s="179"/>
      <c r="H7" s="179"/>
      <c r="I7" s="179"/>
      <c r="J7" s="179" t="s">
        <v>83</v>
      </c>
      <c r="K7" s="179"/>
      <c r="L7" s="179"/>
      <c r="M7" s="179"/>
      <c r="N7" s="179" t="s">
        <v>33</v>
      </c>
      <c r="O7" s="179"/>
    </row>
    <row r="8" spans="1:18" ht="15" customHeight="1" x14ac:dyDescent="0.2">
      <c r="A8" s="179"/>
      <c r="B8" s="179"/>
      <c r="C8" s="179" t="s">
        <v>252</v>
      </c>
      <c r="D8" s="179"/>
      <c r="E8" s="179"/>
      <c r="F8" s="179"/>
      <c r="G8" s="179" t="s">
        <v>276</v>
      </c>
      <c r="H8" s="179"/>
      <c r="I8" s="179" t="s">
        <v>276</v>
      </c>
      <c r="J8" s="179"/>
      <c r="K8" s="179" t="s">
        <v>276</v>
      </c>
      <c r="L8" s="179"/>
      <c r="M8" s="179" t="s">
        <v>276</v>
      </c>
      <c r="N8" s="179"/>
      <c r="O8" s="179"/>
    </row>
    <row r="9" spans="1:18" ht="15" customHeight="1" x14ac:dyDescent="0.2">
      <c r="A9" s="179" t="s">
        <v>164</v>
      </c>
      <c r="B9" s="179" t="s">
        <v>74</v>
      </c>
      <c r="C9" s="179" t="s">
        <v>251</v>
      </c>
      <c r="D9" s="179" t="s">
        <v>261</v>
      </c>
      <c r="E9" s="179" t="s">
        <v>260</v>
      </c>
      <c r="F9" s="179" t="s">
        <v>261</v>
      </c>
      <c r="G9" s="179" t="s">
        <v>275</v>
      </c>
      <c r="H9" s="179" t="s">
        <v>260</v>
      </c>
      <c r="I9" s="179" t="s">
        <v>274</v>
      </c>
      <c r="J9" s="179" t="s">
        <v>261</v>
      </c>
      <c r="K9" s="179" t="s">
        <v>275</v>
      </c>
      <c r="L9" s="179" t="s">
        <v>260</v>
      </c>
      <c r="M9" s="179" t="s">
        <v>274</v>
      </c>
      <c r="N9" s="179" t="s">
        <v>261</v>
      </c>
      <c r="O9" s="179" t="s">
        <v>260</v>
      </c>
    </row>
    <row r="10" spans="1:18" ht="15" customHeight="1" x14ac:dyDescent="0.2">
      <c r="A10" s="180" t="s">
        <v>248</v>
      </c>
      <c r="B10" s="180" t="s">
        <v>247</v>
      </c>
      <c r="C10" s="180" t="s">
        <v>236</v>
      </c>
      <c r="D10" s="181">
        <v>57453.878905999998</v>
      </c>
      <c r="E10" s="181">
        <v>63988.640625</v>
      </c>
      <c r="F10" s="181">
        <v>16401.496093999998</v>
      </c>
      <c r="G10" s="183">
        <v>28.547239000000001</v>
      </c>
      <c r="H10" s="181">
        <v>21461.039062</v>
      </c>
      <c r="I10" s="183">
        <v>33.538826</v>
      </c>
      <c r="J10" s="181">
        <v>6737.5</v>
      </c>
      <c r="K10" s="183">
        <v>11.726796999999999</v>
      </c>
      <c r="L10" s="181">
        <v>11046.438477</v>
      </c>
      <c r="M10" s="183">
        <v>17.263124000000001</v>
      </c>
      <c r="N10" s="182">
        <v>-8549.0458980000003</v>
      </c>
      <c r="O10" s="182">
        <v>-1525.0211179999999</v>
      </c>
    </row>
    <row r="11" spans="1:18" ht="15" customHeight="1" x14ac:dyDescent="0.2">
      <c r="A11" s="180" t="s">
        <v>246</v>
      </c>
      <c r="B11" s="180" t="s">
        <v>245</v>
      </c>
      <c r="C11" s="180" t="s">
        <v>236</v>
      </c>
      <c r="D11" s="181">
        <v>15590.834961</v>
      </c>
      <c r="E11" s="181">
        <v>17856.933593999998</v>
      </c>
      <c r="F11" s="181">
        <v>7006.6376950000003</v>
      </c>
      <c r="G11" s="183">
        <v>44.940745999999997</v>
      </c>
      <c r="H11" s="181">
        <v>9201.7548829999996</v>
      </c>
      <c r="I11" s="183">
        <v>51.530434</v>
      </c>
      <c r="J11" s="181">
        <v>5349.2680659999996</v>
      </c>
      <c r="K11" s="183">
        <v>34.310336999999997</v>
      </c>
      <c r="L11" s="181">
        <v>6835.6147460000002</v>
      </c>
      <c r="M11" s="183">
        <v>38.279891999999997</v>
      </c>
      <c r="N11" s="181">
        <v>1884.0786129999999</v>
      </c>
      <c r="O11" s="181">
        <v>4076.966797</v>
      </c>
    </row>
    <row r="12" spans="1:18" ht="15" customHeight="1" x14ac:dyDescent="0.2">
      <c r="A12" s="180" t="s">
        <v>244</v>
      </c>
      <c r="B12" s="180" t="s">
        <v>243</v>
      </c>
      <c r="C12" s="180" t="s">
        <v>242</v>
      </c>
      <c r="D12" s="181">
        <v>38270.449219000002</v>
      </c>
      <c r="E12" s="181">
        <v>41940.222655999998</v>
      </c>
      <c r="F12" s="181">
        <v>14391.915039</v>
      </c>
      <c r="G12" s="183">
        <v>37.605815999999997</v>
      </c>
      <c r="H12" s="181">
        <v>15302.745117</v>
      </c>
      <c r="I12" s="183">
        <v>36.487037999999998</v>
      </c>
      <c r="J12" s="181">
        <v>12854.853515999999</v>
      </c>
      <c r="K12" s="183">
        <v>33.589503999999998</v>
      </c>
      <c r="L12" s="181">
        <v>14504.983398</v>
      </c>
      <c r="M12" s="183">
        <v>34.584896000000001</v>
      </c>
      <c r="N12" s="181">
        <v>10029.101562</v>
      </c>
      <c r="O12" s="181">
        <v>11900.253906</v>
      </c>
    </row>
    <row r="13" spans="1:18" ht="15" customHeight="1" x14ac:dyDescent="0.2">
      <c r="A13" s="180" t="s">
        <v>241</v>
      </c>
      <c r="B13" s="180" t="s">
        <v>240</v>
      </c>
      <c r="C13" s="180" t="s">
        <v>239</v>
      </c>
      <c r="D13" s="181">
        <v>9196.8222659999992</v>
      </c>
      <c r="E13" s="181">
        <v>10352.637694999999</v>
      </c>
      <c r="F13" s="181">
        <v>4019.9521479999999</v>
      </c>
      <c r="G13" s="183">
        <v>43.710228000000001</v>
      </c>
      <c r="H13" s="181">
        <v>4971.5117190000001</v>
      </c>
      <c r="I13" s="183">
        <v>48.02169</v>
      </c>
      <c r="J13" s="181">
        <v>3629.3461910000001</v>
      </c>
      <c r="K13" s="183">
        <v>39.463047000000003</v>
      </c>
      <c r="L13" s="181">
        <v>4358.3344729999999</v>
      </c>
      <c r="M13" s="183">
        <v>42.098782</v>
      </c>
      <c r="N13" s="181">
        <v>3079.1264649999998</v>
      </c>
      <c r="O13" s="181">
        <v>3704.866943</v>
      </c>
    </row>
    <row r="14" spans="1:18" ht="15" customHeight="1" x14ac:dyDescent="0.2">
      <c r="A14" s="180" t="s">
        <v>238</v>
      </c>
      <c r="B14" s="180" t="s">
        <v>237</v>
      </c>
      <c r="C14" s="180" t="s">
        <v>236</v>
      </c>
      <c r="D14" s="181">
        <v>25957.835938</v>
      </c>
      <c r="E14" s="181">
        <v>32520.490234000001</v>
      </c>
      <c r="F14" s="181">
        <v>8064.3764650000003</v>
      </c>
      <c r="G14" s="183">
        <v>31.067212999999999</v>
      </c>
      <c r="H14" s="181">
        <v>10861.548828000001</v>
      </c>
      <c r="I14" s="183">
        <v>33.399093999999998</v>
      </c>
      <c r="J14" s="181">
        <v>6725.125</v>
      </c>
      <c r="K14" s="183">
        <v>25.907881</v>
      </c>
      <c r="L14" s="181">
        <v>10016.578125</v>
      </c>
      <c r="M14" s="183">
        <v>30.800823000000001</v>
      </c>
      <c r="N14" s="181">
        <v>5287.7753910000001</v>
      </c>
      <c r="O14" s="181">
        <v>6941.1645509999998</v>
      </c>
    </row>
    <row r="15" spans="1:18" ht="15" customHeight="1" x14ac:dyDescent="0.2">
      <c r="A15" s="180" t="s">
        <v>235</v>
      </c>
      <c r="B15" s="180" t="s">
        <v>234</v>
      </c>
      <c r="C15" s="180" t="s">
        <v>233</v>
      </c>
      <c r="D15" s="181">
        <v>5332.6948240000002</v>
      </c>
      <c r="E15" s="181">
        <v>6987.1938479999999</v>
      </c>
      <c r="F15" s="181">
        <v>1640.372314</v>
      </c>
      <c r="G15" s="183">
        <v>30.760663999999998</v>
      </c>
      <c r="H15" s="181">
        <v>2824.8684079999998</v>
      </c>
      <c r="I15" s="183">
        <v>40.429226</v>
      </c>
      <c r="J15" s="181">
        <v>1533.199707</v>
      </c>
      <c r="K15" s="183">
        <v>28.750934999999998</v>
      </c>
      <c r="L15" s="181">
        <v>2541.0622560000002</v>
      </c>
      <c r="M15" s="183">
        <v>36.367424</v>
      </c>
      <c r="N15" s="181">
        <v>1395.997192</v>
      </c>
      <c r="O15" s="181">
        <v>2021.1116939999999</v>
      </c>
    </row>
    <row r="16" spans="1:18" ht="15" customHeight="1" x14ac:dyDescent="0.2">
      <c r="A16" s="180" t="s">
        <v>232</v>
      </c>
      <c r="B16" s="180" t="s">
        <v>231</v>
      </c>
      <c r="C16" s="180" t="s">
        <v>230</v>
      </c>
      <c r="D16" s="181">
        <v>7638.4414059999999</v>
      </c>
      <c r="E16" s="181">
        <v>5954.2739259999998</v>
      </c>
      <c r="F16" s="181">
        <v>3501.2170409999999</v>
      </c>
      <c r="G16" s="183">
        <v>45.836799999999997</v>
      </c>
      <c r="H16" s="181">
        <v>2348.8820799999999</v>
      </c>
      <c r="I16" s="183">
        <v>39.448672999999999</v>
      </c>
      <c r="J16" s="181">
        <v>3330.1176759999998</v>
      </c>
      <c r="K16" s="183">
        <v>43.596820999999998</v>
      </c>
      <c r="L16" s="181">
        <v>2118.3483890000002</v>
      </c>
      <c r="M16" s="183">
        <v>35.576939000000003</v>
      </c>
      <c r="N16" s="181">
        <v>2913.4770509999998</v>
      </c>
      <c r="O16" s="181">
        <v>1564.935913</v>
      </c>
    </row>
    <row r="17" spans="1:18" ht="15" customHeight="1" x14ac:dyDescent="0.2">
      <c r="A17" s="180" t="s">
        <v>229</v>
      </c>
      <c r="B17" s="180" t="s">
        <v>228</v>
      </c>
      <c r="C17" s="180" t="s">
        <v>227</v>
      </c>
      <c r="D17" s="181">
        <v>50415.617187999997</v>
      </c>
      <c r="E17" s="181">
        <v>57164.222655999998</v>
      </c>
      <c r="F17" s="181">
        <v>30244.429688</v>
      </c>
      <c r="G17" s="183">
        <v>59.990195999999997</v>
      </c>
      <c r="H17" s="181">
        <v>36498.742187999997</v>
      </c>
      <c r="I17" s="183">
        <v>63.848922999999999</v>
      </c>
      <c r="J17" s="181">
        <v>29333.119140999999</v>
      </c>
      <c r="K17" s="183">
        <v>58.182602000000003</v>
      </c>
      <c r="L17" s="181">
        <v>35025.699219000002</v>
      </c>
      <c r="M17" s="183">
        <v>61.272067999999997</v>
      </c>
      <c r="N17" s="181">
        <v>22602.697265999999</v>
      </c>
      <c r="O17" s="181">
        <v>27944.724609000001</v>
      </c>
    </row>
    <row r="18" spans="1:18" ht="15" customHeight="1" x14ac:dyDescent="0.2">
      <c r="A18" s="187" t="s">
        <v>226</v>
      </c>
      <c r="B18" s="188"/>
      <c r="C18" s="188"/>
      <c r="D18" s="188"/>
      <c r="E18" s="188"/>
      <c r="F18" s="188"/>
      <c r="G18" s="207">
        <v>40.307363000000002</v>
      </c>
      <c r="H18" s="188"/>
      <c r="I18" s="207">
        <v>43.337988000000003</v>
      </c>
      <c r="J18" s="188"/>
      <c r="K18" s="207">
        <v>34.440989999999999</v>
      </c>
      <c r="L18" s="188"/>
      <c r="M18" s="207">
        <v>37.030493999999997</v>
      </c>
      <c r="N18" s="208">
        <v>4830.4009550000001</v>
      </c>
      <c r="O18" s="209">
        <v>7078.6254120000003</v>
      </c>
    </row>
    <row r="19" spans="1:18" ht="15" customHeight="1" x14ac:dyDescent="0.2">
      <c r="A19" s="190" t="s">
        <v>225</v>
      </c>
      <c r="B19" s="191"/>
      <c r="C19" s="191"/>
      <c r="D19" s="191"/>
      <c r="E19" s="191"/>
      <c r="F19" s="191"/>
      <c r="G19" s="210">
        <v>40.658022000000003</v>
      </c>
      <c r="H19" s="191"/>
      <c r="I19" s="210">
        <v>39.938949000000001</v>
      </c>
      <c r="J19" s="191"/>
      <c r="K19" s="210">
        <v>33.949919999999999</v>
      </c>
      <c r="L19" s="191"/>
      <c r="M19" s="210">
        <v>35.972181999999997</v>
      </c>
      <c r="N19" s="211">
        <v>2996.3017580000001</v>
      </c>
      <c r="O19" s="212">
        <v>3890.91687</v>
      </c>
    </row>
    <row r="20" spans="1:18" ht="15" customHeight="1" x14ac:dyDescent="0.2">
      <c r="A20" s="175"/>
    </row>
    <row r="21" spans="1:18" ht="15" customHeight="1" x14ac:dyDescent="0.2">
      <c r="A21" s="179" t="s">
        <v>273</v>
      </c>
      <c r="B21" s="179"/>
      <c r="C21" s="179"/>
      <c r="D21" s="179"/>
      <c r="E21" s="232" t="s">
        <v>272</v>
      </c>
      <c r="F21" s="234"/>
      <c r="G21" s="234"/>
      <c r="H21" s="233"/>
      <c r="I21" s="232" t="s">
        <v>271</v>
      </c>
      <c r="J21" s="233"/>
      <c r="K21" s="232" t="s">
        <v>270</v>
      </c>
      <c r="L21" s="233"/>
      <c r="M21" s="232" t="s">
        <v>269</v>
      </c>
      <c r="N21" s="233"/>
      <c r="O21" s="232" t="s">
        <v>268</v>
      </c>
      <c r="P21" s="233"/>
      <c r="Q21" s="179"/>
      <c r="R21" s="179"/>
    </row>
    <row r="22" spans="1:18" ht="15" customHeight="1" x14ac:dyDescent="0.2">
      <c r="A22" s="179"/>
      <c r="B22" s="179"/>
      <c r="C22" s="179" t="s">
        <v>252</v>
      </c>
      <c r="D22" s="184"/>
      <c r="E22" s="185" t="s">
        <v>30</v>
      </c>
      <c r="F22" s="184" t="s">
        <v>163</v>
      </c>
      <c r="G22" s="184" t="s">
        <v>162</v>
      </c>
      <c r="H22" s="186" t="s">
        <v>267</v>
      </c>
      <c r="I22" s="185" t="s">
        <v>266</v>
      </c>
      <c r="J22" s="186" t="s">
        <v>265</v>
      </c>
      <c r="K22" s="185"/>
      <c r="L22" s="186"/>
      <c r="M22" s="185"/>
      <c r="N22" s="186"/>
      <c r="O22" s="185"/>
      <c r="P22" s="186"/>
      <c r="Q22" s="184" t="s">
        <v>33</v>
      </c>
      <c r="R22" s="184" t="s">
        <v>264</v>
      </c>
    </row>
    <row r="23" spans="1:18" ht="15" customHeight="1" x14ac:dyDescent="0.2">
      <c r="A23" s="179" t="s">
        <v>164</v>
      </c>
      <c r="B23" s="179" t="s">
        <v>74</v>
      </c>
      <c r="C23" s="179" t="s">
        <v>251</v>
      </c>
      <c r="D23" s="184" t="s">
        <v>30</v>
      </c>
      <c r="E23" s="185" t="s">
        <v>263</v>
      </c>
      <c r="F23" s="184" t="s">
        <v>165</v>
      </c>
      <c r="G23" s="184" t="s">
        <v>165</v>
      </c>
      <c r="H23" s="186" t="s">
        <v>65</v>
      </c>
      <c r="I23" s="185" t="s">
        <v>262</v>
      </c>
      <c r="J23" s="186" t="s">
        <v>262</v>
      </c>
      <c r="K23" s="185" t="s">
        <v>261</v>
      </c>
      <c r="L23" s="186" t="s">
        <v>260</v>
      </c>
      <c r="M23" s="185" t="s">
        <v>261</v>
      </c>
      <c r="N23" s="186" t="s">
        <v>260</v>
      </c>
      <c r="O23" s="185" t="s">
        <v>261</v>
      </c>
      <c r="P23" s="186" t="s">
        <v>260</v>
      </c>
      <c r="Q23" s="184" t="s">
        <v>259</v>
      </c>
      <c r="R23" s="184" t="s">
        <v>259</v>
      </c>
    </row>
    <row r="24" spans="1:18" ht="15" customHeight="1" x14ac:dyDescent="0.2">
      <c r="A24" s="180" t="s">
        <v>248</v>
      </c>
      <c r="B24" s="180" t="s">
        <v>247</v>
      </c>
      <c r="C24" s="180" t="s">
        <v>236</v>
      </c>
      <c r="D24" s="220">
        <v>35.689999</v>
      </c>
      <c r="E24" s="221">
        <v>45.554721999999998</v>
      </c>
      <c r="F24" s="222">
        <v>186283.12100000001</v>
      </c>
      <c r="G24" s="222">
        <v>157068.12100000001</v>
      </c>
      <c r="H24" s="223">
        <v>24663</v>
      </c>
      <c r="I24" s="224">
        <v>2.772116</v>
      </c>
      <c r="J24" s="225">
        <v>3.4351829999999999</v>
      </c>
      <c r="K24" s="224">
        <v>11.357691000000001</v>
      </c>
      <c r="L24" s="225">
        <v>8.6800599999999992</v>
      </c>
      <c r="M24" s="224">
        <v>26.162417999999999</v>
      </c>
      <c r="N24" s="225">
        <v>15.976723</v>
      </c>
      <c r="O24" s="226" t="s">
        <v>175</v>
      </c>
      <c r="P24" s="227" t="s">
        <v>175</v>
      </c>
      <c r="Q24" s="228">
        <v>-6.7464199999999996</v>
      </c>
      <c r="R24" s="228">
        <v>1.4009529999999999</v>
      </c>
    </row>
    <row r="25" spans="1:18" customFormat="1" ht="5.0999999999999996" customHeight="1" x14ac:dyDescent="0.25"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</row>
    <row r="26" spans="1:18" ht="15" customHeight="1" x14ac:dyDescent="0.2">
      <c r="A26" s="180" t="s">
        <v>246</v>
      </c>
      <c r="B26" s="180" t="s">
        <v>245</v>
      </c>
      <c r="C26" s="180" t="s">
        <v>236</v>
      </c>
      <c r="D26" s="220">
        <v>166.33000200000001</v>
      </c>
      <c r="E26" s="221">
        <v>169.45422400000001</v>
      </c>
      <c r="F26" s="222">
        <v>155919.44865000001</v>
      </c>
      <c r="G26" s="222">
        <v>153288.44865000001</v>
      </c>
      <c r="H26" s="223">
        <v>3214</v>
      </c>
      <c r="I26" s="224">
        <v>8.6967449999999999</v>
      </c>
      <c r="J26" s="225">
        <v>8.9000199999999996</v>
      </c>
      <c r="K26" s="224">
        <v>22.253105999999999</v>
      </c>
      <c r="L26" s="225">
        <v>16.944534000000001</v>
      </c>
      <c r="M26" s="224">
        <v>33.183833999999997</v>
      </c>
      <c r="N26" s="225">
        <v>25.997226999999999</v>
      </c>
      <c r="O26" s="224">
        <v>94.955284000000006</v>
      </c>
      <c r="P26" s="225">
        <v>44.197521000000002</v>
      </c>
      <c r="Q26" s="228">
        <v>0.86396099999999998</v>
      </c>
      <c r="R26" s="228">
        <v>3.126315</v>
      </c>
    </row>
    <row r="27" spans="1:18" ht="15" customHeight="1" x14ac:dyDescent="0.2">
      <c r="A27" s="180" t="s">
        <v>244</v>
      </c>
      <c r="B27" s="180" t="s">
        <v>243</v>
      </c>
      <c r="C27" s="180" t="s">
        <v>242</v>
      </c>
      <c r="D27" s="220">
        <v>171.28999300000001</v>
      </c>
      <c r="E27" s="221">
        <v>174.98500100000001</v>
      </c>
      <c r="F27" s="222">
        <v>200580.79</v>
      </c>
      <c r="G27" s="222">
        <v>197154.79</v>
      </c>
      <c r="H27" s="223">
        <v>3426</v>
      </c>
      <c r="I27" s="224">
        <v>5.3191839999999999</v>
      </c>
      <c r="J27" s="225">
        <v>5.5268600000000001</v>
      </c>
      <c r="K27" s="224">
        <v>13.937047</v>
      </c>
      <c r="L27" s="225">
        <v>13.107504</v>
      </c>
      <c r="M27" s="224">
        <v>17.318808000000001</v>
      </c>
      <c r="N27" s="225">
        <v>15.372305000000001</v>
      </c>
      <c r="O27" s="224">
        <v>18.487856000000001</v>
      </c>
      <c r="P27" s="225">
        <v>14.28905</v>
      </c>
      <c r="Q27" s="228">
        <v>8.1230419999999999</v>
      </c>
      <c r="R27" s="228">
        <v>1.868177</v>
      </c>
    </row>
    <row r="28" spans="1:18" ht="15" customHeight="1" x14ac:dyDescent="0.2">
      <c r="A28" s="180" t="s">
        <v>241</v>
      </c>
      <c r="B28" s="180" t="s">
        <v>240</v>
      </c>
      <c r="C28" s="180" t="s">
        <v>239</v>
      </c>
      <c r="D28" s="220">
        <v>192.270004</v>
      </c>
      <c r="E28" s="221">
        <v>211.89730800000001</v>
      </c>
      <c r="F28" s="222">
        <v>102312.87767</v>
      </c>
      <c r="G28" s="222">
        <v>96545.736669999998</v>
      </c>
      <c r="H28" s="223">
        <v>5686.8789999999999</v>
      </c>
      <c r="I28" s="224">
        <v>8.2890599999999992</v>
      </c>
      <c r="J28" s="225">
        <v>8.8440060000000003</v>
      </c>
      <c r="K28" s="224">
        <v>25.451267999999999</v>
      </c>
      <c r="L28" s="225">
        <v>20.579832</v>
      </c>
      <c r="M28" s="224">
        <v>32.106102</v>
      </c>
      <c r="N28" s="225">
        <v>25.331468999999998</v>
      </c>
      <c r="O28" s="224">
        <v>31.727723999999998</v>
      </c>
      <c r="P28" s="225">
        <v>27.757940000000001</v>
      </c>
      <c r="Q28" s="228">
        <v>4.3772650000000004</v>
      </c>
      <c r="R28" s="228">
        <v>1.913975</v>
      </c>
    </row>
    <row r="29" spans="1:18" ht="15" customHeight="1" x14ac:dyDescent="0.2">
      <c r="A29" s="180" t="s">
        <v>238</v>
      </c>
      <c r="B29" s="180" t="s">
        <v>237</v>
      </c>
      <c r="C29" s="180" t="s">
        <v>236</v>
      </c>
      <c r="D29" s="220">
        <v>163.279999</v>
      </c>
      <c r="E29" s="221">
        <v>200.232147</v>
      </c>
      <c r="F29" s="222">
        <v>266258.04539799999</v>
      </c>
      <c r="G29" s="222">
        <v>269662.04539799999</v>
      </c>
      <c r="H29" s="223">
        <v>-2770</v>
      </c>
      <c r="I29" s="224">
        <v>11.698854000000001</v>
      </c>
      <c r="J29" s="225">
        <v>11.739773</v>
      </c>
      <c r="K29" s="224">
        <v>33.016568999999997</v>
      </c>
      <c r="L29" s="225">
        <v>24.513819000000002</v>
      </c>
      <c r="M29" s="224">
        <v>44.136043999999998</v>
      </c>
      <c r="N29" s="225">
        <v>29.673380000000002</v>
      </c>
      <c r="O29" s="224">
        <v>52.066325999999997</v>
      </c>
      <c r="P29" s="225">
        <v>37.761333</v>
      </c>
      <c r="Q29" s="228">
        <v>0.46797800000000001</v>
      </c>
      <c r="R29" s="228">
        <v>0</v>
      </c>
    </row>
    <row r="30" spans="1:18" ht="15" customHeight="1" x14ac:dyDescent="0.2">
      <c r="A30" s="180" t="s">
        <v>235</v>
      </c>
      <c r="B30" s="180" t="s">
        <v>234</v>
      </c>
      <c r="C30" s="180" t="s">
        <v>233</v>
      </c>
      <c r="D30" s="220">
        <v>70.160004000000001</v>
      </c>
      <c r="E30" s="221">
        <v>88.810997</v>
      </c>
      <c r="F30" s="222">
        <v>65472.3</v>
      </c>
      <c r="G30" s="222">
        <v>62257.2</v>
      </c>
      <c r="H30" s="223">
        <v>3752.7</v>
      </c>
      <c r="I30" s="224">
        <v>10.971696</v>
      </c>
      <c r="J30" s="225">
        <v>11.887411999999999</v>
      </c>
      <c r="K30" s="224">
        <v>39.913072999999997</v>
      </c>
      <c r="L30" s="225">
        <v>23.177115000000001</v>
      </c>
      <c r="M30" s="224">
        <v>49.428516000000002</v>
      </c>
      <c r="N30" s="225">
        <v>28.593857</v>
      </c>
      <c r="O30" s="224">
        <v>39.920341000000001</v>
      </c>
      <c r="P30" s="225">
        <v>30.704595999999999</v>
      </c>
      <c r="Q30" s="228">
        <v>1.7780879999999999</v>
      </c>
      <c r="R30" s="228">
        <v>0.34207500000000002</v>
      </c>
    </row>
    <row r="31" spans="1:18" ht="15" customHeight="1" x14ac:dyDescent="0.2">
      <c r="A31" s="180" t="s">
        <v>232</v>
      </c>
      <c r="B31" s="180" t="s">
        <v>231</v>
      </c>
      <c r="C31" s="180" t="s">
        <v>230</v>
      </c>
      <c r="D31" s="220">
        <v>85.639999000000003</v>
      </c>
      <c r="E31" s="221">
        <v>92.989127999999994</v>
      </c>
      <c r="F31" s="222">
        <v>52570.304209000002</v>
      </c>
      <c r="G31" s="222">
        <v>47146.704209000003</v>
      </c>
      <c r="H31" s="223">
        <v>5446.6</v>
      </c>
      <c r="I31" s="224">
        <v>5.4795239999999996</v>
      </c>
      <c r="J31" s="225">
        <v>6.1548360000000004</v>
      </c>
      <c r="K31" s="224">
        <v>15.014866</v>
      </c>
      <c r="L31" s="225">
        <v>22.380990000000001</v>
      </c>
      <c r="M31" s="224">
        <v>17.379767999999999</v>
      </c>
      <c r="N31" s="225">
        <v>28.319265000000001</v>
      </c>
      <c r="O31" s="224">
        <v>15.866605</v>
      </c>
      <c r="P31" s="225">
        <v>30.558430000000001</v>
      </c>
      <c r="Q31" s="228">
        <v>6.7139860000000002</v>
      </c>
      <c r="R31" s="228">
        <v>2.1018219999999999</v>
      </c>
    </row>
    <row r="32" spans="1:18" ht="15" customHeight="1" x14ac:dyDescent="0.2">
      <c r="A32" s="180" t="s">
        <v>229</v>
      </c>
      <c r="B32" s="180" t="s">
        <v>228</v>
      </c>
      <c r="C32" s="180" t="s">
        <v>227</v>
      </c>
      <c r="D32" s="220">
        <v>1344.0699460000001</v>
      </c>
      <c r="E32" s="221">
        <v>1529.9056399999999</v>
      </c>
      <c r="F32" s="222">
        <v>724541.54201500001</v>
      </c>
      <c r="G32" s="222">
        <v>660504.54201500001</v>
      </c>
      <c r="H32" s="223">
        <v>64037</v>
      </c>
      <c r="I32" s="224">
        <v>16.150281</v>
      </c>
      <c r="J32" s="225">
        <v>18.642520000000001</v>
      </c>
      <c r="K32" s="224">
        <v>23.956198000000001</v>
      </c>
      <c r="L32" s="225">
        <v>19.851137000000001</v>
      </c>
      <c r="M32" s="224">
        <v>28.537936999999999</v>
      </c>
      <c r="N32" s="225">
        <v>23.410473</v>
      </c>
      <c r="O32" s="224">
        <v>28.318565</v>
      </c>
      <c r="P32" s="225">
        <v>23.068221999999999</v>
      </c>
      <c r="Q32" s="228">
        <v>4.9256979999999997</v>
      </c>
      <c r="R32" s="228">
        <v>1.562419</v>
      </c>
    </row>
    <row r="33" spans="1:18" ht="15" customHeight="1" x14ac:dyDescent="0.2">
      <c r="A33" s="187" t="s">
        <v>226</v>
      </c>
      <c r="B33" s="188"/>
      <c r="C33" s="188"/>
      <c r="D33" s="193"/>
      <c r="E33" s="194"/>
      <c r="F33" s="193"/>
      <c r="G33" s="193"/>
      <c r="H33" s="195"/>
      <c r="I33" s="196">
        <v>8.6721819999999994</v>
      </c>
      <c r="J33" s="197">
        <v>9.3913259999999994</v>
      </c>
      <c r="K33" s="196">
        <v>23.112476999999998</v>
      </c>
      <c r="L33" s="197">
        <v>18.654374000000001</v>
      </c>
      <c r="M33" s="196">
        <v>31.031677999999999</v>
      </c>
      <c r="N33" s="197">
        <v>24.084337000000001</v>
      </c>
      <c r="O33" s="196">
        <v>40.191814000000001</v>
      </c>
      <c r="P33" s="197">
        <v>29.762442</v>
      </c>
      <c r="Q33" s="198">
        <v>2.5629499999999998</v>
      </c>
      <c r="R33" s="199">
        <v>1.5394669999999999</v>
      </c>
    </row>
    <row r="34" spans="1:18" ht="15" customHeight="1" x14ac:dyDescent="0.2">
      <c r="A34" s="190" t="s">
        <v>225</v>
      </c>
      <c r="B34" s="191"/>
      <c r="C34" s="191"/>
      <c r="D34" s="200"/>
      <c r="E34" s="201"/>
      <c r="F34" s="200"/>
      <c r="G34" s="200"/>
      <c r="H34" s="202"/>
      <c r="I34" s="203">
        <v>8.4929020000000008</v>
      </c>
      <c r="J34" s="204">
        <v>8.8720130000000008</v>
      </c>
      <c r="K34" s="203">
        <v>23.104652000000002</v>
      </c>
      <c r="L34" s="204">
        <v>20.215485000000001</v>
      </c>
      <c r="M34" s="203">
        <v>30.322019000000001</v>
      </c>
      <c r="N34" s="204">
        <v>25.664348</v>
      </c>
      <c r="O34" s="203">
        <v>31.727723999999998</v>
      </c>
      <c r="P34" s="204">
        <v>30.558430000000001</v>
      </c>
      <c r="Q34" s="205">
        <v>3.0776759999999999</v>
      </c>
      <c r="R34" s="206">
        <v>1.715298</v>
      </c>
    </row>
    <row r="35" spans="1:18" ht="15" customHeight="1" x14ac:dyDescent="0.2">
      <c r="A35" s="175"/>
    </row>
    <row r="36" spans="1:18" ht="15" customHeight="1" x14ac:dyDescent="0.2">
      <c r="A36" s="179" t="s">
        <v>258</v>
      </c>
      <c r="B36" s="179"/>
      <c r="C36" s="179" t="s">
        <v>252</v>
      </c>
      <c r="D36" s="232" t="s">
        <v>257</v>
      </c>
      <c r="E36" s="233"/>
      <c r="F36" s="232" t="s">
        <v>256</v>
      </c>
      <c r="G36" s="233"/>
      <c r="H36" s="232" t="s">
        <v>255</v>
      </c>
      <c r="I36" s="233"/>
      <c r="J36" s="232" t="s">
        <v>254</v>
      </c>
      <c r="K36" s="233"/>
      <c r="L36" s="232" t="s">
        <v>253</v>
      </c>
      <c r="M36" s="233"/>
    </row>
    <row r="37" spans="1:18" ht="15" customHeight="1" x14ac:dyDescent="0.2">
      <c r="A37" s="179" t="s">
        <v>164</v>
      </c>
      <c r="B37" s="179" t="s">
        <v>74</v>
      </c>
      <c r="C37" s="179" t="s">
        <v>251</v>
      </c>
      <c r="D37" s="185" t="s">
        <v>250</v>
      </c>
      <c r="E37" s="186" t="s">
        <v>249</v>
      </c>
      <c r="F37" s="215" t="s">
        <v>250</v>
      </c>
      <c r="G37" s="216" t="s">
        <v>249</v>
      </c>
      <c r="H37" s="215" t="s">
        <v>250</v>
      </c>
      <c r="I37" s="216" t="s">
        <v>249</v>
      </c>
      <c r="J37" s="215" t="s">
        <v>250</v>
      </c>
      <c r="K37" s="216" t="s">
        <v>249</v>
      </c>
      <c r="L37" s="215" t="s">
        <v>250</v>
      </c>
      <c r="M37" s="216" t="s">
        <v>249</v>
      </c>
    </row>
    <row r="38" spans="1:18" ht="15" customHeight="1" x14ac:dyDescent="0.2">
      <c r="A38" s="180" t="s">
        <v>248</v>
      </c>
      <c r="B38" s="180" t="s">
        <v>247</v>
      </c>
      <c r="C38" s="180" t="s">
        <v>236</v>
      </c>
      <c r="D38" s="217">
        <v>39.719332999999999</v>
      </c>
      <c r="E38" s="218">
        <v>46.326939000000003</v>
      </c>
      <c r="F38" s="217">
        <v>17.763885999999999</v>
      </c>
      <c r="G38" s="218">
        <v>30.052948000000001</v>
      </c>
      <c r="H38" s="217">
        <v>5.7166000000000002E-2</v>
      </c>
      <c r="I38" s="218">
        <v>13.396825</v>
      </c>
      <c r="J38" s="217">
        <v>1.405178</v>
      </c>
      <c r="K38" s="218">
        <v>13.794188999999999</v>
      </c>
      <c r="L38" s="217">
        <v>3.114627</v>
      </c>
      <c r="M38" s="218">
        <v>11.87332</v>
      </c>
    </row>
    <row r="39" spans="1:18" customFormat="1" ht="5.0999999999999996" customHeight="1" x14ac:dyDescent="0.25">
      <c r="D39" s="219"/>
      <c r="E39" s="219"/>
      <c r="F39" s="219"/>
      <c r="G39" s="219"/>
      <c r="H39" s="219"/>
      <c r="I39" s="219"/>
      <c r="J39" s="219"/>
      <c r="K39" s="219"/>
      <c r="L39" s="219"/>
      <c r="M39" s="219"/>
    </row>
    <row r="40" spans="1:18" ht="15" customHeight="1" x14ac:dyDescent="0.2">
      <c r="A40" s="180" t="s">
        <v>246</v>
      </c>
      <c r="B40" s="180" t="s">
        <v>245</v>
      </c>
      <c r="C40" s="180" t="s">
        <v>236</v>
      </c>
      <c r="D40" s="217">
        <v>62.897426000000003</v>
      </c>
      <c r="E40" s="218">
        <v>59.050823000000001</v>
      </c>
      <c r="F40" s="217">
        <v>48.912609000000003</v>
      </c>
      <c r="G40" s="218">
        <v>46.967582999999998</v>
      </c>
      <c r="H40" s="217">
        <v>41.845996</v>
      </c>
      <c r="I40" s="218">
        <v>35.531281</v>
      </c>
      <c r="J40" s="217">
        <v>42.342599</v>
      </c>
      <c r="K40" s="218">
        <v>35.454922000000003</v>
      </c>
      <c r="L40" s="217">
        <v>36.965580000000003</v>
      </c>
      <c r="M40" s="218">
        <v>30.770966000000001</v>
      </c>
    </row>
    <row r="41" spans="1:18" ht="15" customHeight="1" x14ac:dyDescent="0.2">
      <c r="A41" s="180" t="s">
        <v>244</v>
      </c>
      <c r="B41" s="180" t="s">
        <v>243</v>
      </c>
      <c r="C41" s="180" t="s">
        <v>242</v>
      </c>
      <c r="D41" s="217">
        <v>55.535654999999998</v>
      </c>
      <c r="E41" s="218">
        <v>56.525199999999998</v>
      </c>
      <c r="F41" s="217">
        <v>29.904661999999998</v>
      </c>
      <c r="G41" s="218">
        <v>36.985759999999999</v>
      </c>
      <c r="H41" s="217">
        <v>24.812631</v>
      </c>
      <c r="I41" s="218">
        <v>34.141177999999996</v>
      </c>
      <c r="J41" s="217">
        <v>22.13711</v>
      </c>
      <c r="K41" s="218">
        <v>33.581710999999999</v>
      </c>
      <c r="L41" s="217">
        <v>21.704508000000001</v>
      </c>
      <c r="M41" s="218">
        <v>29.135183000000001</v>
      </c>
    </row>
    <row r="42" spans="1:18" ht="15" customHeight="1" x14ac:dyDescent="0.2">
      <c r="A42" s="180" t="s">
        <v>241</v>
      </c>
      <c r="B42" s="180" t="s">
        <v>240</v>
      </c>
      <c r="C42" s="180" t="s">
        <v>239</v>
      </c>
      <c r="D42" s="217">
        <v>54.727485000000001</v>
      </c>
      <c r="E42" s="218">
        <v>68.128997999999996</v>
      </c>
      <c r="F42" s="217">
        <v>49.148043999999999</v>
      </c>
      <c r="G42" s="218">
        <v>45.762416999999999</v>
      </c>
      <c r="H42" s="217">
        <v>29.864349000000001</v>
      </c>
      <c r="I42" s="218">
        <v>40.717613</v>
      </c>
      <c r="J42" s="217">
        <v>26.346702000000001</v>
      </c>
      <c r="K42" s="218">
        <v>38.028294000000002</v>
      </c>
      <c r="L42" s="217">
        <v>24.340273</v>
      </c>
      <c r="M42" s="218">
        <v>33.131900999999999</v>
      </c>
    </row>
    <row r="43" spans="1:18" ht="15" customHeight="1" x14ac:dyDescent="0.2">
      <c r="A43" s="180" t="s">
        <v>238</v>
      </c>
      <c r="B43" s="180" t="s">
        <v>237</v>
      </c>
      <c r="C43" s="180" t="s">
        <v>236</v>
      </c>
      <c r="D43" s="217">
        <v>37.879188999999997</v>
      </c>
      <c r="E43" s="218">
        <v>53.782241999999997</v>
      </c>
      <c r="F43" s="217">
        <v>18.412697999999999</v>
      </c>
      <c r="G43" s="218">
        <v>31.829739</v>
      </c>
      <c r="H43" s="217">
        <v>2.7557320000000001</v>
      </c>
      <c r="I43" s="218">
        <v>27.507871999999999</v>
      </c>
      <c r="J43" s="217">
        <v>2.1693120000000001</v>
      </c>
      <c r="K43" s="218">
        <v>27.431498000000001</v>
      </c>
      <c r="L43" s="217">
        <v>3.7654320000000001</v>
      </c>
      <c r="M43" s="218">
        <v>24.679963999999998</v>
      </c>
    </row>
    <row r="44" spans="1:18" ht="15" customHeight="1" x14ac:dyDescent="0.2">
      <c r="A44" s="180" t="s">
        <v>235</v>
      </c>
      <c r="B44" s="180" t="s">
        <v>234</v>
      </c>
      <c r="C44" s="180" t="s">
        <v>233</v>
      </c>
      <c r="D44" s="217">
        <v>41.643517000000003</v>
      </c>
      <c r="E44" s="218">
        <v>63.775069999999999</v>
      </c>
      <c r="F44" s="217">
        <v>17.450115</v>
      </c>
      <c r="G44" s="218">
        <v>33.084651999999998</v>
      </c>
      <c r="H44" s="217">
        <v>-7.9270839999999998</v>
      </c>
      <c r="I44" s="218">
        <v>30.581675000000001</v>
      </c>
      <c r="J44" s="217">
        <v>-13.775259999999999</v>
      </c>
      <c r="K44" s="218">
        <v>26.621856999999999</v>
      </c>
      <c r="L44" s="217">
        <v>-16.947182999999999</v>
      </c>
      <c r="M44" s="218">
        <v>24.947154999999999</v>
      </c>
    </row>
    <row r="45" spans="1:18" ht="15" customHeight="1" x14ac:dyDescent="0.2">
      <c r="A45" s="180" t="s">
        <v>232</v>
      </c>
      <c r="B45" s="180" t="s">
        <v>231</v>
      </c>
      <c r="C45" s="180" t="s">
        <v>230</v>
      </c>
      <c r="D45" s="217">
        <v>59.547142000000001</v>
      </c>
      <c r="E45" s="218">
        <v>62.971653000000003</v>
      </c>
      <c r="F45" s="217">
        <v>47.738635000000002</v>
      </c>
      <c r="G45" s="218">
        <v>39.779552000000002</v>
      </c>
      <c r="H45" s="217">
        <v>37.148912000000003</v>
      </c>
      <c r="I45" s="218">
        <v>35.827446000000002</v>
      </c>
      <c r="J45" s="217">
        <v>34.748809000000001</v>
      </c>
      <c r="K45" s="218">
        <v>30.350075</v>
      </c>
      <c r="L45" s="217">
        <v>27.585965000000002</v>
      </c>
      <c r="M45" s="218">
        <v>27.474488999999998</v>
      </c>
    </row>
    <row r="46" spans="1:18" ht="15" customHeight="1" x14ac:dyDescent="0.2">
      <c r="A46" s="180" t="s">
        <v>229</v>
      </c>
      <c r="B46" s="180" t="s">
        <v>228</v>
      </c>
      <c r="C46" s="180" t="s">
        <v>227</v>
      </c>
      <c r="D46" s="217">
        <v>62.567863000000003</v>
      </c>
      <c r="E46" s="218">
        <v>75.905518000000001</v>
      </c>
      <c r="F46" s="217">
        <v>52.365881999999999</v>
      </c>
      <c r="G46" s="218">
        <v>61.833869999999997</v>
      </c>
      <c r="H46" s="217">
        <v>39.120030999999997</v>
      </c>
      <c r="I46" s="218">
        <v>59.658726000000001</v>
      </c>
      <c r="J46" s="217">
        <v>32.417341999999998</v>
      </c>
      <c r="K46" s="218">
        <v>54.342238999999999</v>
      </c>
      <c r="L46" s="217">
        <v>29.800592000000002</v>
      </c>
      <c r="M46" s="218">
        <v>47.369822999999997</v>
      </c>
    </row>
    <row r="47" spans="1:18" ht="15" customHeight="1" x14ac:dyDescent="0.2">
      <c r="A47" s="187" t="s">
        <v>226</v>
      </c>
      <c r="B47" s="188"/>
      <c r="C47" s="188"/>
      <c r="D47" s="213">
        <v>51.814700999999999</v>
      </c>
      <c r="E47" s="189">
        <v>60.808304999999997</v>
      </c>
      <c r="F47" s="213">
        <v>35.212066</v>
      </c>
      <c r="G47" s="189">
        <v>40.787064999999998</v>
      </c>
      <c r="H47" s="213">
        <v>20.959717000000001</v>
      </c>
      <c r="I47" s="189">
        <v>34.670327</v>
      </c>
      <c r="J47" s="213">
        <v>18.473973999999998</v>
      </c>
      <c r="K47" s="189">
        <v>32.450597999999999</v>
      </c>
      <c r="L47" s="213">
        <v>16.291224</v>
      </c>
      <c r="M47" s="189">
        <v>28.67285</v>
      </c>
    </row>
    <row r="48" spans="1:18" ht="15" customHeight="1" x14ac:dyDescent="0.2">
      <c r="A48" s="190" t="s">
        <v>225</v>
      </c>
      <c r="B48" s="191"/>
      <c r="C48" s="191"/>
      <c r="D48" s="214">
        <v>55.131570000000004</v>
      </c>
      <c r="E48" s="192">
        <v>61.011237999999999</v>
      </c>
      <c r="F48" s="214">
        <v>38.821649000000001</v>
      </c>
      <c r="G48" s="192">
        <v>38.382655999999997</v>
      </c>
      <c r="H48" s="214">
        <v>27.33849</v>
      </c>
      <c r="I48" s="192">
        <v>34.83623</v>
      </c>
      <c r="J48" s="214">
        <v>24.241906</v>
      </c>
      <c r="K48" s="192">
        <v>31.965893000000001</v>
      </c>
      <c r="L48" s="214">
        <v>23.022390999999999</v>
      </c>
      <c r="M48" s="192">
        <v>28.304836000000002</v>
      </c>
    </row>
    <row r="49" spans="1:1" ht="15" customHeight="1" x14ac:dyDescent="0.2">
      <c r="A49" s="175"/>
    </row>
  </sheetData>
  <mergeCells count="10">
    <mergeCell ref="O21:P21"/>
    <mergeCell ref="D36:E36"/>
    <mergeCell ref="F36:G36"/>
    <mergeCell ref="H36:I36"/>
    <mergeCell ref="J36:K36"/>
    <mergeCell ref="L36:M36"/>
    <mergeCell ref="E21:H21"/>
    <mergeCell ref="I21:J21"/>
    <mergeCell ref="K21:L21"/>
    <mergeCell ref="M21:N21"/>
  </mergeCells>
  <conditionalFormatting sqref="D38:M38 D40:M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4:J24 I26:J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4:P24 K26:P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D3FF-72BD-42A4-8CA9-73512DC28B89}">
  <dimension ref="B1:AK74"/>
  <sheetViews>
    <sheetView workbookViewId="0">
      <pane xSplit="2" ySplit="2" topLeftCell="J51" activePane="bottomRight" state="frozen"/>
      <selection pane="topRight" activeCell="C1" sqref="C1"/>
      <selection pane="bottomLeft" activeCell="A3" sqref="A3"/>
      <selection pane="bottomRight" activeCell="M75" sqref="M75"/>
    </sheetView>
  </sheetViews>
  <sheetFormatPr defaultRowHeight="15" x14ac:dyDescent="0.25"/>
  <cols>
    <col min="1" max="1" width="2.7109375" customWidth="1"/>
    <col min="2" max="2" width="22.140625" bestFit="1" customWidth="1"/>
    <col min="4" max="11" width="8.85546875" style="82"/>
    <col min="20" max="20" width="9.140625" customWidth="1"/>
  </cols>
  <sheetData>
    <row r="1" spans="2:37" x14ac:dyDescent="0.25">
      <c r="D1"/>
      <c r="E1"/>
      <c r="F1"/>
      <c r="G1"/>
      <c r="H1"/>
      <c r="I1"/>
      <c r="J1"/>
      <c r="K1"/>
    </row>
    <row r="2" spans="2:37" x14ac:dyDescent="0.25">
      <c r="C2" s="2" t="s">
        <v>64</v>
      </c>
      <c r="D2" s="2" t="s">
        <v>63</v>
      </c>
      <c r="E2" s="2" t="s">
        <v>62</v>
      </c>
      <c r="F2" s="2" t="s">
        <v>61</v>
      </c>
      <c r="G2" s="2" t="s">
        <v>60</v>
      </c>
      <c r="H2" s="2" t="s">
        <v>59</v>
      </c>
      <c r="I2" s="2" t="s">
        <v>58</v>
      </c>
      <c r="J2" s="2" t="s">
        <v>57</v>
      </c>
      <c r="K2" s="2" t="s">
        <v>68</v>
      </c>
      <c r="L2" s="2" t="s">
        <v>283</v>
      </c>
      <c r="M2" s="2" t="s">
        <v>287</v>
      </c>
      <c r="N2" s="2" t="s">
        <v>293</v>
      </c>
      <c r="O2" s="2"/>
      <c r="P2" s="231">
        <f t="shared" ref="P2:Q2" si="0">Q2-1</f>
        <v>2017</v>
      </c>
      <c r="Q2" s="231">
        <f t="shared" si="0"/>
        <v>2018</v>
      </c>
      <c r="R2" s="231">
        <f>S2-1</f>
        <v>2019</v>
      </c>
      <c r="S2" s="231">
        <v>2020</v>
      </c>
      <c r="T2" s="231">
        <f t="shared" ref="T2:AK2" si="1">S2+1</f>
        <v>2021</v>
      </c>
      <c r="U2" s="231">
        <f t="shared" si="1"/>
        <v>2022</v>
      </c>
      <c r="V2" s="231">
        <f t="shared" si="1"/>
        <v>2023</v>
      </c>
      <c r="W2" s="231">
        <f t="shared" si="1"/>
        <v>2024</v>
      </c>
      <c r="X2" s="231">
        <f t="shared" si="1"/>
        <v>2025</v>
      </c>
      <c r="Y2" s="231">
        <f t="shared" si="1"/>
        <v>2026</v>
      </c>
      <c r="Z2" s="231">
        <f t="shared" si="1"/>
        <v>2027</v>
      </c>
      <c r="AA2" s="231">
        <f t="shared" si="1"/>
        <v>2028</v>
      </c>
      <c r="AB2" s="231">
        <f t="shared" si="1"/>
        <v>2029</v>
      </c>
      <c r="AC2" s="231">
        <f t="shared" si="1"/>
        <v>2030</v>
      </c>
      <c r="AD2" s="231">
        <f t="shared" si="1"/>
        <v>2031</v>
      </c>
      <c r="AE2" s="231">
        <f t="shared" si="1"/>
        <v>2032</v>
      </c>
      <c r="AF2" s="231">
        <f t="shared" si="1"/>
        <v>2033</v>
      </c>
      <c r="AG2" s="231">
        <f t="shared" si="1"/>
        <v>2034</v>
      </c>
      <c r="AH2" s="231">
        <f t="shared" si="1"/>
        <v>2035</v>
      </c>
      <c r="AI2" s="231">
        <f t="shared" si="1"/>
        <v>2036</v>
      </c>
      <c r="AJ2" s="231">
        <f t="shared" si="1"/>
        <v>2037</v>
      </c>
      <c r="AK2" s="231">
        <f t="shared" si="1"/>
        <v>2038</v>
      </c>
    </row>
    <row r="3" spans="2:37" x14ac:dyDescent="0.25">
      <c r="B3" s="85" t="s">
        <v>56</v>
      </c>
      <c r="D3"/>
      <c r="E3"/>
      <c r="F3"/>
      <c r="G3"/>
      <c r="H3"/>
      <c r="I3"/>
      <c r="J3"/>
      <c r="K3"/>
      <c r="S3" s="2"/>
      <c r="T3" s="2"/>
      <c r="U3" s="2"/>
    </row>
    <row r="4" spans="2:37" x14ac:dyDescent="0.25">
      <c r="B4" t="s">
        <v>113</v>
      </c>
      <c r="D4"/>
      <c r="E4"/>
      <c r="F4"/>
      <c r="G4"/>
      <c r="H4"/>
      <c r="I4"/>
      <c r="J4"/>
      <c r="K4"/>
      <c r="S4" s="2"/>
      <c r="T4" s="2"/>
      <c r="U4" s="2"/>
    </row>
    <row r="5" spans="2:37" x14ac:dyDescent="0.25">
      <c r="B5" s="146" t="s">
        <v>101</v>
      </c>
      <c r="D5"/>
      <c r="E5"/>
      <c r="F5"/>
      <c r="G5"/>
      <c r="H5"/>
      <c r="I5" s="82">
        <v>2370</v>
      </c>
      <c r="J5"/>
      <c r="K5"/>
      <c r="M5" s="82">
        <v>2527</v>
      </c>
      <c r="N5" s="108">
        <f>M5/I5-1</f>
        <v>6.6244725738396681E-2</v>
      </c>
      <c r="S5" s="2"/>
      <c r="T5" s="2"/>
      <c r="U5" s="2"/>
    </row>
    <row r="6" spans="2:37" x14ac:dyDescent="0.25">
      <c r="B6" s="146" t="s">
        <v>288</v>
      </c>
      <c r="D6"/>
      <c r="E6"/>
      <c r="F6"/>
      <c r="G6"/>
      <c r="H6"/>
      <c r="I6" s="82">
        <v>3896</v>
      </c>
      <c r="J6"/>
      <c r="K6"/>
      <c r="M6" s="82">
        <v>4480</v>
      </c>
      <c r="N6" s="108">
        <f t="shared" ref="N6:N13" si="2">M6/I6-1</f>
        <v>0.14989733059548249</v>
      </c>
      <c r="S6" s="2"/>
      <c r="T6" s="2"/>
      <c r="U6" s="2"/>
    </row>
    <row r="7" spans="2:37" x14ac:dyDescent="0.25">
      <c r="B7" s="146" t="s">
        <v>289</v>
      </c>
      <c r="D7"/>
      <c r="E7"/>
      <c r="F7"/>
      <c r="G7"/>
      <c r="H7"/>
      <c r="I7" s="82">
        <v>514</v>
      </c>
      <c r="J7"/>
      <c r="K7"/>
      <c r="M7" s="82">
        <v>403</v>
      </c>
      <c r="N7" s="108">
        <f t="shared" si="2"/>
        <v>-0.21595330739299612</v>
      </c>
      <c r="S7" s="2"/>
      <c r="T7" s="2"/>
      <c r="U7" s="2"/>
    </row>
    <row r="8" spans="2:37" x14ac:dyDescent="0.25">
      <c r="B8" t="s">
        <v>114</v>
      </c>
      <c r="D8"/>
      <c r="E8"/>
      <c r="F8"/>
      <c r="G8"/>
      <c r="H8"/>
      <c r="I8" s="82">
        <v>3155</v>
      </c>
      <c r="J8"/>
      <c r="K8"/>
      <c r="M8" s="82">
        <v>3045</v>
      </c>
      <c r="N8" s="108">
        <f t="shared" si="2"/>
        <v>-3.4865293185419977E-2</v>
      </c>
      <c r="S8" s="2"/>
      <c r="T8" s="2"/>
      <c r="U8" s="2"/>
    </row>
    <row r="9" spans="2:37" x14ac:dyDescent="0.25">
      <c r="B9" t="s">
        <v>115</v>
      </c>
      <c r="D9"/>
      <c r="E9"/>
      <c r="F9"/>
      <c r="G9"/>
      <c r="H9"/>
      <c r="I9" s="82">
        <v>1364</v>
      </c>
      <c r="J9"/>
      <c r="K9"/>
      <c r="M9" s="82">
        <v>1344</v>
      </c>
      <c r="N9" s="108">
        <f t="shared" si="2"/>
        <v>-1.4662756598240456E-2</v>
      </c>
      <c r="S9" s="2"/>
      <c r="T9" s="2"/>
      <c r="U9" s="2"/>
    </row>
    <row r="10" spans="2:37" x14ac:dyDescent="0.25">
      <c r="B10" s="147" t="s">
        <v>290</v>
      </c>
      <c r="D10"/>
      <c r="E10"/>
      <c r="F10"/>
      <c r="G10"/>
      <c r="H10"/>
      <c r="I10" s="82">
        <v>4172</v>
      </c>
      <c r="J10"/>
      <c r="K10"/>
      <c r="M10" s="82">
        <v>4320</v>
      </c>
      <c r="N10" s="108">
        <f t="shared" si="2"/>
        <v>3.5474592521572479E-2</v>
      </c>
      <c r="S10" s="2"/>
      <c r="T10" s="2"/>
      <c r="U10" s="2"/>
    </row>
    <row r="11" spans="2:37" x14ac:dyDescent="0.25">
      <c r="B11" s="147" t="s">
        <v>291</v>
      </c>
      <c r="D11"/>
      <c r="E11"/>
      <c r="F11"/>
      <c r="G11"/>
      <c r="H11"/>
      <c r="I11" s="82">
        <v>1419</v>
      </c>
      <c r="J11"/>
      <c r="K11"/>
      <c r="M11" s="82">
        <v>968</v>
      </c>
      <c r="N11" s="108">
        <f t="shared" si="2"/>
        <v>-0.31782945736434109</v>
      </c>
      <c r="S11" s="2"/>
      <c r="T11" s="2"/>
      <c r="U11" s="2"/>
    </row>
    <row r="12" spans="2:37" x14ac:dyDescent="0.25">
      <c r="B12" s="147" t="s">
        <v>109</v>
      </c>
      <c r="D12"/>
      <c r="E12"/>
      <c r="F12"/>
      <c r="G12"/>
      <c r="H12"/>
      <c r="I12" s="82">
        <f>I11+I10+I9+I8+I7+I6+I5</f>
        <v>16890</v>
      </c>
      <c r="J12"/>
      <c r="K12"/>
      <c r="M12" s="82">
        <f>M11+M10+M9+M8+M7+M6+M5</f>
        <v>17087</v>
      </c>
      <c r="N12" s="108">
        <f t="shared" si="2"/>
        <v>1.1663706335109492E-2</v>
      </c>
      <c r="S12" s="2"/>
      <c r="T12" s="2"/>
      <c r="U12" s="2"/>
    </row>
    <row r="13" spans="2:37" x14ac:dyDescent="0.25">
      <c r="B13" s="147" t="s">
        <v>292</v>
      </c>
      <c r="D13"/>
      <c r="E13"/>
      <c r="F13"/>
      <c r="G13"/>
      <c r="H13"/>
      <c r="I13" s="82">
        <v>-3941</v>
      </c>
      <c r="J13"/>
      <c r="K13"/>
      <c r="M13" s="82">
        <v>-4254</v>
      </c>
      <c r="N13" s="108">
        <f t="shared" si="2"/>
        <v>7.9421466632834337E-2</v>
      </c>
      <c r="S13" s="2"/>
      <c r="T13" s="2"/>
      <c r="U13" s="2"/>
    </row>
    <row r="14" spans="2:37" x14ac:dyDescent="0.25">
      <c r="D14"/>
      <c r="E14"/>
      <c r="F14"/>
      <c r="G14"/>
      <c r="H14"/>
      <c r="I14"/>
      <c r="J14"/>
      <c r="K14"/>
      <c r="S14" s="2"/>
      <c r="T14" s="2"/>
      <c r="U14" s="109"/>
    </row>
    <row r="15" spans="2:37" s="84" customFormat="1" x14ac:dyDescent="0.25">
      <c r="B15" s="84" t="s">
        <v>0</v>
      </c>
      <c r="D15" s="81">
        <v>18383</v>
      </c>
      <c r="E15" s="81">
        <v>15321</v>
      </c>
      <c r="F15" s="81">
        <v>15338</v>
      </c>
      <c r="G15" s="81">
        <v>14042</v>
      </c>
      <c r="H15" s="81">
        <v>11715</v>
      </c>
      <c r="I15" s="81">
        <f>I13+I12</f>
        <v>12949</v>
      </c>
      <c r="J15" s="81">
        <v>14158</v>
      </c>
      <c r="K15" s="81">
        <v>15406</v>
      </c>
      <c r="L15" s="81">
        <v>12724</v>
      </c>
      <c r="M15" s="81">
        <v>12833</v>
      </c>
      <c r="N15" s="81"/>
      <c r="P15" s="81">
        <v>62761</v>
      </c>
      <c r="Q15" s="81">
        <v>70848</v>
      </c>
      <c r="R15" s="81">
        <v>71965</v>
      </c>
      <c r="S15" s="81">
        <v>77867</v>
      </c>
      <c r="T15" s="81">
        <v>79024</v>
      </c>
      <c r="U15" s="81">
        <v>63054</v>
      </c>
      <c r="V15" s="81">
        <v>54228</v>
      </c>
    </row>
    <row r="16" spans="2:37" x14ac:dyDescent="0.25">
      <c r="B16" t="s">
        <v>55</v>
      </c>
      <c r="D16" s="82">
        <v>9109</v>
      </c>
      <c r="E16" s="82">
        <v>9734</v>
      </c>
      <c r="F16" s="82">
        <v>8803</v>
      </c>
      <c r="G16" s="82">
        <v>8542</v>
      </c>
      <c r="H16" s="82">
        <v>7707</v>
      </c>
      <c r="I16" s="82">
        <v>8311</v>
      </c>
      <c r="J16" s="82">
        <v>8140</v>
      </c>
      <c r="K16" s="82">
        <v>8359</v>
      </c>
      <c r="L16" s="82">
        <v>7507</v>
      </c>
      <c r="M16" s="82">
        <v>8286</v>
      </c>
      <c r="N16" s="82"/>
      <c r="P16" s="82">
        <v>23663</v>
      </c>
      <c r="Q16" s="82">
        <v>27111</v>
      </c>
      <c r="R16" s="82">
        <v>29825</v>
      </c>
      <c r="S16" s="82">
        <v>34255</v>
      </c>
      <c r="T16" s="82">
        <v>35209</v>
      </c>
      <c r="U16" s="82">
        <v>36188</v>
      </c>
      <c r="V16" s="82">
        <v>32517</v>
      </c>
    </row>
    <row r="17" spans="2:22" x14ac:dyDescent="0.25">
      <c r="B17" t="s">
        <v>54</v>
      </c>
      <c r="D17" s="82">
        <f t="shared" ref="D17:I17" si="3">D15-D16</f>
        <v>9274</v>
      </c>
      <c r="E17" s="82">
        <f t="shared" si="3"/>
        <v>5587</v>
      </c>
      <c r="F17" s="82">
        <f t="shared" si="3"/>
        <v>6535</v>
      </c>
      <c r="G17" s="82">
        <f t="shared" si="3"/>
        <v>5500</v>
      </c>
      <c r="H17" s="82">
        <f t="shared" si="3"/>
        <v>4008</v>
      </c>
      <c r="I17" s="82">
        <f t="shared" si="3"/>
        <v>4638</v>
      </c>
      <c r="J17" s="82">
        <f t="shared" ref="J17:M17" si="4">J15-J16</f>
        <v>6018</v>
      </c>
      <c r="K17" s="82">
        <f t="shared" si="4"/>
        <v>7047</v>
      </c>
      <c r="L17" s="82">
        <f t="shared" si="4"/>
        <v>5217</v>
      </c>
      <c r="M17" s="82">
        <f t="shared" si="4"/>
        <v>4547</v>
      </c>
      <c r="N17" s="82"/>
      <c r="P17" s="82">
        <f t="shared" ref="P17" si="5">P15-P16</f>
        <v>39098</v>
      </c>
      <c r="Q17" s="82">
        <f>Q15-Q16</f>
        <v>43737</v>
      </c>
      <c r="R17" s="82">
        <f t="shared" ref="R17" si="6">R15-R16</f>
        <v>42140</v>
      </c>
      <c r="S17" s="82">
        <f>S15-S16</f>
        <v>43612</v>
      </c>
      <c r="T17" s="82">
        <f>T15-T16</f>
        <v>43815</v>
      </c>
      <c r="U17" s="82">
        <f>U15-U16</f>
        <v>26866</v>
      </c>
      <c r="V17" s="82">
        <f>V15-V16</f>
        <v>21711</v>
      </c>
    </row>
    <row r="18" spans="2:22" x14ac:dyDescent="0.25">
      <c r="B18" t="s">
        <v>53</v>
      </c>
      <c r="D18" s="82">
        <v>4362</v>
      </c>
      <c r="E18" s="82">
        <v>4400</v>
      </c>
      <c r="F18" s="82">
        <v>4302</v>
      </c>
      <c r="G18" s="82">
        <v>4464</v>
      </c>
      <c r="H18" s="82">
        <v>4109</v>
      </c>
      <c r="I18" s="82">
        <v>4080</v>
      </c>
      <c r="J18" s="82">
        <v>3870</v>
      </c>
      <c r="K18" s="82">
        <v>3987</v>
      </c>
      <c r="L18" s="82">
        <v>4382</v>
      </c>
      <c r="M18" s="82">
        <v>4239</v>
      </c>
      <c r="N18" s="82"/>
      <c r="P18" s="82">
        <v>13035</v>
      </c>
      <c r="Q18" s="82">
        <v>13543</v>
      </c>
      <c r="R18" s="82">
        <v>13362</v>
      </c>
      <c r="S18" s="82">
        <v>13556</v>
      </c>
      <c r="T18" s="82">
        <v>15190</v>
      </c>
      <c r="U18" s="82">
        <v>17528</v>
      </c>
      <c r="V18" s="82">
        <v>16046</v>
      </c>
    </row>
    <row r="19" spans="2:22" x14ac:dyDescent="0.25">
      <c r="B19" t="s">
        <v>52</v>
      </c>
      <c r="D19" s="82">
        <v>1752</v>
      </c>
      <c r="E19" s="82">
        <v>1800</v>
      </c>
      <c r="F19" s="82">
        <v>1744</v>
      </c>
      <c r="G19" s="82">
        <v>1706</v>
      </c>
      <c r="H19" s="82">
        <v>1303</v>
      </c>
      <c r="I19" s="82">
        <v>1374</v>
      </c>
      <c r="J19" s="82">
        <v>1340</v>
      </c>
      <c r="K19" s="82">
        <v>1617</v>
      </c>
      <c r="L19" s="82">
        <v>1556</v>
      </c>
      <c r="M19" s="82">
        <v>1329</v>
      </c>
      <c r="N19" s="82"/>
      <c r="P19" s="82">
        <v>7452</v>
      </c>
      <c r="Q19" s="82">
        <v>6750</v>
      </c>
      <c r="R19" s="82">
        <v>6150</v>
      </c>
      <c r="S19" s="82">
        <v>6180</v>
      </c>
      <c r="T19" s="82">
        <v>6543</v>
      </c>
      <c r="U19" s="82">
        <v>7002</v>
      </c>
      <c r="V19" s="82">
        <f>5634</f>
        <v>5634</v>
      </c>
    </row>
    <row r="20" spans="2:22" x14ac:dyDescent="0.25">
      <c r="B20" t="s">
        <v>51</v>
      </c>
      <c r="D20" s="82">
        <f>D18+D19</f>
        <v>6114</v>
      </c>
      <c r="E20" s="82">
        <f>E18+E19</f>
        <v>6200</v>
      </c>
      <c r="F20" s="82">
        <f>F18+F19</f>
        <v>6046</v>
      </c>
      <c r="G20" s="82">
        <f t="shared" ref="G20" si="7">G18+G19</f>
        <v>6170</v>
      </c>
      <c r="H20" s="82">
        <f>H18+H19</f>
        <v>5412</v>
      </c>
      <c r="I20" s="82">
        <f>I18+I19</f>
        <v>5454</v>
      </c>
      <c r="J20" s="82">
        <f t="shared" ref="J20" si="8">J18+J19</f>
        <v>5210</v>
      </c>
      <c r="K20" s="82">
        <f t="shared" ref="K20:M20" si="9">K18+K19</f>
        <v>5604</v>
      </c>
      <c r="L20" s="82">
        <f t="shared" si="9"/>
        <v>5938</v>
      </c>
      <c r="M20" s="82">
        <f t="shared" si="9"/>
        <v>5568</v>
      </c>
      <c r="N20" s="82"/>
      <c r="P20" s="82">
        <f t="shared" ref="P20:R20" si="10">P18+P19</f>
        <v>20487</v>
      </c>
      <c r="Q20" s="82">
        <f t="shared" si="10"/>
        <v>20293</v>
      </c>
      <c r="R20" s="82">
        <f t="shared" si="10"/>
        <v>19512</v>
      </c>
      <c r="S20" s="82">
        <f>S18+S19</f>
        <v>19736</v>
      </c>
      <c r="T20" s="82">
        <f>T18+T19</f>
        <v>21733</v>
      </c>
      <c r="U20" s="82">
        <f>U18+U19</f>
        <v>24530</v>
      </c>
      <c r="V20" s="82">
        <f t="shared" ref="V20" si="11">V18+V19</f>
        <v>21680</v>
      </c>
    </row>
    <row r="21" spans="2:22" x14ac:dyDescent="0.25">
      <c r="B21" t="s">
        <v>50</v>
      </c>
      <c r="D21" s="82">
        <f t="shared" ref="D21:I21" si="12">D17-D20</f>
        <v>3160</v>
      </c>
      <c r="E21" s="82">
        <f t="shared" si="12"/>
        <v>-613</v>
      </c>
      <c r="F21" s="82">
        <f t="shared" si="12"/>
        <v>489</v>
      </c>
      <c r="G21" s="82">
        <f t="shared" si="12"/>
        <v>-670</v>
      </c>
      <c r="H21" s="82">
        <f t="shared" si="12"/>
        <v>-1404</v>
      </c>
      <c r="I21" s="82">
        <f t="shared" si="12"/>
        <v>-816</v>
      </c>
      <c r="J21" s="82">
        <f t="shared" ref="J21" si="13">J17-J20</f>
        <v>808</v>
      </c>
      <c r="K21" s="82">
        <f t="shared" ref="K21:M21" si="14">K17-K20</f>
        <v>1443</v>
      </c>
      <c r="L21" s="82">
        <f t="shared" si="14"/>
        <v>-721</v>
      </c>
      <c r="M21" s="82">
        <f t="shared" si="14"/>
        <v>-1021</v>
      </c>
      <c r="N21" s="82"/>
      <c r="P21" s="82">
        <f t="shared" ref="P21:R21" si="15">P17-P20</f>
        <v>18611</v>
      </c>
      <c r="Q21" s="82">
        <f t="shared" si="15"/>
        <v>23444</v>
      </c>
      <c r="R21" s="82">
        <f t="shared" si="15"/>
        <v>22628</v>
      </c>
      <c r="S21" s="82">
        <f>S17-S20</f>
        <v>23876</v>
      </c>
      <c r="T21" s="82">
        <f>T17-T20</f>
        <v>22082</v>
      </c>
      <c r="U21" s="82">
        <f>U17-U20</f>
        <v>2336</v>
      </c>
      <c r="V21" s="82">
        <f t="shared" ref="V21" si="16">V17-V20</f>
        <v>31</v>
      </c>
    </row>
    <row r="22" spans="2:22" x14ac:dyDescent="0.25">
      <c r="B22" t="s">
        <v>49</v>
      </c>
      <c r="D22" s="82">
        <v>997</v>
      </c>
      <c r="E22" s="82">
        <v>-119</v>
      </c>
      <c r="F22" s="82">
        <v>138</v>
      </c>
      <c r="G22" s="82">
        <v>150</v>
      </c>
      <c r="H22" s="82">
        <v>141</v>
      </c>
      <c r="I22" s="82">
        <v>224</v>
      </c>
      <c r="J22" s="82">
        <v>147</v>
      </c>
      <c r="K22" s="82">
        <v>117</v>
      </c>
      <c r="L22" s="82">
        <v>145</v>
      </c>
      <c r="M22" s="82">
        <v>80</v>
      </c>
      <c r="N22" s="82"/>
      <c r="P22" s="82">
        <v>-349</v>
      </c>
      <c r="Q22">
        <v>126</v>
      </c>
      <c r="R22">
        <v>484</v>
      </c>
      <c r="S22" s="82">
        <v>-504</v>
      </c>
      <c r="T22" s="82">
        <v>-482</v>
      </c>
      <c r="U22" s="82">
        <v>1166</v>
      </c>
      <c r="V22" s="82">
        <v>629</v>
      </c>
    </row>
    <row r="23" spans="2:22" x14ac:dyDescent="0.25">
      <c r="B23" t="s">
        <v>48</v>
      </c>
      <c r="D23" s="82">
        <f>D21+D22</f>
        <v>4157</v>
      </c>
      <c r="E23" s="82">
        <f>E21+E22</f>
        <v>-732</v>
      </c>
      <c r="F23" s="82">
        <f>F21+F22</f>
        <v>627</v>
      </c>
      <c r="G23" s="82">
        <f t="shared" ref="G23" si="17">G21+G22</f>
        <v>-520</v>
      </c>
      <c r="H23" s="82">
        <f>H21+H22</f>
        <v>-1263</v>
      </c>
      <c r="I23" s="82">
        <f>I21+I22</f>
        <v>-592</v>
      </c>
      <c r="J23" s="82">
        <f t="shared" ref="J23:M23" si="18">J21+J22</f>
        <v>955</v>
      </c>
      <c r="K23" s="82">
        <f t="shared" si="18"/>
        <v>1560</v>
      </c>
      <c r="L23" s="82">
        <f t="shared" si="18"/>
        <v>-576</v>
      </c>
      <c r="M23" s="82">
        <f t="shared" si="18"/>
        <v>-941</v>
      </c>
      <c r="N23" s="82"/>
      <c r="P23" s="82">
        <f t="shared" ref="P23:R23" si="19">P21+P22</f>
        <v>18262</v>
      </c>
      <c r="Q23" s="82">
        <f t="shared" si="19"/>
        <v>23570</v>
      </c>
      <c r="R23" s="82">
        <f t="shared" si="19"/>
        <v>23112</v>
      </c>
      <c r="S23" s="82">
        <f>S21+S22</f>
        <v>23372</v>
      </c>
      <c r="T23" s="82">
        <f>T21+T22</f>
        <v>21600</v>
      </c>
      <c r="U23" s="82">
        <f>U21+U22</f>
        <v>3502</v>
      </c>
      <c r="V23" s="82">
        <f t="shared" ref="V23" si="20">V21+V22</f>
        <v>660</v>
      </c>
    </row>
    <row r="24" spans="2:22" x14ac:dyDescent="0.25">
      <c r="B24" t="s">
        <v>47</v>
      </c>
      <c r="D24" s="82">
        <v>1548</v>
      </c>
      <c r="E24" s="82">
        <v>-455</v>
      </c>
      <c r="F24" s="82">
        <v>-1207</v>
      </c>
      <c r="G24" s="82">
        <v>-135</v>
      </c>
      <c r="H24" s="82">
        <v>1610</v>
      </c>
      <c r="I24" s="82">
        <v>-2289</v>
      </c>
      <c r="J24" s="82">
        <v>-365</v>
      </c>
      <c r="K24" s="82">
        <v>128</v>
      </c>
      <c r="L24" s="82">
        <v>-282</v>
      </c>
      <c r="M24" s="82">
        <v>-350</v>
      </c>
      <c r="N24" s="82"/>
      <c r="P24" s="82">
        <v>10751</v>
      </c>
      <c r="Q24" s="82">
        <v>2264</v>
      </c>
      <c r="R24" s="82">
        <v>3010</v>
      </c>
      <c r="S24" s="82">
        <v>4179</v>
      </c>
      <c r="T24" s="82">
        <v>1835</v>
      </c>
      <c r="U24" s="82">
        <v>-249</v>
      </c>
      <c r="V24" s="82">
        <v>-913</v>
      </c>
    </row>
    <row r="25" spans="2:22" x14ac:dyDescent="0.25">
      <c r="B25" t="s">
        <v>46</v>
      </c>
      <c r="D25" s="82">
        <f>D23-D24</f>
        <v>2609</v>
      </c>
      <c r="E25" s="82">
        <f>E23-E24</f>
        <v>-277</v>
      </c>
      <c r="F25" s="82">
        <f>F23-F24</f>
        <v>1834</v>
      </c>
      <c r="G25" s="82">
        <f t="shared" ref="G25" si="21">G23-G24</f>
        <v>-385</v>
      </c>
      <c r="H25" s="82">
        <f>H23-H24</f>
        <v>-2873</v>
      </c>
      <c r="I25" s="82">
        <f>I23-I24</f>
        <v>1697</v>
      </c>
      <c r="J25" s="82">
        <f t="shared" ref="J25" si="22">J23-J24</f>
        <v>1320</v>
      </c>
      <c r="K25" s="82">
        <f t="shared" ref="K25:M25" si="23">K23-K24</f>
        <v>1432</v>
      </c>
      <c r="L25" s="82">
        <f t="shared" si="23"/>
        <v>-294</v>
      </c>
      <c r="M25" s="82">
        <f t="shared" si="23"/>
        <v>-591</v>
      </c>
      <c r="N25" s="82"/>
      <c r="P25" s="82">
        <f t="shared" ref="P25:R25" si="24">P23-P24</f>
        <v>7511</v>
      </c>
      <c r="Q25" s="82">
        <f t="shared" si="24"/>
        <v>21306</v>
      </c>
      <c r="R25" s="82">
        <f t="shared" si="24"/>
        <v>20102</v>
      </c>
      <c r="S25" s="82">
        <f>S23-S24</f>
        <v>19193</v>
      </c>
      <c r="T25" s="82">
        <f>T23-T24</f>
        <v>19765</v>
      </c>
      <c r="U25" s="82">
        <f>U23-U24</f>
        <v>3751</v>
      </c>
      <c r="V25" s="82">
        <f t="shared" ref="V25" si="25">V23-V24</f>
        <v>1573</v>
      </c>
    </row>
    <row r="26" spans="2:22" x14ac:dyDescent="0.25">
      <c r="B26" t="s">
        <v>45</v>
      </c>
      <c r="D26" s="83">
        <f>D25/D27</f>
        <v>0.63525687850012169</v>
      </c>
      <c r="E26" s="83">
        <f>E25/E27</f>
        <v>-6.7560975609756102E-2</v>
      </c>
      <c r="F26" s="83">
        <f>F25/F27</f>
        <v>0.44460606060606062</v>
      </c>
      <c r="G26" s="83">
        <f t="shared" ref="G26" si="26">G25/G27</f>
        <v>-9.3152673602709901E-2</v>
      </c>
      <c r="H26" s="83">
        <f>H25/H27</f>
        <v>-0.69162253249879635</v>
      </c>
      <c r="I26" s="83">
        <f>I25/I27</f>
        <v>0.4044327931363203</v>
      </c>
      <c r="J26" s="83">
        <f>J25/J27</f>
        <v>0.31213052731142116</v>
      </c>
      <c r="K26" s="83">
        <f t="shared" ref="K26:M26" si="27">K25/K27</f>
        <v>0.33615023474178402</v>
      </c>
      <c r="L26" s="83">
        <f t="shared" si="27"/>
        <v>-6.9306930693069313E-2</v>
      </c>
      <c r="M26" s="83">
        <f t="shared" si="27"/>
        <v>-0.13821328344246961</v>
      </c>
      <c r="N26" s="83"/>
      <c r="P26" s="83">
        <f t="shared" ref="P26:R26" si="28">P25/P27</f>
        <v>1.553464322647363</v>
      </c>
      <c r="Q26" s="83">
        <f t="shared" si="28"/>
        <v>4.5322271857051692</v>
      </c>
      <c r="R26" s="83">
        <f t="shared" si="28"/>
        <v>4.4940755644980994</v>
      </c>
      <c r="S26" s="83">
        <f>S25/S27</f>
        <v>4.5352079395085063</v>
      </c>
      <c r="T26" s="83">
        <f>T25/T27</f>
        <v>4.8325183374083132</v>
      </c>
      <c r="U26" s="83">
        <f>U25/U27</f>
        <v>0.90977443609022557</v>
      </c>
      <c r="V26" s="83">
        <f t="shared" ref="V26" si="29">V25/V27</f>
        <v>0.37345679012345678</v>
      </c>
    </row>
    <row r="27" spans="2:22" x14ac:dyDescent="0.25">
      <c r="B27" t="s">
        <v>15</v>
      </c>
      <c r="D27" s="82">
        <v>4107</v>
      </c>
      <c r="E27" s="82">
        <v>4100</v>
      </c>
      <c r="F27" s="82">
        <v>4125</v>
      </c>
      <c r="G27" s="82">
        <v>4133</v>
      </c>
      <c r="H27" s="82">
        <v>4154</v>
      </c>
      <c r="I27" s="82">
        <v>4196</v>
      </c>
      <c r="J27" s="82">
        <v>4229</v>
      </c>
      <c r="K27" s="82">
        <v>4260</v>
      </c>
      <c r="L27" s="82">
        <v>4242</v>
      </c>
      <c r="M27" s="82">
        <v>4276</v>
      </c>
      <c r="N27" s="82"/>
      <c r="P27" s="82">
        <v>4835</v>
      </c>
      <c r="Q27">
        <v>4701</v>
      </c>
      <c r="R27">
        <v>4473</v>
      </c>
      <c r="S27">
        <v>4232</v>
      </c>
      <c r="T27">
        <v>4090</v>
      </c>
      <c r="U27">
        <v>4123</v>
      </c>
      <c r="V27">
        <v>4212</v>
      </c>
    </row>
    <row r="29" spans="2:22" s="84" customFormat="1" x14ac:dyDescent="0.25">
      <c r="B29" s="84" t="s">
        <v>69</v>
      </c>
      <c r="D29" s="88">
        <f>C15/D15-1</f>
        <v>-1</v>
      </c>
      <c r="E29" s="88">
        <f>D15/E15-1</f>
        <v>0.19985640623980161</v>
      </c>
      <c r="F29" s="88">
        <f t="shared" ref="F29:L29" si="30">E15/F15-1</f>
        <v>-1.1083583257269769E-3</v>
      </c>
      <c r="G29" s="88">
        <f t="shared" si="30"/>
        <v>9.2294544936618816E-2</v>
      </c>
      <c r="H29" s="88">
        <f t="shared" si="30"/>
        <v>0.1986342296201451</v>
      </c>
      <c r="I29" s="88">
        <f t="shared" si="30"/>
        <v>-9.5296934126187338E-2</v>
      </c>
      <c r="J29" s="88">
        <f t="shared" si="30"/>
        <v>-8.5393417149314921E-2</v>
      </c>
      <c r="K29" s="88">
        <f t="shared" si="30"/>
        <v>-8.1007399714396966E-2</v>
      </c>
      <c r="L29" s="88">
        <f t="shared" si="30"/>
        <v>0.2107827727129834</v>
      </c>
      <c r="M29" s="88">
        <f t="shared" ref="M29" si="31">L15/M15-1</f>
        <v>-8.4937271097950129E-3</v>
      </c>
      <c r="N29" s="88"/>
      <c r="Q29" s="88">
        <f t="shared" ref="Q29:R29" si="32">P15/Q15-1</f>
        <v>-0.11414577687443539</v>
      </c>
      <c r="R29" s="88">
        <f t="shared" si="32"/>
        <v>-1.5521434030431491E-2</v>
      </c>
      <c r="S29" s="88">
        <f>R15/S15-1</f>
        <v>-7.5795908407926382E-2</v>
      </c>
      <c r="T29" s="88">
        <f t="shared" ref="T29:V29" si="33">S15/T15-1</f>
        <v>-1.4641121684551561E-2</v>
      </c>
      <c r="U29" s="88">
        <f t="shared" si="33"/>
        <v>0.25327497066006921</v>
      </c>
      <c r="V29" s="88">
        <f t="shared" si="33"/>
        <v>0.16275724717857942</v>
      </c>
    </row>
    <row r="30" spans="2:22" x14ac:dyDescent="0.25">
      <c r="B30" t="s">
        <v>70</v>
      </c>
    </row>
    <row r="31" spans="2:22" x14ac:dyDescent="0.25">
      <c r="B31" t="s">
        <v>71</v>
      </c>
      <c r="D31" s="87">
        <f>D17/D15</f>
        <v>0.5044878420279606</v>
      </c>
      <c r="E31" s="87">
        <f t="shared" ref="E31:M31" si="34">E17/E15</f>
        <v>0.36466288101298872</v>
      </c>
      <c r="F31" s="87">
        <f t="shared" si="34"/>
        <v>0.42606597991915501</v>
      </c>
      <c r="G31" s="87">
        <f t="shared" si="34"/>
        <v>0.39168209656744052</v>
      </c>
      <c r="H31" s="87">
        <f t="shared" si="34"/>
        <v>0.34212548015364919</v>
      </c>
      <c r="I31" s="87">
        <f t="shared" si="34"/>
        <v>0.35817437639972199</v>
      </c>
      <c r="J31" s="87">
        <f t="shared" si="34"/>
        <v>0.42506003672835146</v>
      </c>
      <c r="K31" s="87">
        <f t="shared" si="34"/>
        <v>0.45741918732961184</v>
      </c>
      <c r="L31" s="87">
        <f t="shared" si="34"/>
        <v>0.41001257466205598</v>
      </c>
      <c r="M31" s="87">
        <f t="shared" si="34"/>
        <v>0.35432089145172602</v>
      </c>
      <c r="N31" s="87"/>
    </row>
    <row r="33" spans="2:22" x14ac:dyDescent="0.25">
      <c r="B33" t="s">
        <v>44</v>
      </c>
      <c r="D33" s="82">
        <f t="shared" ref="D33:M33" si="35">D25</f>
        <v>2609</v>
      </c>
      <c r="E33" s="82">
        <f t="shared" si="35"/>
        <v>-277</v>
      </c>
      <c r="F33" s="82">
        <f t="shared" si="35"/>
        <v>1834</v>
      </c>
      <c r="G33" s="82">
        <f t="shared" si="35"/>
        <v>-385</v>
      </c>
      <c r="H33" s="82">
        <f t="shared" si="35"/>
        <v>-2873</v>
      </c>
      <c r="I33" s="82">
        <f t="shared" si="35"/>
        <v>1697</v>
      </c>
      <c r="J33" s="82">
        <f t="shared" si="35"/>
        <v>1320</v>
      </c>
      <c r="K33" s="82">
        <f t="shared" si="35"/>
        <v>1432</v>
      </c>
      <c r="L33" s="82">
        <f t="shared" si="35"/>
        <v>-294</v>
      </c>
      <c r="M33" s="82">
        <f t="shared" si="35"/>
        <v>-591</v>
      </c>
      <c r="N33" s="82"/>
      <c r="P33" s="82">
        <f t="shared" ref="P33:R33" si="36">P25</f>
        <v>7511</v>
      </c>
      <c r="Q33" s="82">
        <f t="shared" si="36"/>
        <v>21306</v>
      </c>
      <c r="R33" s="82">
        <f t="shared" si="36"/>
        <v>20102</v>
      </c>
      <c r="S33" s="82">
        <f>S25</f>
        <v>19193</v>
      </c>
      <c r="T33" s="82">
        <f>T25</f>
        <v>19765</v>
      </c>
      <c r="U33" s="82">
        <f>U25</f>
        <v>3751</v>
      </c>
      <c r="V33" s="82">
        <f t="shared" ref="V33" si="37">V25</f>
        <v>1573</v>
      </c>
    </row>
    <row r="34" spans="2:22" x14ac:dyDescent="0.25">
      <c r="B34" t="s">
        <v>43</v>
      </c>
      <c r="D34" s="82">
        <v>8113</v>
      </c>
      <c r="E34" s="82">
        <v>-454</v>
      </c>
      <c r="F34" s="82">
        <v>1019</v>
      </c>
      <c r="G34" s="82">
        <v>-661</v>
      </c>
      <c r="H34" s="82">
        <v>-2768</v>
      </c>
      <c r="I34" s="82">
        <v>1473</v>
      </c>
      <c r="J34" s="82">
        <v>310</v>
      </c>
      <c r="K34" s="82">
        <v>2660</v>
      </c>
      <c r="L34" s="82">
        <v>-437</v>
      </c>
      <c r="M34" s="82">
        <v>-1610</v>
      </c>
      <c r="N34" s="82"/>
      <c r="P34" s="82">
        <v>9601</v>
      </c>
      <c r="Q34" s="82">
        <v>21053</v>
      </c>
      <c r="R34" s="82">
        <v>21048</v>
      </c>
      <c r="S34" s="82">
        <v>20899</v>
      </c>
      <c r="T34" s="82">
        <v>19868</v>
      </c>
      <c r="U34" s="82">
        <v>8017</v>
      </c>
      <c r="V34" s="82">
        <v>1675</v>
      </c>
    </row>
    <row r="35" spans="2:22" x14ac:dyDescent="0.25">
      <c r="B35" t="s">
        <v>42</v>
      </c>
      <c r="D35" s="82">
        <v>2847</v>
      </c>
      <c r="H35" s="82">
        <v>1901</v>
      </c>
      <c r="I35" s="82">
        <f>3733-H35</f>
        <v>1832</v>
      </c>
      <c r="L35">
        <v>2200</v>
      </c>
      <c r="P35">
        <v>6752</v>
      </c>
      <c r="Q35">
        <v>7520</v>
      </c>
      <c r="R35">
        <v>9204</v>
      </c>
      <c r="S35" s="82">
        <v>10482</v>
      </c>
      <c r="T35" s="82">
        <v>9953</v>
      </c>
      <c r="U35" s="82">
        <v>11128</v>
      </c>
      <c r="V35" s="82">
        <v>11128</v>
      </c>
    </row>
    <row r="36" spans="2:22" x14ac:dyDescent="0.25">
      <c r="B36" t="s">
        <v>41</v>
      </c>
      <c r="D36" s="82">
        <v>707</v>
      </c>
      <c r="H36" s="82">
        <v>739</v>
      </c>
      <c r="I36" s="82">
        <f>1661-H36</f>
        <v>922</v>
      </c>
      <c r="L36">
        <v>1179</v>
      </c>
      <c r="P36">
        <v>1358</v>
      </c>
      <c r="Q36">
        <v>1546</v>
      </c>
      <c r="R36">
        <v>1705</v>
      </c>
      <c r="S36" s="82">
        <v>1854</v>
      </c>
      <c r="T36" s="82">
        <v>2036</v>
      </c>
      <c r="U36" s="82">
        <v>3128</v>
      </c>
      <c r="V36" s="82">
        <v>3229</v>
      </c>
    </row>
    <row r="37" spans="2:22" x14ac:dyDescent="0.25">
      <c r="B37" t="s">
        <v>40</v>
      </c>
      <c r="D37" s="82">
        <v>17</v>
      </c>
      <c r="H37" s="82">
        <v>55</v>
      </c>
      <c r="I37" s="82">
        <f>255-H37</f>
        <v>200</v>
      </c>
      <c r="L37">
        <v>348</v>
      </c>
      <c r="P37">
        <v>0</v>
      </c>
      <c r="Q37">
        <v>0</v>
      </c>
      <c r="R37">
        <v>0</v>
      </c>
      <c r="S37" s="82">
        <v>198</v>
      </c>
      <c r="T37" s="82">
        <v>2626</v>
      </c>
      <c r="U37" s="82">
        <v>1074</v>
      </c>
      <c r="V37" s="82">
        <v>-424</v>
      </c>
    </row>
    <row r="38" spans="2:22" x14ac:dyDescent="0.25">
      <c r="B38" t="s">
        <v>39</v>
      </c>
      <c r="D38" s="82">
        <v>501</v>
      </c>
      <c r="H38" s="82">
        <v>465</v>
      </c>
      <c r="I38" s="82">
        <f>909-H38</f>
        <v>444</v>
      </c>
      <c r="L38">
        <v>351</v>
      </c>
      <c r="P38">
        <v>1377</v>
      </c>
      <c r="Q38">
        <v>1565</v>
      </c>
      <c r="R38">
        <v>1622</v>
      </c>
      <c r="S38" s="82">
        <v>1757</v>
      </c>
      <c r="T38" s="82">
        <v>1839</v>
      </c>
      <c r="U38" s="82">
        <v>1907</v>
      </c>
      <c r="V38" s="82">
        <v>1755</v>
      </c>
    </row>
    <row r="39" spans="2:22" x14ac:dyDescent="0.25">
      <c r="B39" t="s">
        <v>38</v>
      </c>
      <c r="D39" s="82">
        <v>-4325</v>
      </c>
      <c r="H39" s="82">
        <v>-167</v>
      </c>
      <c r="L39">
        <v>-208</v>
      </c>
      <c r="P39">
        <v>-2583</v>
      </c>
      <c r="Q39">
        <v>155</v>
      </c>
      <c r="R39">
        <v>-892</v>
      </c>
      <c r="S39" s="82">
        <v>-1757</v>
      </c>
      <c r="T39" s="82">
        <v>-1458</v>
      </c>
      <c r="U39" s="82">
        <v>-4254</v>
      </c>
      <c r="V39" s="82">
        <v>-42</v>
      </c>
    </row>
    <row r="40" spans="2:22" x14ac:dyDescent="0.25">
      <c r="B40" t="s">
        <v>37</v>
      </c>
      <c r="D40" s="82">
        <v>1121</v>
      </c>
      <c r="H40" s="82">
        <v>0</v>
      </c>
      <c r="L40">
        <v>0</v>
      </c>
      <c r="P40">
        <v>-387</v>
      </c>
      <c r="Q40">
        <v>-497</v>
      </c>
      <c r="R40">
        <v>-690</v>
      </c>
      <c r="S40" s="82">
        <v>-30</v>
      </c>
      <c r="T40" s="82">
        <v>0</v>
      </c>
      <c r="U40" s="82">
        <v>-1059</v>
      </c>
      <c r="V40" s="82">
        <v>0</v>
      </c>
    </row>
    <row r="41" spans="2:22" x14ac:dyDescent="0.25">
      <c r="B41" t="s">
        <v>36</v>
      </c>
      <c r="D41" s="82">
        <f>2384-1147-128-1884+1219-1292</f>
        <v>-848</v>
      </c>
      <c r="H41" s="82">
        <f>286+231-771-1560+1344-1540</f>
        <v>-2010</v>
      </c>
      <c r="L41">
        <f>80-366-386-1289-591-2104</f>
        <v>-4656</v>
      </c>
      <c r="P41">
        <f>-781-1300+191+311+1105+6778-312</f>
        <v>5992</v>
      </c>
      <c r="Q41">
        <f>-1714-214+211+1367-1601+301-260</f>
        <v>-1910</v>
      </c>
      <c r="R41">
        <f>-935-1481+696+91-782+885+2674</f>
        <v>1148</v>
      </c>
      <c r="S41" s="82">
        <f>883-687+405+348-181+1620+73</f>
        <v>2461</v>
      </c>
      <c r="T41" s="82">
        <f>-2674-2339+1190+515-1583-441-76</f>
        <v>-5408</v>
      </c>
      <c r="U41" s="82">
        <f>5327-2436-29-1533-24-4535-1278</f>
        <v>-4508</v>
      </c>
      <c r="V41">
        <f>731+2097-801-614-3531-451</f>
        <v>-2569</v>
      </c>
    </row>
    <row r="42" spans="2:22" x14ac:dyDescent="0.25">
      <c r="B42" t="s">
        <v>35</v>
      </c>
      <c r="D42" s="82">
        <f>SUM(D34:D41)</f>
        <v>8133</v>
      </c>
      <c r="H42" s="82">
        <f>SUM(H34:H41)</f>
        <v>-1785</v>
      </c>
      <c r="L42" s="82">
        <f>SUM(L34:L41)</f>
        <v>-1223</v>
      </c>
      <c r="M42" s="82"/>
      <c r="N42" s="82"/>
      <c r="P42" s="82">
        <f>SUM(P34:P41)</f>
        <v>22110</v>
      </c>
      <c r="Q42" s="82">
        <f t="shared" ref="Q42:R42" si="38">SUM(Q34:Q41)</f>
        <v>29432</v>
      </c>
      <c r="R42" s="82">
        <f t="shared" si="38"/>
        <v>33145</v>
      </c>
      <c r="S42" s="82">
        <f>SUM(S34:S41)</f>
        <v>35864</v>
      </c>
      <c r="T42" s="82">
        <f>SUM(T34:T41)</f>
        <v>29456</v>
      </c>
      <c r="U42" s="82">
        <f>SUM(U34:U41)</f>
        <v>15433</v>
      </c>
      <c r="V42" s="82">
        <f t="shared" ref="V42" si="39">SUM(V34:V41)</f>
        <v>14752</v>
      </c>
    </row>
    <row r="44" spans="2:22" x14ac:dyDescent="0.25">
      <c r="B44" t="s">
        <v>34</v>
      </c>
      <c r="D44" s="82">
        <v>-4604</v>
      </c>
      <c r="H44" s="82">
        <v>-7413</v>
      </c>
      <c r="L44">
        <v>-5970</v>
      </c>
      <c r="P44">
        <v>-11778</v>
      </c>
      <c r="Q44">
        <v>-15181</v>
      </c>
      <c r="R44">
        <v>-16213</v>
      </c>
      <c r="S44">
        <v>-14259</v>
      </c>
      <c r="T44">
        <v>-18733</v>
      </c>
      <c r="U44">
        <v>-24844</v>
      </c>
      <c r="V44">
        <v>-25750</v>
      </c>
    </row>
    <row r="45" spans="2:22" x14ac:dyDescent="0.25">
      <c r="B45" t="s">
        <v>33</v>
      </c>
      <c r="D45" s="81">
        <f>D42+D44</f>
        <v>3529</v>
      </c>
      <c r="H45" s="81">
        <f>H42+H44</f>
        <v>-9198</v>
      </c>
      <c r="L45" s="81">
        <f t="shared" ref="L45:R45" si="40">L42+L44</f>
        <v>-7193</v>
      </c>
      <c r="M45" s="81"/>
      <c r="N45" s="81"/>
      <c r="P45" s="81">
        <f t="shared" si="40"/>
        <v>10332</v>
      </c>
      <c r="Q45" s="81">
        <f t="shared" si="40"/>
        <v>14251</v>
      </c>
      <c r="R45" s="81">
        <f t="shared" si="40"/>
        <v>16932</v>
      </c>
      <c r="S45" s="81">
        <f>S42+S44</f>
        <v>21605</v>
      </c>
      <c r="T45" s="81">
        <f>T42+T44</f>
        <v>10723</v>
      </c>
      <c r="U45" s="81">
        <f>U42+U44</f>
        <v>-9411</v>
      </c>
      <c r="V45" s="81">
        <f t="shared" ref="V45" si="41">V42+V44</f>
        <v>-10998</v>
      </c>
    </row>
    <row r="47" spans="2:22" x14ac:dyDescent="0.25">
      <c r="B47" t="s">
        <v>66</v>
      </c>
      <c r="P47" s="82">
        <f>3433+1814+8755</f>
        <v>14002</v>
      </c>
      <c r="Q47" s="82">
        <f>3019+2788+5843</f>
        <v>11650</v>
      </c>
      <c r="R47" s="82">
        <f>4194+1082+7847</f>
        <v>13123</v>
      </c>
      <c r="S47" s="82">
        <f>5865+2292+15738</f>
        <v>23895</v>
      </c>
      <c r="T47" s="82">
        <f>4827+2103+21483</f>
        <v>28413</v>
      </c>
      <c r="U47" s="82">
        <f>11144+17194</f>
        <v>28338</v>
      </c>
      <c r="V47" s="82">
        <f>7079+17955</f>
        <v>25034</v>
      </c>
    </row>
    <row r="48" spans="2:22" x14ac:dyDescent="0.25">
      <c r="B48" t="s">
        <v>166</v>
      </c>
      <c r="P48" s="82">
        <v>5607</v>
      </c>
      <c r="Q48" s="82">
        <v>6722</v>
      </c>
      <c r="R48" s="82">
        <v>7659</v>
      </c>
      <c r="S48" s="82">
        <v>6782</v>
      </c>
      <c r="T48" s="82">
        <v>9457</v>
      </c>
      <c r="U48" s="82">
        <v>4133</v>
      </c>
      <c r="V48" s="82">
        <v>3402</v>
      </c>
    </row>
    <row r="49" spans="2:22" x14ac:dyDescent="0.25">
      <c r="B49" t="s">
        <v>167</v>
      </c>
      <c r="P49" s="82">
        <v>6983</v>
      </c>
      <c r="Q49" s="82">
        <v>7253</v>
      </c>
      <c r="R49" s="82">
        <v>8744</v>
      </c>
      <c r="S49" s="82">
        <v>8427</v>
      </c>
      <c r="T49" s="82">
        <v>10776</v>
      </c>
      <c r="U49" s="82">
        <v>13224</v>
      </c>
      <c r="V49" s="82">
        <v>11127</v>
      </c>
    </row>
    <row r="50" spans="2:22" x14ac:dyDescent="0.25">
      <c r="B50" t="s">
        <v>168</v>
      </c>
      <c r="P50" s="82">
        <v>2908</v>
      </c>
      <c r="Q50" s="82">
        <v>3162</v>
      </c>
      <c r="R50" s="82">
        <v>1713</v>
      </c>
      <c r="S50" s="82">
        <f>5400+2745</f>
        <v>8145</v>
      </c>
      <c r="T50" s="82">
        <f>6942+2130</f>
        <v>9072</v>
      </c>
      <c r="U50" s="82">
        <v>4712</v>
      </c>
      <c r="V50" s="82">
        <v>3706</v>
      </c>
    </row>
    <row r="51" spans="2:22" x14ac:dyDescent="0.25">
      <c r="B51" t="s">
        <v>169</v>
      </c>
      <c r="P51" s="82">
        <f t="shared" ref="P51:V51" si="42">+P47+P48+P49+P50</f>
        <v>29500</v>
      </c>
      <c r="Q51" s="82">
        <f t="shared" si="42"/>
        <v>28787</v>
      </c>
      <c r="R51" s="82">
        <f t="shared" si="42"/>
        <v>31239</v>
      </c>
      <c r="S51" s="82">
        <f t="shared" si="42"/>
        <v>47249</v>
      </c>
      <c r="T51" s="82">
        <f t="shared" si="42"/>
        <v>57718</v>
      </c>
      <c r="U51" s="82">
        <f t="shared" si="42"/>
        <v>50407</v>
      </c>
      <c r="V51" s="82">
        <f t="shared" si="42"/>
        <v>43269</v>
      </c>
    </row>
    <row r="52" spans="2:22" x14ac:dyDescent="0.25">
      <c r="B52" t="s">
        <v>170</v>
      </c>
      <c r="P52" s="82">
        <v>41109</v>
      </c>
      <c r="Q52" s="82">
        <v>48976</v>
      </c>
      <c r="R52" s="82">
        <v>55386</v>
      </c>
      <c r="S52" s="82">
        <v>56584</v>
      </c>
      <c r="T52" s="82">
        <v>63245</v>
      </c>
      <c r="U52" s="82">
        <v>80860</v>
      </c>
      <c r="V52" s="82">
        <v>96647</v>
      </c>
    </row>
    <row r="53" spans="2:22" x14ac:dyDescent="0.25">
      <c r="B53" t="s">
        <v>176</v>
      </c>
      <c r="P53" s="82">
        <f>8579+3712</f>
        <v>12291</v>
      </c>
      <c r="Q53" s="82">
        <f>6042+3388</f>
        <v>9430</v>
      </c>
      <c r="R53" s="82">
        <f>3967+3276</f>
        <v>7243</v>
      </c>
      <c r="S53" s="82">
        <f>5152+2192</f>
        <v>7344</v>
      </c>
      <c r="T53" s="82">
        <f>6298+840</f>
        <v>7138</v>
      </c>
      <c r="U53" s="82">
        <v>5912</v>
      </c>
      <c r="V53" s="82">
        <v>5829</v>
      </c>
    </row>
    <row r="54" spans="2:22" x14ac:dyDescent="0.25">
      <c r="B54" t="s">
        <v>177</v>
      </c>
      <c r="P54" s="82">
        <f>24389+12745</f>
        <v>37134</v>
      </c>
      <c r="Q54" s="82">
        <f>24513+11836</f>
        <v>36349</v>
      </c>
      <c r="R54" s="82">
        <f>26276+10827</f>
        <v>37103</v>
      </c>
      <c r="S54" s="82">
        <f>26971+9026</f>
        <v>35997</v>
      </c>
      <c r="T54" s="82">
        <f>26963+7270</f>
        <v>34233</v>
      </c>
      <c r="U54" s="82">
        <f>27591+6018</f>
        <v>33609</v>
      </c>
      <c r="V54" s="82">
        <f>27591+4589</f>
        <v>32180</v>
      </c>
    </row>
    <row r="55" spans="2:22" x14ac:dyDescent="0.25">
      <c r="B55" t="s">
        <v>178</v>
      </c>
      <c r="P55" s="82">
        <v>3215</v>
      </c>
      <c r="Q55" s="82">
        <v>4421</v>
      </c>
      <c r="R55" s="82">
        <v>5553</v>
      </c>
      <c r="S55" s="82">
        <v>5917</v>
      </c>
      <c r="T55" s="82">
        <v>6072</v>
      </c>
      <c r="U55" s="82">
        <v>11315</v>
      </c>
      <c r="V55" s="82">
        <v>13647</v>
      </c>
    </row>
    <row r="56" spans="2:22" x14ac:dyDescent="0.25">
      <c r="B56" t="s">
        <v>179</v>
      </c>
      <c r="P56" s="82">
        <f>P51+P52+P53+P54+P55</f>
        <v>123249</v>
      </c>
      <c r="Q56" s="82">
        <f>Q51+Q52+Q53+Q54+Q55</f>
        <v>127963</v>
      </c>
      <c r="R56" s="82">
        <f>R51+R52+R53+R54+R55</f>
        <v>136524</v>
      </c>
      <c r="S56" s="82">
        <f>S51+S52+S53+S54+S55</f>
        <v>153091</v>
      </c>
      <c r="T56" s="82">
        <f t="shared" ref="T56" si="43">T51+T52+T53+T54+T55</f>
        <v>168406</v>
      </c>
      <c r="U56" s="82">
        <f t="shared" ref="U56" si="44">U51+U52+U53+U54+U55</f>
        <v>182103</v>
      </c>
      <c r="V56" s="82">
        <f t="shared" ref="V56" si="45">V51+V52+V53+V54+V55</f>
        <v>191572</v>
      </c>
    </row>
    <row r="57" spans="2:22" x14ac:dyDescent="0.25">
      <c r="Q57" s="82"/>
      <c r="R57" s="82"/>
      <c r="S57" s="82"/>
    </row>
    <row r="58" spans="2:22" x14ac:dyDescent="0.25">
      <c r="B58" t="s">
        <v>180</v>
      </c>
      <c r="P58" s="82">
        <v>1776</v>
      </c>
      <c r="Q58" s="82">
        <v>1261</v>
      </c>
      <c r="R58" s="82">
        <v>3693</v>
      </c>
      <c r="S58" s="82">
        <v>2504</v>
      </c>
      <c r="T58" s="82">
        <v>4591</v>
      </c>
      <c r="U58" s="82">
        <v>4367</v>
      </c>
      <c r="V58" s="82">
        <v>2288</v>
      </c>
    </row>
    <row r="59" spans="2:22" x14ac:dyDescent="0.25">
      <c r="B59" t="s">
        <v>171</v>
      </c>
      <c r="P59" s="82">
        <v>2928</v>
      </c>
      <c r="Q59" s="82">
        <v>3824</v>
      </c>
      <c r="R59" s="82">
        <v>4128</v>
      </c>
      <c r="S59" s="82">
        <v>5581</v>
      </c>
      <c r="T59" s="82">
        <v>5747</v>
      </c>
      <c r="U59" s="82">
        <v>9595</v>
      </c>
      <c r="V59" s="82">
        <v>8578</v>
      </c>
    </row>
    <row r="60" spans="2:22" x14ac:dyDescent="0.25">
      <c r="B60" t="s">
        <v>186</v>
      </c>
      <c r="P60" s="82">
        <v>1656</v>
      </c>
      <c r="Q60" s="82">
        <v>0</v>
      </c>
      <c r="R60" s="82">
        <v>0</v>
      </c>
      <c r="S60" s="82">
        <v>0</v>
      </c>
      <c r="T60" s="82">
        <v>0</v>
      </c>
      <c r="U60" s="82">
        <v>2251</v>
      </c>
      <c r="V60" s="82">
        <v>1107</v>
      </c>
    </row>
    <row r="61" spans="2:22" x14ac:dyDescent="0.25">
      <c r="B61" t="s">
        <v>172</v>
      </c>
      <c r="P61" s="82">
        <f>3526+7535</f>
        <v>11061</v>
      </c>
      <c r="Q61" s="82">
        <f>3622+7919</f>
        <v>11541</v>
      </c>
      <c r="R61" s="82">
        <f>3853+10636</f>
        <v>14489</v>
      </c>
      <c r="S61" s="82">
        <f>12670+3999</f>
        <v>16669</v>
      </c>
      <c r="T61" s="82">
        <f>4535+12589</f>
        <v>17124</v>
      </c>
      <c r="U61" s="82">
        <f>4084+11858</f>
        <v>15942</v>
      </c>
      <c r="V61">
        <f>3655+12425</f>
        <v>16080</v>
      </c>
    </row>
    <row r="62" spans="2:22" x14ac:dyDescent="0.25">
      <c r="B62" t="s">
        <v>173</v>
      </c>
      <c r="P62" s="82">
        <f t="shared" ref="P62:V62" si="46">P58+P59+P60+P61</f>
        <v>17421</v>
      </c>
      <c r="Q62" s="82">
        <f t="shared" si="46"/>
        <v>16626</v>
      </c>
      <c r="R62" s="82">
        <f t="shared" si="46"/>
        <v>22310</v>
      </c>
      <c r="S62" s="82">
        <f t="shared" si="46"/>
        <v>24754</v>
      </c>
      <c r="T62" s="82">
        <f t="shared" si="46"/>
        <v>27462</v>
      </c>
      <c r="U62" s="82">
        <f t="shared" si="46"/>
        <v>32155</v>
      </c>
      <c r="V62" s="82">
        <f t="shared" si="46"/>
        <v>28053</v>
      </c>
    </row>
    <row r="63" spans="2:22" x14ac:dyDescent="0.25">
      <c r="B63" t="s">
        <v>174</v>
      </c>
      <c r="P63" s="82">
        <v>25037</v>
      </c>
      <c r="Q63" s="82">
        <v>25098</v>
      </c>
      <c r="R63" s="82">
        <v>25308</v>
      </c>
      <c r="S63" s="82">
        <v>33897</v>
      </c>
      <c r="T63" s="82">
        <v>33510</v>
      </c>
      <c r="U63" s="82">
        <v>37684</v>
      </c>
      <c r="V63" s="82">
        <v>46978</v>
      </c>
    </row>
    <row r="64" spans="2:22" x14ac:dyDescent="0.25">
      <c r="B64" t="s">
        <v>185</v>
      </c>
      <c r="P64" s="82">
        <v>0</v>
      </c>
      <c r="Q64" s="82">
        <v>2049</v>
      </c>
      <c r="R64" s="82">
        <v>1368</v>
      </c>
      <c r="S64" s="82">
        <v>1367</v>
      </c>
      <c r="T64" s="82">
        <v>185</v>
      </c>
      <c r="U64" s="82">
        <v>0</v>
      </c>
      <c r="V64" s="82">
        <v>0</v>
      </c>
    </row>
    <row r="65" spans="2:22" x14ac:dyDescent="0.25">
      <c r="B65" t="s">
        <v>184</v>
      </c>
      <c r="P65" s="82">
        <f>4069+3046</f>
        <v>7115</v>
      </c>
      <c r="Q65" s="82">
        <f>4897+1665</f>
        <v>6562</v>
      </c>
      <c r="R65" s="82">
        <f>4919+2044</f>
        <v>6963</v>
      </c>
      <c r="S65" s="82">
        <f>4578+3843</f>
        <v>8421</v>
      </c>
      <c r="T65" s="82">
        <f>4305+2667</f>
        <v>6972</v>
      </c>
      <c r="U65" s="82">
        <v>0</v>
      </c>
      <c r="V65" s="82">
        <v>0</v>
      </c>
    </row>
    <row r="66" spans="2:22" x14ac:dyDescent="0.25">
      <c r="B66" t="s">
        <v>181</v>
      </c>
      <c r="P66" s="82">
        <v>3791</v>
      </c>
      <c r="Q66" s="82">
        <v>2646</v>
      </c>
      <c r="R66" s="82">
        <v>2916</v>
      </c>
      <c r="S66" s="82">
        <v>3614</v>
      </c>
      <c r="T66" s="82">
        <v>4886</v>
      </c>
      <c r="U66" s="82">
        <v>8978</v>
      </c>
      <c r="V66" s="82">
        <v>6576</v>
      </c>
    </row>
    <row r="67" spans="2:22" x14ac:dyDescent="0.25">
      <c r="B67" t="s">
        <v>182</v>
      </c>
      <c r="P67" s="82">
        <f t="shared" ref="P67:V67" si="47">P62+P63+P64+P65+P66</f>
        <v>53364</v>
      </c>
      <c r="Q67" s="82">
        <f t="shared" si="47"/>
        <v>52981</v>
      </c>
      <c r="R67" s="82">
        <f t="shared" si="47"/>
        <v>58865</v>
      </c>
      <c r="S67" s="82">
        <f t="shared" si="47"/>
        <v>72053</v>
      </c>
      <c r="T67" s="82">
        <f t="shared" si="47"/>
        <v>73015</v>
      </c>
      <c r="U67" s="82">
        <f t="shared" si="47"/>
        <v>78817</v>
      </c>
      <c r="V67" s="82">
        <f t="shared" si="47"/>
        <v>81607</v>
      </c>
    </row>
    <row r="68" spans="2:22" x14ac:dyDescent="0.25">
      <c r="B68" t="s">
        <v>159</v>
      </c>
      <c r="P68" s="82">
        <f>69019+866</f>
        <v>69885</v>
      </c>
      <c r="Q68" s="82">
        <f>74563+419</f>
        <v>74982</v>
      </c>
      <c r="R68" s="82">
        <f>77504+155</f>
        <v>77659</v>
      </c>
      <c r="S68" s="82">
        <v>81038</v>
      </c>
      <c r="T68" s="82">
        <v>95391</v>
      </c>
      <c r="U68" s="82">
        <v>103286</v>
      </c>
      <c r="V68" s="82">
        <v>109965</v>
      </c>
    </row>
    <row r="69" spans="2:22" x14ac:dyDescent="0.25">
      <c r="B69" t="s">
        <v>183</v>
      </c>
      <c r="P69" s="82">
        <f>P67+P68</f>
        <v>123249</v>
      </c>
      <c r="Q69" s="82">
        <f>Q67+Q68</f>
        <v>127963</v>
      </c>
      <c r="R69" s="82">
        <f>R67+R68</f>
        <v>136524</v>
      </c>
      <c r="S69" s="82">
        <f>S67+S68</f>
        <v>153091</v>
      </c>
      <c r="T69" s="82">
        <f t="shared" ref="T69:V69" si="48">T67+T68</f>
        <v>168406</v>
      </c>
      <c r="U69" s="82">
        <f t="shared" si="48"/>
        <v>182103</v>
      </c>
      <c r="V69" s="82">
        <f t="shared" si="48"/>
        <v>191572</v>
      </c>
    </row>
    <row r="70" spans="2:22" x14ac:dyDescent="0.25">
      <c r="M70" t="s">
        <v>294</v>
      </c>
    </row>
    <row r="71" spans="2:22" x14ac:dyDescent="0.25">
      <c r="M71" t="s">
        <v>295</v>
      </c>
    </row>
    <row r="72" spans="2:22" x14ac:dyDescent="0.25">
      <c r="M72" t="s">
        <v>296</v>
      </c>
    </row>
    <row r="73" spans="2:22" x14ac:dyDescent="0.25">
      <c r="M73" t="s">
        <v>297</v>
      </c>
    </row>
    <row r="74" spans="2:22" x14ac:dyDescent="0.25">
      <c r="M74" t="s">
        <v>298</v>
      </c>
    </row>
  </sheetData>
  <conditionalFormatting sqref="P56:V56">
    <cfRule type="cellIs" dxfId="0" priority="1" operator="equal">
      <formula>P69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CCE1-556C-4C84-BCEE-257F1B76429E}">
  <dimension ref="A1"/>
  <sheetViews>
    <sheetView topLeftCell="B1" workbookViewId="0">
      <selection activeCell="C5" sqref="C5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60E6-4B31-4F05-AA7F-F16AE9B12386}">
  <dimension ref="A2:Z64"/>
  <sheetViews>
    <sheetView showGridLines="0" zoomScale="85" zoomScaleNormal="85" workbookViewId="0">
      <selection activeCell="P1" sqref="P1"/>
    </sheetView>
  </sheetViews>
  <sheetFormatPr defaultRowHeight="15" x14ac:dyDescent="0.25"/>
  <cols>
    <col min="1" max="1" width="2.7109375" customWidth="1"/>
    <col min="3" max="3" width="9.7109375" bestFit="1" customWidth="1"/>
    <col min="5" max="16" width="10.7109375" customWidth="1"/>
    <col min="22" max="22" width="9.7109375" bestFit="1" customWidth="1"/>
    <col min="31" max="31" width="12.140625" bestFit="1" customWidth="1"/>
  </cols>
  <sheetData>
    <row r="2" spans="1:16" x14ac:dyDescent="0.25">
      <c r="B2" t="s">
        <v>72</v>
      </c>
    </row>
    <row r="4" spans="1:16" x14ac:dyDescent="0.25">
      <c r="A4" t="s">
        <v>73</v>
      </c>
      <c r="B4" t="s">
        <v>74</v>
      </c>
      <c r="C4" s="90" t="s">
        <v>76</v>
      </c>
    </row>
    <row r="5" spans="1:16" x14ac:dyDescent="0.25">
      <c r="B5" t="s">
        <v>75</v>
      </c>
      <c r="C5" s="91">
        <v>45348</v>
      </c>
    </row>
    <row r="7" spans="1:16" x14ac:dyDescent="0.25">
      <c r="B7" s="89" t="s">
        <v>80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</row>
    <row r="8" spans="1:16" x14ac:dyDescent="0.25">
      <c r="B8" t="s">
        <v>77</v>
      </c>
    </row>
    <row r="9" spans="1:16" x14ac:dyDescent="0.25">
      <c r="B9" t="s">
        <v>78</v>
      </c>
      <c r="D9" s="100">
        <v>9.3899999999999997E-2</v>
      </c>
    </row>
    <row r="10" spans="1:16" x14ac:dyDescent="0.25">
      <c r="B10" t="s">
        <v>79</v>
      </c>
      <c r="D10" s="100">
        <v>0.03</v>
      </c>
    </row>
    <row r="12" spans="1:16" x14ac:dyDescent="0.25">
      <c r="L12" s="104">
        <v>1</v>
      </c>
      <c r="M12" s="104">
        <f>L12+1</f>
        <v>2</v>
      </c>
      <c r="N12" s="104">
        <f t="shared" ref="N12:P12" si="0">M12+1</f>
        <v>3</v>
      </c>
      <c r="O12" s="104">
        <f t="shared" si="0"/>
        <v>4</v>
      </c>
      <c r="P12" s="104">
        <f t="shared" si="0"/>
        <v>5</v>
      </c>
    </row>
    <row r="13" spans="1:16" x14ac:dyDescent="0.25">
      <c r="B13" s="89" t="s">
        <v>81</v>
      </c>
      <c r="C13" s="89"/>
      <c r="D13" s="89"/>
      <c r="E13" s="89">
        <v>2017</v>
      </c>
      <c r="F13" s="89">
        <f>E13+1</f>
        <v>2018</v>
      </c>
      <c r="G13" s="89">
        <f t="shared" ref="G13:P13" si="1">F13+1</f>
        <v>2019</v>
      </c>
      <c r="H13" s="89">
        <f t="shared" si="1"/>
        <v>2020</v>
      </c>
      <c r="I13" s="89">
        <f t="shared" si="1"/>
        <v>2021</v>
      </c>
      <c r="J13" s="89">
        <f t="shared" si="1"/>
        <v>2022</v>
      </c>
      <c r="K13" s="89">
        <f t="shared" si="1"/>
        <v>2023</v>
      </c>
      <c r="L13" s="89">
        <f t="shared" si="1"/>
        <v>2024</v>
      </c>
      <c r="M13" s="89">
        <f t="shared" si="1"/>
        <v>2025</v>
      </c>
      <c r="N13" s="89">
        <f t="shared" si="1"/>
        <v>2026</v>
      </c>
      <c r="O13" s="89">
        <f t="shared" si="1"/>
        <v>2027</v>
      </c>
      <c r="P13" s="89">
        <f t="shared" si="1"/>
        <v>2028</v>
      </c>
    </row>
    <row r="14" spans="1:16" x14ac:dyDescent="0.25">
      <c r="B14" t="s">
        <v>0</v>
      </c>
      <c r="E14" s="92">
        <f>Model!P15</f>
        <v>62761</v>
      </c>
      <c r="F14" s="92">
        <f>Model!Q15</f>
        <v>70848</v>
      </c>
      <c r="G14" s="92">
        <f>Model!R15</f>
        <v>71965</v>
      </c>
      <c r="H14" s="92">
        <f>Model!S15</f>
        <v>77867</v>
      </c>
      <c r="I14" s="92">
        <f>Model!T15</f>
        <v>79024</v>
      </c>
      <c r="J14" s="92">
        <f>Model!U15</f>
        <v>63054</v>
      </c>
      <c r="K14" s="92">
        <f>Model!V15</f>
        <v>54228</v>
      </c>
    </row>
    <row r="15" spans="1:16" x14ac:dyDescent="0.25">
      <c r="B15" s="85" t="s">
        <v>82</v>
      </c>
      <c r="F15" s="93">
        <f>F14/E14-1</f>
        <v>0.12885390608817571</v>
      </c>
      <c r="G15" s="93">
        <f t="shared" ref="G15:K15" si="2">G14/F14-1</f>
        <v>1.576614724480585E-2</v>
      </c>
      <c r="H15" s="93">
        <f t="shared" si="2"/>
        <v>8.2012089210032668E-2</v>
      </c>
      <c r="I15" s="93">
        <f t="shared" si="2"/>
        <v>1.4858669269395275E-2</v>
      </c>
      <c r="J15" s="93">
        <f t="shared" si="2"/>
        <v>-0.20209050415063778</v>
      </c>
      <c r="K15" s="93">
        <f t="shared" si="2"/>
        <v>-0.13997525930155108</v>
      </c>
    </row>
    <row r="17" spans="2:26" x14ac:dyDescent="0.25">
      <c r="B17" t="s">
        <v>83</v>
      </c>
      <c r="E17" s="92">
        <f>Model!P21</f>
        <v>18611</v>
      </c>
      <c r="F17" s="92">
        <f>Model!Q21</f>
        <v>23444</v>
      </c>
      <c r="G17" s="92">
        <f>Model!R21</f>
        <v>22628</v>
      </c>
      <c r="H17" s="92">
        <f>Model!S21</f>
        <v>23876</v>
      </c>
      <c r="I17" s="92">
        <f>Model!T21</f>
        <v>22082</v>
      </c>
      <c r="J17" s="92">
        <f>Model!U21</f>
        <v>2336</v>
      </c>
      <c r="K17" s="92">
        <f>Model!V21</f>
        <v>31</v>
      </c>
      <c r="V17" s="84"/>
    </row>
    <row r="18" spans="2:26" x14ac:dyDescent="0.25">
      <c r="B18" s="85" t="s">
        <v>84</v>
      </c>
      <c r="E18" s="93">
        <f>E17/E14</f>
        <v>0.2965376587371138</v>
      </c>
      <c r="F18" s="93">
        <f t="shared" ref="F18:K18" si="3">F17/F14</f>
        <v>0.33090560072267389</v>
      </c>
      <c r="G18" s="93">
        <f t="shared" si="3"/>
        <v>0.31443062599874938</v>
      </c>
      <c r="H18" s="93">
        <f t="shared" si="3"/>
        <v>0.30662539972003544</v>
      </c>
      <c r="I18" s="93">
        <f t="shared" si="3"/>
        <v>0.27943409597084429</v>
      </c>
      <c r="J18" s="93">
        <f t="shared" si="3"/>
        <v>3.7047609985092142E-2</v>
      </c>
      <c r="K18" s="93">
        <f t="shared" si="3"/>
        <v>5.716603968429593E-4</v>
      </c>
    </row>
    <row r="20" spans="2:26" x14ac:dyDescent="0.25">
      <c r="B20" t="s">
        <v>47</v>
      </c>
      <c r="E20" s="92">
        <f>Model!P24</f>
        <v>10751</v>
      </c>
      <c r="F20" s="92">
        <f>Model!Q24</f>
        <v>2264</v>
      </c>
      <c r="G20" s="92">
        <f>Model!R24</f>
        <v>3010</v>
      </c>
      <c r="H20" s="92">
        <f>Model!S24</f>
        <v>4179</v>
      </c>
      <c r="I20" s="92">
        <f>Model!T24</f>
        <v>1835</v>
      </c>
      <c r="J20" s="92">
        <f>Model!U24</f>
        <v>-249</v>
      </c>
      <c r="K20" s="92">
        <f>Model!V24</f>
        <v>-913</v>
      </c>
    </row>
    <row r="21" spans="2:26" x14ac:dyDescent="0.25">
      <c r="B21" t="s">
        <v>85</v>
      </c>
      <c r="E21" s="93">
        <f>E20/E17</f>
        <v>0.57766912041265916</v>
      </c>
      <c r="F21" s="93">
        <f t="shared" ref="F21:J21" si="4">F20/F17</f>
        <v>9.6570551100494798E-2</v>
      </c>
      <c r="G21" s="93">
        <f t="shared" si="4"/>
        <v>0.13302103588474457</v>
      </c>
      <c r="H21" s="93">
        <f t="shared" si="4"/>
        <v>0.17502931814374267</v>
      </c>
      <c r="I21" s="93">
        <f t="shared" si="4"/>
        <v>8.3099356942305955E-2</v>
      </c>
      <c r="J21" s="93">
        <f t="shared" si="4"/>
        <v>-0.10659246575342465</v>
      </c>
      <c r="K21" s="93"/>
    </row>
    <row r="23" spans="2:26" x14ac:dyDescent="0.25">
      <c r="B23" s="89" t="s">
        <v>86</v>
      </c>
      <c r="C23" s="89"/>
      <c r="D23" s="89"/>
      <c r="E23" s="89">
        <v>2017</v>
      </c>
      <c r="F23" s="89">
        <f>E23+1</f>
        <v>2018</v>
      </c>
      <c r="G23" s="89">
        <f t="shared" ref="G23:P23" si="5">F23+1</f>
        <v>2019</v>
      </c>
      <c r="H23" s="89">
        <f t="shared" si="5"/>
        <v>2020</v>
      </c>
      <c r="I23" s="89">
        <f t="shared" si="5"/>
        <v>2021</v>
      </c>
      <c r="J23" s="89">
        <f t="shared" si="5"/>
        <v>2022</v>
      </c>
      <c r="K23" s="89">
        <f t="shared" si="5"/>
        <v>2023</v>
      </c>
      <c r="L23" s="89">
        <f t="shared" si="5"/>
        <v>2024</v>
      </c>
      <c r="M23" s="89">
        <f t="shared" si="5"/>
        <v>2025</v>
      </c>
      <c r="N23" s="89">
        <f t="shared" si="5"/>
        <v>2026</v>
      </c>
      <c r="O23" s="89">
        <f t="shared" si="5"/>
        <v>2027</v>
      </c>
      <c r="P23" s="89">
        <f t="shared" si="5"/>
        <v>2028</v>
      </c>
    </row>
    <row r="24" spans="2:26" x14ac:dyDescent="0.25">
      <c r="B24" t="s">
        <v>87</v>
      </c>
      <c r="E24" s="92">
        <f>Model!P35+Model!P38</f>
        <v>8129</v>
      </c>
      <c r="F24" s="92">
        <f>Model!Q35+Model!Q38</f>
        <v>9085</v>
      </c>
      <c r="G24" s="92">
        <f>Model!R35+Model!R38</f>
        <v>10826</v>
      </c>
      <c r="H24" s="92">
        <f>Model!S35+Model!S38</f>
        <v>12239</v>
      </c>
      <c r="I24" s="92">
        <f>Model!T35+Model!T38</f>
        <v>11792</v>
      </c>
      <c r="J24" s="92">
        <f>Model!U35+Model!U38</f>
        <v>13035</v>
      </c>
      <c r="K24" s="92">
        <f>Model!V35+Model!V38</f>
        <v>12883</v>
      </c>
    </row>
    <row r="25" spans="2:26" x14ac:dyDescent="0.25">
      <c r="B25" s="85" t="s">
        <v>84</v>
      </c>
      <c r="E25" s="93">
        <f>E24/E14</f>
        <v>0.12952311148643267</v>
      </c>
      <c r="F25" s="93">
        <f t="shared" ref="F25:K25" si="6">F24/F14</f>
        <v>0.12823227190605238</v>
      </c>
      <c r="G25" s="93">
        <f t="shared" si="6"/>
        <v>0.15043423886611548</v>
      </c>
      <c r="H25" s="93">
        <f t="shared" si="6"/>
        <v>0.15717826550400041</v>
      </c>
      <c r="I25" s="93">
        <f t="shared" si="6"/>
        <v>0.1492204899777283</v>
      </c>
      <c r="J25" s="93">
        <f t="shared" si="6"/>
        <v>0.20672756684746407</v>
      </c>
      <c r="K25" s="93">
        <f t="shared" si="6"/>
        <v>0.2375709965331563</v>
      </c>
      <c r="Z25" t="s">
        <v>116</v>
      </c>
    </row>
    <row r="27" spans="2:26" x14ac:dyDescent="0.25">
      <c r="B27" t="s">
        <v>34</v>
      </c>
      <c r="E27" s="92">
        <f>-Model!P44</f>
        <v>11778</v>
      </c>
      <c r="F27" s="92">
        <f>-Model!Q44</f>
        <v>15181</v>
      </c>
      <c r="G27" s="92">
        <f>-Model!R44</f>
        <v>16213</v>
      </c>
      <c r="H27" s="92">
        <f>-Model!S44</f>
        <v>14259</v>
      </c>
      <c r="I27" s="92">
        <f>-Model!T44</f>
        <v>18733</v>
      </c>
      <c r="J27" s="92">
        <f>-Model!U44</f>
        <v>24844</v>
      </c>
      <c r="K27" s="92">
        <f>-Model!V44</f>
        <v>25750</v>
      </c>
    </row>
    <row r="28" spans="2:26" x14ac:dyDescent="0.25">
      <c r="B28" s="85" t="s">
        <v>84</v>
      </c>
      <c r="E28" s="93">
        <f>E27/E14</f>
        <v>0.18766431382546486</v>
      </c>
      <c r="F28" s="93">
        <f t="shared" ref="F28:K28" si="7">F27/F14</f>
        <v>0.21427563233965674</v>
      </c>
      <c r="G28" s="93">
        <f t="shared" si="7"/>
        <v>0.22529007156256514</v>
      </c>
      <c r="H28" s="93">
        <f t="shared" si="7"/>
        <v>0.18311993527424969</v>
      </c>
      <c r="I28" s="93">
        <f t="shared" si="7"/>
        <v>0.23705456570155903</v>
      </c>
      <c r="J28" s="93">
        <f t="shared" si="7"/>
        <v>0.39401148222158783</v>
      </c>
      <c r="K28" s="93">
        <f t="shared" si="7"/>
        <v>0.4748469425389098</v>
      </c>
    </row>
    <row r="30" spans="2:26" x14ac:dyDescent="0.25">
      <c r="B30" t="s">
        <v>88</v>
      </c>
      <c r="E30">
        <f>Model!P41</f>
        <v>5992</v>
      </c>
      <c r="F30">
        <f>Model!Q41</f>
        <v>-1910</v>
      </c>
      <c r="G30">
        <f>Model!R41</f>
        <v>1148</v>
      </c>
      <c r="H30">
        <f>Model!S41</f>
        <v>2461</v>
      </c>
      <c r="I30">
        <f>Model!T41</f>
        <v>-5408</v>
      </c>
      <c r="J30">
        <f>Model!U41</f>
        <v>-4508</v>
      </c>
      <c r="K30">
        <f>Model!V41</f>
        <v>-2569</v>
      </c>
    </row>
    <row r="31" spans="2:26" x14ac:dyDescent="0.25">
      <c r="B31" s="85" t="s">
        <v>84</v>
      </c>
      <c r="E31" s="93">
        <f t="shared" ref="E31" si="8">E30/E14</f>
        <v>9.5473303484648109E-2</v>
      </c>
      <c r="F31" s="93">
        <f>F30/F14</f>
        <v>-2.6959123757904244E-2</v>
      </c>
      <c r="G31" s="93">
        <f t="shared" ref="G31:K31" si="9">G30/G14</f>
        <v>1.5952198985618008E-2</v>
      </c>
      <c r="H31" s="93">
        <f t="shared" si="9"/>
        <v>3.1605172923061114E-2</v>
      </c>
      <c r="I31" s="93">
        <f t="shared" si="9"/>
        <v>-6.8434905851386924E-2</v>
      </c>
      <c r="J31" s="93">
        <f t="shared" si="9"/>
        <v>-7.1494274748628156E-2</v>
      </c>
      <c r="K31" s="93">
        <f t="shared" si="9"/>
        <v>-4.7374050306114919E-2</v>
      </c>
    </row>
    <row r="33" spans="2:16" x14ac:dyDescent="0.25">
      <c r="B33" s="89" t="s">
        <v>89</v>
      </c>
      <c r="C33" s="89"/>
      <c r="D33" s="89"/>
      <c r="E33" s="89">
        <v>2017</v>
      </c>
      <c r="F33" s="89">
        <f>E33+1</f>
        <v>2018</v>
      </c>
      <c r="G33" s="89">
        <f t="shared" ref="G33:P33" si="10">F33+1</f>
        <v>2019</v>
      </c>
      <c r="H33" s="89">
        <f t="shared" si="10"/>
        <v>2020</v>
      </c>
      <c r="I33" s="89">
        <f t="shared" si="10"/>
        <v>2021</v>
      </c>
      <c r="J33" s="89">
        <f t="shared" si="10"/>
        <v>2022</v>
      </c>
      <c r="K33" s="89">
        <f t="shared" si="10"/>
        <v>2023</v>
      </c>
      <c r="L33" s="89">
        <f t="shared" si="10"/>
        <v>2024</v>
      </c>
      <c r="M33" s="89">
        <f t="shared" si="10"/>
        <v>2025</v>
      </c>
      <c r="N33" s="89">
        <f t="shared" si="10"/>
        <v>2026</v>
      </c>
      <c r="O33" s="89">
        <f t="shared" si="10"/>
        <v>2027</v>
      </c>
      <c r="P33" s="89">
        <f t="shared" si="10"/>
        <v>2028</v>
      </c>
    </row>
    <row r="34" spans="2:16" x14ac:dyDescent="0.25">
      <c r="B34" t="s">
        <v>0</v>
      </c>
      <c r="E34" s="94">
        <f>E14</f>
        <v>62761</v>
      </c>
      <c r="F34" s="94">
        <f t="shared" ref="F34:K34" si="11">F14</f>
        <v>70848</v>
      </c>
      <c r="G34" s="94">
        <f t="shared" si="11"/>
        <v>71965</v>
      </c>
      <c r="H34" s="94">
        <f t="shared" si="11"/>
        <v>77867</v>
      </c>
      <c r="I34" s="94">
        <f t="shared" si="11"/>
        <v>79024</v>
      </c>
      <c r="J34" s="94">
        <f t="shared" si="11"/>
        <v>63054</v>
      </c>
      <c r="K34" s="94">
        <f t="shared" si="11"/>
        <v>54228</v>
      </c>
      <c r="L34" s="82">
        <v>57290</v>
      </c>
      <c r="M34" s="82">
        <v>63920</v>
      </c>
      <c r="N34" s="82">
        <v>69970</v>
      </c>
      <c r="O34" s="82">
        <v>72610</v>
      </c>
      <c r="P34" s="82">
        <v>85780</v>
      </c>
    </row>
    <row r="35" spans="2:16" x14ac:dyDescent="0.25">
      <c r="B35" s="85" t="s">
        <v>82</v>
      </c>
      <c r="F35" s="93">
        <f>F34/E34-1</f>
        <v>0.12885390608817571</v>
      </c>
      <c r="G35" s="93">
        <f t="shared" ref="G35:K35" si="12">G34/F34-1</f>
        <v>1.576614724480585E-2</v>
      </c>
      <c r="H35" s="93">
        <f t="shared" si="12"/>
        <v>8.2012089210032668E-2</v>
      </c>
      <c r="I35" s="93">
        <f t="shared" si="12"/>
        <v>1.4858669269395275E-2</v>
      </c>
      <c r="J35" s="93">
        <f t="shared" si="12"/>
        <v>-0.20209050415063778</v>
      </c>
      <c r="K35" s="93">
        <f t="shared" si="12"/>
        <v>-0.13997525930155108</v>
      </c>
      <c r="L35" s="93">
        <f t="shared" ref="L35" si="13">L34/K34-1</f>
        <v>5.6465294681714351E-2</v>
      </c>
      <c r="M35" s="93">
        <f t="shared" ref="M35" si="14">M34/L34-1</f>
        <v>0.11572700296735916</v>
      </c>
      <c r="N35" s="93">
        <f t="shared" ref="N35" si="15">N34/M34-1</f>
        <v>9.4649561952440564E-2</v>
      </c>
      <c r="O35" s="93">
        <f t="shared" ref="O35" si="16">O34/N34-1</f>
        <v>3.7730455909675609E-2</v>
      </c>
      <c r="P35" s="93">
        <f t="shared" ref="P35" si="17">P34/O34-1</f>
        <v>0.18137997521002625</v>
      </c>
    </row>
    <row r="37" spans="2:16" x14ac:dyDescent="0.25">
      <c r="B37" t="s">
        <v>83</v>
      </c>
      <c r="E37" s="94">
        <f>E17</f>
        <v>18611</v>
      </c>
      <c r="F37" s="94">
        <f t="shared" ref="F37:K37" si="18">F17</f>
        <v>23444</v>
      </c>
      <c r="G37" s="94">
        <f t="shared" si="18"/>
        <v>22628</v>
      </c>
      <c r="H37" s="94">
        <f t="shared" si="18"/>
        <v>23876</v>
      </c>
      <c r="I37" s="94">
        <f t="shared" si="18"/>
        <v>22082</v>
      </c>
      <c r="J37" s="94">
        <f t="shared" si="18"/>
        <v>2336</v>
      </c>
      <c r="K37" s="94">
        <f t="shared" si="18"/>
        <v>31</v>
      </c>
      <c r="L37" s="82">
        <v>6550</v>
      </c>
      <c r="M37" s="82">
        <v>10740</v>
      </c>
      <c r="N37" s="82">
        <v>12490</v>
      </c>
      <c r="O37" s="82">
        <v>9740</v>
      </c>
      <c r="P37" s="82">
        <v>22010</v>
      </c>
    </row>
    <row r="38" spans="2:16" x14ac:dyDescent="0.25">
      <c r="B38" s="85" t="s">
        <v>90</v>
      </c>
      <c r="E38" s="93">
        <f>E37/E34</f>
        <v>0.2965376587371138</v>
      </c>
      <c r="F38" s="93">
        <f t="shared" ref="F38:K38" si="19">F37/F34</f>
        <v>0.33090560072267389</v>
      </c>
      <c r="G38" s="93">
        <f t="shared" si="19"/>
        <v>0.31443062599874938</v>
      </c>
      <c r="H38" s="93">
        <f t="shared" si="19"/>
        <v>0.30662539972003544</v>
      </c>
      <c r="I38" s="93">
        <f t="shared" si="19"/>
        <v>0.27943409597084429</v>
      </c>
      <c r="J38" s="93">
        <f t="shared" si="19"/>
        <v>3.7047609985092142E-2</v>
      </c>
      <c r="K38" s="93">
        <f t="shared" si="19"/>
        <v>5.716603968429593E-4</v>
      </c>
      <c r="L38" s="93">
        <f>L37/L34</f>
        <v>0.11433059870832606</v>
      </c>
      <c r="M38" s="93">
        <f t="shared" ref="M38:P38" si="20">M37/M34</f>
        <v>0.16802252816020025</v>
      </c>
      <c r="N38" s="93">
        <f t="shared" si="20"/>
        <v>0.17850507360297271</v>
      </c>
      <c r="O38" s="93">
        <f t="shared" si="20"/>
        <v>0.13414130285084699</v>
      </c>
      <c r="P38" s="93">
        <f t="shared" si="20"/>
        <v>0.25658661692702261</v>
      </c>
    </row>
    <row r="40" spans="2:16" x14ac:dyDescent="0.25">
      <c r="B40" t="s">
        <v>47</v>
      </c>
      <c r="E40" s="94">
        <f>E20</f>
        <v>10751</v>
      </c>
      <c r="F40" s="94">
        <f t="shared" ref="F40:K40" si="21">F20</f>
        <v>2264</v>
      </c>
      <c r="G40" s="94">
        <f t="shared" si="21"/>
        <v>3010</v>
      </c>
      <c r="H40" s="94">
        <f t="shared" si="21"/>
        <v>4179</v>
      </c>
      <c r="I40" s="94">
        <f t="shared" si="21"/>
        <v>1835</v>
      </c>
      <c r="J40" s="94">
        <f t="shared" si="21"/>
        <v>-249</v>
      </c>
      <c r="K40" s="94">
        <f t="shared" si="21"/>
        <v>-913</v>
      </c>
      <c r="L40" s="82">
        <f>L41*L37</f>
        <v>499.27741317640096</v>
      </c>
      <c r="M40" s="82">
        <f t="shared" ref="M40:P40" si="22">M41*M37</f>
        <v>818.6625064907704</v>
      </c>
      <c r="N40" s="82">
        <f t="shared" si="22"/>
        <v>952.05723520202253</v>
      </c>
      <c r="O40" s="82">
        <f t="shared" si="22"/>
        <v>742.43694722719772</v>
      </c>
      <c r="P40" s="82">
        <f t="shared" si="22"/>
        <v>1677.7245593912344</v>
      </c>
    </row>
    <row r="41" spans="2:16" x14ac:dyDescent="0.25">
      <c r="B41" s="85" t="s">
        <v>85</v>
      </c>
      <c r="E41" s="93">
        <f>E40/E37</f>
        <v>0.57766912041265916</v>
      </c>
      <c r="F41" s="93">
        <f t="shared" ref="F41:K41" si="23">F40/F37</f>
        <v>9.6570551100494798E-2</v>
      </c>
      <c r="G41" s="93">
        <f t="shared" si="23"/>
        <v>0.13302103588474457</v>
      </c>
      <c r="H41" s="93">
        <f t="shared" si="23"/>
        <v>0.17502931814374267</v>
      </c>
      <c r="I41" s="93">
        <f t="shared" si="23"/>
        <v>8.3099356942305955E-2</v>
      </c>
      <c r="J41" s="93">
        <f t="shared" si="23"/>
        <v>-0.10659246575342465</v>
      </c>
      <c r="K41" s="93">
        <f t="shared" si="23"/>
        <v>-29.451612903225808</v>
      </c>
      <c r="L41" s="98">
        <f>AVERAGE(F41:J41)</f>
        <v>7.6225559263572662E-2</v>
      </c>
      <c r="M41" s="98">
        <f>L41</f>
        <v>7.6225559263572662E-2</v>
      </c>
      <c r="N41" s="98">
        <f t="shared" ref="N41:P41" si="24">M41</f>
        <v>7.6225559263572662E-2</v>
      </c>
      <c r="O41" s="98">
        <f t="shared" si="24"/>
        <v>7.6225559263572662E-2</v>
      </c>
      <c r="P41" s="98">
        <f t="shared" si="24"/>
        <v>7.6225559263572662E-2</v>
      </c>
    </row>
    <row r="43" spans="2:16" x14ac:dyDescent="0.25">
      <c r="B43" s="95" t="s">
        <v>91</v>
      </c>
      <c r="C43" s="96"/>
      <c r="D43" s="96"/>
      <c r="E43" s="96"/>
      <c r="F43" s="96"/>
      <c r="G43" s="96"/>
      <c r="H43" s="96"/>
      <c r="I43" s="96"/>
      <c r="J43" s="96"/>
      <c r="K43" s="97">
        <f>K37-K40</f>
        <v>944</v>
      </c>
      <c r="L43" s="97">
        <f t="shared" ref="L43:P43" si="25">L37-L40</f>
        <v>6050.7225868235992</v>
      </c>
      <c r="M43" s="97">
        <f t="shared" si="25"/>
        <v>9921.3374935092288</v>
      </c>
      <c r="N43" s="97">
        <f t="shared" si="25"/>
        <v>11537.942764797977</v>
      </c>
      <c r="O43" s="97">
        <f t="shared" si="25"/>
        <v>8997.5630527728026</v>
      </c>
      <c r="P43" s="97">
        <f t="shared" si="25"/>
        <v>20332.275440608766</v>
      </c>
    </row>
    <row r="45" spans="2:16" x14ac:dyDescent="0.25">
      <c r="B45" t="s">
        <v>87</v>
      </c>
      <c r="L45" s="82">
        <f>L46*L34</f>
        <v>21119.251741190412</v>
      </c>
      <c r="M45" s="82">
        <f t="shared" ref="M45:P45" si="26">M46*M34</f>
        <v>23563.319450111558</v>
      </c>
      <c r="N45" s="82">
        <f t="shared" si="26"/>
        <v>25793.577314210037</v>
      </c>
      <c r="O45" s="82">
        <f t="shared" si="26"/>
        <v>26766.78074581665</v>
      </c>
      <c r="P45" s="82">
        <f t="shared" si="26"/>
        <v>31621.738773945079</v>
      </c>
    </row>
    <row r="46" spans="2:16" x14ac:dyDescent="0.25">
      <c r="B46" s="85" t="s">
        <v>84</v>
      </c>
      <c r="L46" s="98">
        <f>AVERAGE(I28:K28)</f>
        <v>0.36863766348735227</v>
      </c>
      <c r="M46" s="98">
        <f>L46</f>
        <v>0.36863766348735227</v>
      </c>
      <c r="N46" s="98">
        <f t="shared" ref="N46:P46" si="27">M46</f>
        <v>0.36863766348735227</v>
      </c>
      <c r="O46" s="98">
        <f t="shared" si="27"/>
        <v>0.36863766348735227</v>
      </c>
      <c r="P46" s="98">
        <f t="shared" si="27"/>
        <v>0.36863766348735227</v>
      </c>
    </row>
    <row r="48" spans="2:16" x14ac:dyDescent="0.25">
      <c r="B48" t="s">
        <v>34</v>
      </c>
      <c r="L48" s="82">
        <v>22080</v>
      </c>
      <c r="M48" s="82">
        <v>22930</v>
      </c>
      <c r="N48" s="82">
        <v>23010</v>
      </c>
      <c r="O48" s="82">
        <v>19050</v>
      </c>
      <c r="P48" s="82">
        <v>19450</v>
      </c>
    </row>
    <row r="49" spans="1:16" x14ac:dyDescent="0.25">
      <c r="B49" s="85" t="s">
        <v>84</v>
      </c>
      <c r="L49" s="93">
        <f>L48/L34</f>
        <v>0.38540757549310528</v>
      </c>
      <c r="M49" s="93">
        <f t="shared" ref="M49:P49" si="28">M48/M34</f>
        <v>0.35872966207759699</v>
      </c>
      <c r="N49" s="93">
        <f t="shared" si="28"/>
        <v>0.32885522366728598</v>
      </c>
      <c r="O49" s="93">
        <f t="shared" si="28"/>
        <v>0.26236055639719047</v>
      </c>
      <c r="P49" s="93">
        <f t="shared" si="28"/>
        <v>0.22674283049661925</v>
      </c>
    </row>
    <row r="51" spans="1:16" x14ac:dyDescent="0.25">
      <c r="B51" t="s">
        <v>88</v>
      </c>
      <c r="L51" s="82">
        <f>L52*L34</f>
        <v>-3576.8673662040624</v>
      </c>
      <c r="M51" s="82">
        <f t="shared" ref="M51:P51" si="29">M52*M34</f>
        <v>-3990.8075065066096</v>
      </c>
      <c r="N51" s="82">
        <f t="shared" si="29"/>
        <v>-4368.535688833972</v>
      </c>
      <c r="O51" s="82">
        <f t="shared" si="29"/>
        <v>-4533.3625320313658</v>
      </c>
      <c r="P51" s="82">
        <f t="shared" si="29"/>
        <v>-5355.6237157092764</v>
      </c>
    </row>
    <row r="52" spans="1:16" x14ac:dyDescent="0.25">
      <c r="B52" s="85" t="s">
        <v>84</v>
      </c>
      <c r="L52" s="98">
        <f>AVERAGE(I31:K31)</f>
        <v>-6.2434410302043331E-2</v>
      </c>
      <c r="M52" s="98">
        <f>L52</f>
        <v>-6.2434410302043331E-2</v>
      </c>
      <c r="N52" s="98">
        <f t="shared" ref="N52:P52" si="30">M52</f>
        <v>-6.2434410302043331E-2</v>
      </c>
      <c r="O52" s="98">
        <f t="shared" si="30"/>
        <v>-6.2434410302043331E-2</v>
      </c>
      <c r="P52" s="98">
        <f t="shared" si="30"/>
        <v>-6.2434410302043331E-2</v>
      </c>
    </row>
    <row r="54" spans="1:16" x14ac:dyDescent="0.25">
      <c r="B54" s="95" t="s">
        <v>92</v>
      </c>
      <c r="C54" s="96"/>
      <c r="D54" s="96"/>
      <c r="E54" s="96"/>
      <c r="F54" s="96"/>
      <c r="G54" s="96"/>
      <c r="H54" s="96"/>
      <c r="I54" s="96"/>
      <c r="J54" s="96"/>
      <c r="K54" s="97"/>
      <c r="L54" s="97">
        <f>L43+L45-L48-L51</f>
        <v>8666.841694218072</v>
      </c>
      <c r="M54" s="97">
        <f t="shared" ref="M54:P54" si="31">M43+M45-M48-M51</f>
        <v>14545.464450127396</v>
      </c>
      <c r="N54" s="97">
        <f t="shared" si="31"/>
        <v>18690.055767841986</v>
      </c>
      <c r="O54" s="97">
        <f t="shared" si="31"/>
        <v>21247.706330620822</v>
      </c>
      <c r="P54" s="99">
        <f t="shared" si="31"/>
        <v>37859.637930263118</v>
      </c>
    </row>
    <row r="55" spans="1:16" x14ac:dyDescent="0.25">
      <c r="B55" s="95" t="s">
        <v>93</v>
      </c>
      <c r="C55" s="96"/>
      <c r="D55" s="96"/>
      <c r="E55" s="96"/>
      <c r="F55" s="96"/>
      <c r="G55" s="96"/>
      <c r="H55" s="96"/>
      <c r="I55" s="96"/>
      <c r="J55" s="96"/>
      <c r="K55" s="96"/>
      <c r="L55" s="97">
        <f>L54/(1+WACC)^L12</f>
        <v>8038.9311011724267</v>
      </c>
      <c r="M55" s="97">
        <f>M54/(1+WACC)^M12</f>
        <v>12514.182330400787</v>
      </c>
      <c r="N55" s="97">
        <f>N54/(1+WACC)^N12</f>
        <v>14914.988569634643</v>
      </c>
      <c r="O55" s="97">
        <f>O54/(1+WACC)^O12</f>
        <v>15727.577192400333</v>
      </c>
      <c r="P55" s="97">
        <f>P54/(1+WACC)^P12</f>
        <v>25993.434654759585</v>
      </c>
    </row>
    <row r="57" spans="1:16" x14ac:dyDescent="0.25">
      <c r="A57" s="86" t="s">
        <v>73</v>
      </c>
      <c r="B57" t="s">
        <v>94</v>
      </c>
      <c r="P57" s="82" t="e">
        <f>P54/(WACC-TGR)</f>
        <v>#NAME?</v>
      </c>
    </row>
    <row r="58" spans="1:16" x14ac:dyDescent="0.25">
      <c r="B58" s="101" t="s">
        <v>95</v>
      </c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2" t="e">
        <f>P57/(1+WACC)^P12</f>
        <v>#NAME?</v>
      </c>
    </row>
    <row r="59" spans="1:16" x14ac:dyDescent="0.25">
      <c r="B59" s="84" t="s">
        <v>96</v>
      </c>
      <c r="P59" s="81" t="e">
        <f>SUM(L55:P55)+P58</f>
        <v>#NAME?</v>
      </c>
    </row>
    <row r="60" spans="1:16" x14ac:dyDescent="0.25">
      <c r="B60" t="s">
        <v>97</v>
      </c>
      <c r="P60" s="82">
        <f>Old_Main!R5</f>
        <v>25034</v>
      </c>
    </row>
    <row r="61" spans="1:16" x14ac:dyDescent="0.25">
      <c r="B61" s="101" t="s">
        <v>98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2">
        <f>Old_Main!R6</f>
        <v>49266</v>
      </c>
    </row>
    <row r="62" spans="1:16" x14ac:dyDescent="0.25">
      <c r="B62" s="84" t="s">
        <v>99</v>
      </c>
      <c r="P62" s="82" t="e">
        <f>P59+P60-P61</f>
        <v>#NAME?</v>
      </c>
    </row>
    <row r="63" spans="1:16" x14ac:dyDescent="0.25">
      <c r="B63" s="101" t="s">
        <v>15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2">
        <f>Old_Main!R3</f>
        <v>4212</v>
      </c>
    </row>
    <row r="64" spans="1:16" x14ac:dyDescent="0.25">
      <c r="A64" t="s">
        <v>73</v>
      </c>
      <c r="B64" s="84" t="s">
        <v>17</v>
      </c>
      <c r="P64" s="103" t="e">
        <f>P62/P63</f>
        <v>#NAME?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10D5-673A-46C6-80E7-E961113FEACB}">
  <dimension ref="B2:Z47"/>
  <sheetViews>
    <sheetView topLeftCell="A23" workbookViewId="0">
      <selection activeCell="C44" sqref="C44"/>
    </sheetView>
  </sheetViews>
  <sheetFormatPr defaultRowHeight="15" x14ac:dyDescent="0.25"/>
  <cols>
    <col min="2" max="2" width="10.85546875" bestFit="1" customWidth="1"/>
    <col min="3" max="4" width="12" bestFit="1" customWidth="1"/>
    <col min="5" max="5" width="16.42578125" bestFit="1" customWidth="1"/>
    <col min="6" max="6" width="17.7109375" bestFit="1" customWidth="1"/>
    <col min="7" max="7" width="17.42578125" bestFit="1" customWidth="1"/>
    <col min="8" max="8" width="12" bestFit="1" customWidth="1"/>
    <col min="9" max="9" width="20.28515625" bestFit="1" customWidth="1"/>
    <col min="10" max="10" width="12" bestFit="1" customWidth="1"/>
  </cols>
  <sheetData>
    <row r="2" spans="2:26" x14ac:dyDescent="0.25">
      <c r="Q2" t="s">
        <v>30</v>
      </c>
      <c r="R2" s="107">
        <v>38.33</v>
      </c>
    </row>
    <row r="3" spans="2:26" x14ac:dyDescent="0.25">
      <c r="B3" s="105" t="s">
        <v>100</v>
      </c>
      <c r="C3" s="101" t="s">
        <v>110</v>
      </c>
      <c r="F3" s="105" t="s">
        <v>111</v>
      </c>
      <c r="G3" s="101"/>
      <c r="H3" s="101"/>
      <c r="I3" s="101"/>
      <c r="J3" s="101" t="s">
        <v>110</v>
      </c>
      <c r="Q3" t="s">
        <v>23</v>
      </c>
      <c r="R3" s="82">
        <v>4212</v>
      </c>
      <c r="S3" s="86" t="s">
        <v>68</v>
      </c>
    </row>
    <row r="4" spans="2:26" x14ac:dyDescent="0.25">
      <c r="B4" t="s">
        <v>285</v>
      </c>
      <c r="C4" s="3">
        <v>3013</v>
      </c>
      <c r="D4" s="108">
        <f>C4/$C$7</f>
        <v>0.76047450782433113</v>
      </c>
      <c r="F4" t="s">
        <v>284</v>
      </c>
      <c r="I4" s="82">
        <v>2573663</v>
      </c>
      <c r="J4" s="110">
        <f>I4/$I$6</f>
        <v>0.64952993768592204</v>
      </c>
      <c r="Q4" t="s">
        <v>67</v>
      </c>
      <c r="R4" s="82">
        <f>R2*R3</f>
        <v>161445.96</v>
      </c>
      <c r="S4" s="86"/>
    </row>
    <row r="5" spans="2:26" x14ac:dyDescent="0.25">
      <c r="B5" t="s">
        <v>286</v>
      </c>
      <c r="C5" s="3">
        <v>949</v>
      </c>
      <c r="D5" s="108">
        <f>C5/$C$7</f>
        <v>0.23952549217566885</v>
      </c>
      <c r="F5" s="101" t="s">
        <v>112</v>
      </c>
      <c r="G5" s="101"/>
      <c r="H5" s="101"/>
      <c r="I5" s="102">
        <v>1388684</v>
      </c>
      <c r="J5" s="111">
        <f t="shared" ref="J5" si="0">I5/$I$6</f>
        <v>0.35047006231407801</v>
      </c>
      <c r="Q5" t="s">
        <v>66</v>
      </c>
      <c r="R5">
        <f>7079+17955</f>
        <v>25034</v>
      </c>
      <c r="S5" s="86" t="s">
        <v>68</v>
      </c>
    </row>
    <row r="6" spans="2:26" x14ac:dyDescent="0.25">
      <c r="B6" s="101"/>
      <c r="C6" s="106"/>
      <c r="D6" s="108"/>
      <c r="F6" t="s">
        <v>109</v>
      </c>
      <c r="I6" s="82">
        <f>SUM(I4:I5)</f>
        <v>3962347</v>
      </c>
      <c r="J6" s="110">
        <f>SUM(J4:J5)</f>
        <v>1</v>
      </c>
      <c r="Q6" t="s">
        <v>65</v>
      </c>
      <c r="R6">
        <f>2288+46978</f>
        <v>49266</v>
      </c>
      <c r="S6" s="86" t="s">
        <v>68</v>
      </c>
    </row>
    <row r="7" spans="2:26" x14ac:dyDescent="0.25">
      <c r="B7" t="s">
        <v>109</v>
      </c>
      <c r="C7" s="3">
        <f>SUM(C4:C6)</f>
        <v>3962</v>
      </c>
      <c r="D7">
        <f>C7/$C$7</f>
        <v>1</v>
      </c>
      <c r="Q7" t="s">
        <v>20</v>
      </c>
      <c r="R7" s="82">
        <f>R4-R5+R6</f>
        <v>185677.96</v>
      </c>
    </row>
    <row r="9" spans="2:26" x14ac:dyDescent="0.25">
      <c r="J9" s="3"/>
    </row>
    <row r="10" spans="2:26" x14ac:dyDescent="0.25">
      <c r="J10" s="3"/>
    </row>
    <row r="14" spans="2:26" x14ac:dyDescent="0.25">
      <c r="S14" t="s">
        <v>9</v>
      </c>
      <c r="T14">
        <f>U14-1</f>
        <v>2017</v>
      </c>
      <c r="U14">
        <f t="shared" ref="U14" si="1">V14-1</f>
        <v>2018</v>
      </c>
      <c r="V14">
        <f>W14-1</f>
        <v>2019</v>
      </c>
      <c r="W14" s="2">
        <v>2020</v>
      </c>
      <c r="X14" s="2">
        <f t="shared" ref="X14:Z14" si="2">W14+1</f>
        <v>2021</v>
      </c>
      <c r="Y14" s="2">
        <f t="shared" si="2"/>
        <v>2022</v>
      </c>
      <c r="Z14" s="2">
        <f t="shared" si="2"/>
        <v>2023</v>
      </c>
    </row>
    <row r="15" spans="2:26" x14ac:dyDescent="0.25">
      <c r="S15" t="s">
        <v>0</v>
      </c>
      <c r="T15" s="229">
        <v>62.761000000000003</v>
      </c>
      <c r="U15" s="229">
        <v>70.847999999999999</v>
      </c>
      <c r="V15" s="229">
        <v>71.965000000000003</v>
      </c>
      <c r="W15" s="229">
        <v>77.867000000000004</v>
      </c>
      <c r="X15" s="229">
        <v>79.024000000000001</v>
      </c>
      <c r="Y15" s="229">
        <v>63.054000000000002</v>
      </c>
      <c r="Z15" s="229">
        <v>54.228000000000002</v>
      </c>
    </row>
    <row r="16" spans="2:26" x14ac:dyDescent="0.25">
      <c r="S16" t="s">
        <v>282</v>
      </c>
      <c r="U16" s="87">
        <f>U15/T15-1</f>
        <v>0.12885390608817571</v>
      </c>
      <c r="V16" s="87">
        <f t="shared" ref="V16:Z16" si="3">V15/U15-1</f>
        <v>1.576614724480585E-2</v>
      </c>
      <c r="W16" s="87">
        <f t="shared" si="3"/>
        <v>8.2012089210032668E-2</v>
      </c>
      <c r="X16" s="87">
        <f t="shared" si="3"/>
        <v>1.4858669269395275E-2</v>
      </c>
      <c r="Y16" s="87">
        <f t="shared" si="3"/>
        <v>-0.20209050415063778</v>
      </c>
      <c r="Z16" s="87">
        <f t="shared" si="3"/>
        <v>-0.13997525930155108</v>
      </c>
    </row>
    <row r="17" spans="19:26" x14ac:dyDescent="0.25">
      <c r="W17" s="2"/>
      <c r="X17" s="2"/>
      <c r="Y17" s="109"/>
    </row>
    <row r="19" spans="19:26" x14ac:dyDescent="0.25">
      <c r="S19" t="s">
        <v>9</v>
      </c>
      <c r="T19">
        <f>U19-1</f>
        <v>2017</v>
      </c>
      <c r="U19">
        <f t="shared" ref="U19" si="4">V19-1</f>
        <v>2018</v>
      </c>
      <c r="V19">
        <f>W19-1</f>
        <v>2019</v>
      </c>
      <c r="W19" s="2">
        <v>2020</v>
      </c>
      <c r="X19" s="2">
        <f t="shared" ref="X19" si="5">W19+1</f>
        <v>2021</v>
      </c>
      <c r="Y19" s="2">
        <f t="shared" ref="Y19" si="6">X19+1</f>
        <v>2022</v>
      </c>
      <c r="Z19" s="2">
        <f t="shared" ref="Z19" si="7">Y19+1</f>
        <v>2023</v>
      </c>
    </row>
    <row r="20" spans="19:26" x14ac:dyDescent="0.25">
      <c r="S20" t="s">
        <v>54</v>
      </c>
      <c r="T20" s="82">
        <f t="shared" ref="T20:Z20" si="8">T21-T23</f>
        <v>39098</v>
      </c>
      <c r="U20" s="82">
        <f t="shared" si="8"/>
        <v>43737</v>
      </c>
      <c r="V20" s="82">
        <f t="shared" si="8"/>
        <v>42140</v>
      </c>
      <c r="W20" s="82">
        <f t="shared" si="8"/>
        <v>43612</v>
      </c>
      <c r="X20" s="82">
        <f t="shared" si="8"/>
        <v>43815</v>
      </c>
      <c r="Y20" s="82">
        <f t="shared" si="8"/>
        <v>26866</v>
      </c>
      <c r="Z20" s="82">
        <f t="shared" si="8"/>
        <v>21711</v>
      </c>
    </row>
    <row r="21" spans="19:26" x14ac:dyDescent="0.25">
      <c r="S21" t="s">
        <v>0</v>
      </c>
      <c r="T21" s="81">
        <v>62761</v>
      </c>
      <c r="U21" s="81">
        <v>70848</v>
      </c>
      <c r="V21" s="81">
        <v>71965</v>
      </c>
      <c r="W21" s="81">
        <v>77867</v>
      </c>
      <c r="X21" s="81">
        <v>79024</v>
      </c>
      <c r="Y21" s="81">
        <v>63054</v>
      </c>
      <c r="Z21" s="81">
        <v>54228</v>
      </c>
    </row>
    <row r="23" spans="19:26" x14ac:dyDescent="0.25">
      <c r="T23" s="82">
        <v>23663</v>
      </c>
      <c r="U23" s="82">
        <v>27111</v>
      </c>
      <c r="V23" s="82">
        <v>29825</v>
      </c>
      <c r="W23" s="82">
        <v>34255</v>
      </c>
      <c r="X23" s="82">
        <v>35209</v>
      </c>
      <c r="Y23" s="82">
        <v>36188</v>
      </c>
      <c r="Z23" s="82">
        <v>32517</v>
      </c>
    </row>
    <row r="25" spans="19:26" x14ac:dyDescent="0.25">
      <c r="S25" t="s">
        <v>248</v>
      </c>
      <c r="T25" s="230">
        <v>0.626</v>
      </c>
    </row>
    <row r="26" spans="19:26" x14ac:dyDescent="0.25">
      <c r="S26" t="s">
        <v>238</v>
      </c>
      <c r="T26" s="230">
        <v>0.33400000000000002</v>
      </c>
    </row>
    <row r="43" spans="3:10" x14ac:dyDescent="0.25">
      <c r="C43" t="s">
        <v>101</v>
      </c>
      <c r="D43" t="s">
        <v>102</v>
      </c>
      <c r="E43" t="s">
        <v>103</v>
      </c>
      <c r="F43" t="s">
        <v>105</v>
      </c>
      <c r="G43" t="s">
        <v>104</v>
      </c>
      <c r="H43" t="s">
        <v>106</v>
      </c>
      <c r="I43" t="s">
        <v>107</v>
      </c>
      <c r="J43" t="s">
        <v>108</v>
      </c>
    </row>
    <row r="44" spans="3:10" x14ac:dyDescent="0.25">
      <c r="C44">
        <v>0.18746772884856533</v>
      </c>
      <c r="D44">
        <v>0.3133067787858671</v>
      </c>
      <c r="E44">
        <v>3.876226303754518E-2</v>
      </c>
      <c r="F44">
        <v>0.28621745223869588</v>
      </c>
      <c r="G44">
        <v>0.10647635907649185</v>
      </c>
      <c r="H44">
        <v>3.8338127904403628E-2</v>
      </c>
      <c r="I44">
        <v>1.7555506380467656E-2</v>
      </c>
      <c r="J44">
        <v>1.1875783727963414E-2</v>
      </c>
    </row>
    <row r="46" spans="3:10" x14ac:dyDescent="0.25">
      <c r="C46" t="s">
        <v>113</v>
      </c>
      <c r="D46" t="s">
        <v>114</v>
      </c>
      <c r="E46" t="s">
        <v>115</v>
      </c>
      <c r="F46" t="s">
        <v>106</v>
      </c>
    </row>
    <row r="47" spans="3:10" x14ac:dyDescent="0.25">
      <c r="C47">
        <f>SUM(C44:E44)</f>
        <v>0.53953677067197758</v>
      </c>
      <c r="D47">
        <f>F44</f>
        <v>0.28621745223869588</v>
      </c>
      <c r="E47">
        <f>G44</f>
        <v>0.10647635907649185</v>
      </c>
      <c r="F47">
        <f>H44</f>
        <v>3.8338127904403628E-2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B9ED-FC01-4707-A465-33A667DCD332}">
  <dimension ref="B2:S29"/>
  <sheetViews>
    <sheetView showGridLines="0" workbookViewId="0"/>
  </sheetViews>
  <sheetFormatPr defaultRowHeight="15" x14ac:dyDescent="0.25"/>
  <cols>
    <col min="1" max="1" width="10.7109375" customWidth="1"/>
    <col min="2" max="2" width="12.42578125" bestFit="1" customWidth="1"/>
    <col min="3" max="14" width="10.7109375" customWidth="1"/>
    <col min="15" max="15" width="14.85546875" bestFit="1" customWidth="1"/>
    <col min="16" max="16" width="14.85546875" customWidth="1"/>
    <col min="17" max="17" width="18.28515625" bestFit="1" customWidth="1"/>
    <col min="18" max="18" width="7.5703125" bestFit="1" customWidth="1"/>
  </cols>
  <sheetData>
    <row r="2" spans="2:19" s="2" customFormat="1" ht="30" x14ac:dyDescent="0.25">
      <c r="B2" s="4" t="s">
        <v>9</v>
      </c>
      <c r="C2" s="4" t="s">
        <v>0</v>
      </c>
      <c r="D2" s="4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4" t="s">
        <v>7</v>
      </c>
      <c r="K2" s="5" t="s">
        <v>8</v>
      </c>
      <c r="M2" s="4" t="s">
        <v>9</v>
      </c>
      <c r="N2" s="4" t="s">
        <v>1</v>
      </c>
      <c r="O2" s="4" t="s">
        <v>18</v>
      </c>
      <c r="Q2" s="235" t="s">
        <v>31</v>
      </c>
      <c r="R2" s="235"/>
      <c r="S2" s="235"/>
    </row>
    <row r="3" spans="2:19" s="2" customFormat="1" ht="3" customHeight="1" x14ac:dyDescent="0.25">
      <c r="E3" s="1"/>
      <c r="F3" s="1"/>
      <c r="G3" s="1"/>
      <c r="H3" s="1"/>
      <c r="I3" s="1"/>
      <c r="K3" s="1"/>
      <c r="Q3" s="46"/>
      <c r="R3" s="46"/>
      <c r="S3" s="46"/>
    </row>
    <row r="4" spans="2:19" x14ac:dyDescent="0.25">
      <c r="B4" s="6">
        <v>2017</v>
      </c>
      <c r="C4" s="7">
        <v>62761</v>
      </c>
      <c r="D4" s="7">
        <v>26563</v>
      </c>
      <c r="E4" s="8" t="str">
        <f>IFERROR(D4/D3-1,"-")</f>
        <v>-</v>
      </c>
      <c r="F4" s="7">
        <v>26813</v>
      </c>
      <c r="G4" s="7">
        <v>1814</v>
      </c>
      <c r="H4" s="7">
        <v>216020</v>
      </c>
      <c r="I4" s="7">
        <f>F4-G4+H4</f>
        <v>241019</v>
      </c>
      <c r="J4" s="9" cm="1">
        <f t="array" ref="J4:J8">I4:I8/D4:D8</f>
        <v>9.0734856755637541</v>
      </c>
      <c r="K4" s="10" cm="1">
        <f t="array" ref="K4:K8">F4:F8/D4:D8</f>
        <v>1.0094115875465874</v>
      </c>
      <c r="M4" s="29">
        <v>2022</v>
      </c>
      <c r="N4" s="30">
        <f>D8*(1+O4)</f>
        <v>35882.589081706887</v>
      </c>
      <c r="O4" s="31">
        <f>C10</f>
        <v>5.9295893065681282E-2</v>
      </c>
      <c r="Q4" s="71"/>
      <c r="R4" s="72" t="s">
        <v>29</v>
      </c>
      <c r="S4" s="73" t="s">
        <v>30</v>
      </c>
    </row>
    <row r="5" spans="2:19" x14ac:dyDescent="0.25">
      <c r="B5" s="11">
        <f>B4+1</f>
        <v>2018</v>
      </c>
      <c r="C5" s="12">
        <v>70848</v>
      </c>
      <c r="D5" s="12">
        <v>32329</v>
      </c>
      <c r="E5" s="13">
        <f t="shared" ref="E5:E8" si="0">IFERROR(D5/D4-1,"-")</f>
        <v>0.21706885517449082</v>
      </c>
      <c r="F5" s="12">
        <v>26359</v>
      </c>
      <c r="G5" s="12">
        <v>2788</v>
      </c>
      <c r="H5" s="12">
        <v>211930</v>
      </c>
      <c r="I5" s="12">
        <f t="shared" ref="I5:I8" si="1">F5-G5+H5</f>
        <v>235501</v>
      </c>
      <c r="J5" s="14">
        <v>7.28451235732624</v>
      </c>
      <c r="K5" s="15">
        <v>0.81533607596894431</v>
      </c>
      <c r="M5" s="32">
        <f>M4+1</f>
        <v>2023</v>
      </c>
      <c r="N5" s="33">
        <f>N4*(1+O5)</f>
        <v>37797.510230304695</v>
      </c>
      <c r="O5" s="34">
        <f>O4*0.9</f>
        <v>5.3366303759113158E-2</v>
      </c>
      <c r="Q5" s="74" t="s">
        <v>27</v>
      </c>
      <c r="R5" s="66">
        <v>0.5</v>
      </c>
      <c r="S5" s="67">
        <f>N16</f>
        <v>72.497218243688224</v>
      </c>
    </row>
    <row r="6" spans="2:19" x14ac:dyDescent="0.25">
      <c r="B6" s="11">
        <f t="shared" ref="B6:B8" si="2">B5+1</f>
        <v>2019</v>
      </c>
      <c r="C6" s="12">
        <v>71867</v>
      </c>
      <c r="D6" s="12">
        <v>33254</v>
      </c>
      <c r="E6" s="13">
        <f t="shared" si="0"/>
        <v>2.8612082031612474E-2</v>
      </c>
      <c r="F6" s="12">
        <v>29055</v>
      </c>
      <c r="G6" s="12">
        <v>1082</v>
      </c>
      <c r="H6" s="12">
        <v>256750</v>
      </c>
      <c r="I6" s="12">
        <f t="shared" si="1"/>
        <v>284723</v>
      </c>
      <c r="J6" s="14">
        <v>8.5620677211763994</v>
      </c>
      <c r="K6" s="15">
        <v>0.8737294761532447</v>
      </c>
      <c r="M6" s="32">
        <f t="shared" ref="M6:M8" si="3">M5+1</f>
        <v>2024</v>
      </c>
      <c r="N6" s="33">
        <f t="shared" ref="N6:N8" si="4">N5*(1+O6)</f>
        <v>39612.912301364457</v>
      </c>
      <c r="O6" s="34">
        <f t="shared" ref="O6:O8" si="5">O5*0.9</f>
        <v>4.802967338320184E-2</v>
      </c>
      <c r="Q6" s="75" t="s">
        <v>14</v>
      </c>
      <c r="R6" s="68">
        <v>0.5</v>
      </c>
      <c r="S6" s="69">
        <f>N28</f>
        <v>59.86961140691804</v>
      </c>
    </row>
    <row r="7" spans="2:19" ht="15.75" thickBot="1" x14ac:dyDescent="0.3">
      <c r="B7" s="11">
        <f t="shared" si="2"/>
        <v>2020</v>
      </c>
      <c r="C7" s="12">
        <v>77867</v>
      </c>
      <c r="D7" s="12">
        <v>36115</v>
      </c>
      <c r="E7" s="13">
        <f t="shared" si="0"/>
        <v>8.6034762735309966E-2</v>
      </c>
      <c r="F7" s="12">
        <v>36529</v>
      </c>
      <c r="G7" s="12">
        <v>2292</v>
      </c>
      <c r="H7" s="12">
        <v>204160</v>
      </c>
      <c r="I7" s="12">
        <f t="shared" si="1"/>
        <v>238397</v>
      </c>
      <c r="J7" s="14">
        <v>6.6010521943790668</v>
      </c>
      <c r="K7" s="15">
        <v>1.011463380866676</v>
      </c>
      <c r="M7" s="32">
        <f t="shared" si="3"/>
        <v>2025</v>
      </c>
      <c r="N7" s="33">
        <f t="shared" si="4"/>
        <v>41325.248016997211</v>
      </c>
      <c r="O7" s="34">
        <f t="shared" si="5"/>
        <v>4.3226706044881658E-2</v>
      </c>
      <c r="Q7" s="74" t="s">
        <v>28</v>
      </c>
      <c r="R7" s="76"/>
      <c r="S7" s="77">
        <f>R5*S5+R6*S6</f>
        <v>66.183414825303132</v>
      </c>
    </row>
    <row r="8" spans="2:19" ht="15.75" thickTop="1" x14ac:dyDescent="0.25">
      <c r="B8" s="11">
        <f t="shared" si="2"/>
        <v>2021</v>
      </c>
      <c r="C8" s="12">
        <v>79024</v>
      </c>
      <c r="D8" s="12">
        <v>33874</v>
      </c>
      <c r="E8" s="13">
        <f t="shared" si="0"/>
        <v>-6.2051779039180355E-2</v>
      </c>
      <c r="F8" s="12">
        <v>38641</v>
      </c>
      <c r="G8" s="12">
        <v>2103</v>
      </c>
      <c r="H8" s="12">
        <v>209600</v>
      </c>
      <c r="I8" s="12">
        <f t="shared" si="1"/>
        <v>246138</v>
      </c>
      <c r="J8" s="14">
        <v>7.2662809234220935</v>
      </c>
      <c r="K8" s="15">
        <v>1.1407274015469091</v>
      </c>
      <c r="M8" s="32">
        <f t="shared" si="3"/>
        <v>2026</v>
      </c>
      <c r="N8" s="33">
        <f t="shared" si="4"/>
        <v>42932.966930433526</v>
      </c>
      <c r="O8" s="34">
        <f t="shared" si="5"/>
        <v>3.8904035440393496E-2</v>
      </c>
      <c r="Q8" s="74"/>
      <c r="R8" s="76"/>
      <c r="S8" s="78"/>
    </row>
    <row r="9" spans="2:19" x14ac:dyDescent="0.25">
      <c r="B9" s="11"/>
      <c r="C9" s="16"/>
      <c r="D9" s="16"/>
      <c r="E9" s="16"/>
      <c r="F9" s="16"/>
      <c r="G9" s="16"/>
      <c r="H9" s="16"/>
      <c r="I9" s="16"/>
      <c r="J9" s="16"/>
      <c r="K9" s="17"/>
      <c r="M9" s="32"/>
      <c r="N9" s="35"/>
      <c r="O9" s="36"/>
      <c r="Q9" s="74" t="s">
        <v>26</v>
      </c>
      <c r="R9" s="76"/>
      <c r="S9" s="79">
        <v>36.340000000000003</v>
      </c>
    </row>
    <row r="10" spans="2:19" x14ac:dyDescent="0.25">
      <c r="B10" s="18" t="s">
        <v>25</v>
      </c>
      <c r="C10" s="49">
        <f>((C8/C4)^(1/($B$8-$B$4)))-1</f>
        <v>5.9295893065681282E-2</v>
      </c>
      <c r="D10" s="49">
        <f t="shared" ref="D10:I10" si="6">((D8/D4)^(1/($B$8-$B$4)))-1</f>
        <v>6.26673572388603E-2</v>
      </c>
      <c r="E10" s="49"/>
      <c r="F10" s="49">
        <f t="shared" si="6"/>
        <v>9.5659824342205324E-2</v>
      </c>
      <c r="G10" s="49">
        <f t="shared" si="6"/>
        <v>3.7649061208764101E-2</v>
      </c>
      <c r="H10" s="49">
        <f t="shared" si="6"/>
        <v>-7.5141375308895864E-3</v>
      </c>
      <c r="I10" s="49">
        <f t="shared" si="6"/>
        <v>5.2679736576759506E-3</v>
      </c>
      <c r="J10" s="19">
        <f>AVERAGE(_xlfn.ANCHORARRAY(J4))</f>
        <v>7.7574797743735102</v>
      </c>
      <c r="K10" s="20">
        <f>AVERAGE(_xlfn.ANCHORARRAY(K4))</f>
        <v>0.97013358441647246</v>
      </c>
      <c r="M10" s="37" t="s">
        <v>19</v>
      </c>
      <c r="N10" s="50">
        <f>J10</f>
        <v>7.7574797743735102</v>
      </c>
      <c r="O10" s="38"/>
      <c r="Q10" s="75" t="s">
        <v>32</v>
      </c>
      <c r="R10" s="70"/>
      <c r="S10" s="80">
        <f>(S7/S9)^(1/5)-1</f>
        <v>0.12738655108214414</v>
      </c>
    </row>
    <row r="11" spans="2:19" x14ac:dyDescent="0.25">
      <c r="B11" s="3"/>
      <c r="M11" s="37" t="s">
        <v>20</v>
      </c>
      <c r="N11" s="33">
        <f>N8*N10</f>
        <v>333051.62261668482</v>
      </c>
      <c r="O11" s="38"/>
    </row>
    <row r="12" spans="2:19" x14ac:dyDescent="0.25">
      <c r="M12" s="39" t="s">
        <v>21</v>
      </c>
      <c r="N12" s="33">
        <f>F8</f>
        <v>38641</v>
      </c>
      <c r="O12" s="38"/>
    </row>
    <row r="13" spans="2:19" x14ac:dyDescent="0.25">
      <c r="B13" s="3"/>
      <c r="M13" s="39" t="s">
        <v>22</v>
      </c>
      <c r="N13" s="40">
        <f>G8</f>
        <v>2103</v>
      </c>
      <c r="O13" s="38"/>
    </row>
    <row r="14" spans="2:19" x14ac:dyDescent="0.25">
      <c r="B14" s="3"/>
      <c r="M14" s="37" t="s">
        <v>5</v>
      </c>
      <c r="N14" s="33">
        <f>N11-N12+N13</f>
        <v>296513.62261668482</v>
      </c>
      <c r="O14" s="38"/>
    </row>
    <row r="15" spans="2:19" x14ac:dyDescent="0.25">
      <c r="B15" s="3"/>
      <c r="M15" s="37" t="s">
        <v>23</v>
      </c>
      <c r="N15" s="41">
        <f>G25</f>
        <v>4090</v>
      </c>
      <c r="O15" s="38"/>
    </row>
    <row r="16" spans="2:19" ht="15.75" thickBot="1" x14ac:dyDescent="0.3">
      <c r="B16" s="3"/>
      <c r="M16" s="37" t="s">
        <v>24</v>
      </c>
      <c r="N16" s="42">
        <f>N14/N15</f>
        <v>72.497218243688224</v>
      </c>
      <c r="O16" s="38"/>
    </row>
    <row r="17" spans="2:19" ht="15.75" thickTop="1" x14ac:dyDescent="0.25">
      <c r="M17" s="43"/>
      <c r="N17" s="44"/>
      <c r="O17" s="45"/>
    </row>
    <row r="18" spans="2:19" x14ac:dyDescent="0.25">
      <c r="S18" s="47"/>
    </row>
    <row r="19" spans="2:19" ht="30" x14ac:dyDescent="0.25">
      <c r="B19" s="4" t="s">
        <v>9</v>
      </c>
      <c r="C19" s="4" t="s">
        <v>10</v>
      </c>
      <c r="D19" s="4" t="s">
        <v>11</v>
      </c>
      <c r="E19" s="5" t="s">
        <v>12</v>
      </c>
      <c r="F19" s="4" t="s">
        <v>13</v>
      </c>
      <c r="G19" s="4" t="s">
        <v>15</v>
      </c>
      <c r="H19" s="4" t="s">
        <v>16</v>
      </c>
      <c r="I19" s="4" t="s">
        <v>17</v>
      </c>
      <c r="J19" s="4" t="s">
        <v>14</v>
      </c>
      <c r="M19" s="4" t="s">
        <v>9</v>
      </c>
      <c r="N19" s="4" t="s">
        <v>16</v>
      </c>
      <c r="O19" s="4" t="s">
        <v>18</v>
      </c>
    </row>
    <row r="20" spans="2:19" ht="3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M20" s="48"/>
      <c r="N20" s="48"/>
      <c r="O20" s="48"/>
    </row>
    <row r="21" spans="2:19" x14ac:dyDescent="0.25">
      <c r="B21" s="6">
        <f>2017</f>
        <v>2017</v>
      </c>
      <c r="C21" s="7">
        <v>22110</v>
      </c>
      <c r="D21" s="7">
        <v>-11778</v>
      </c>
      <c r="E21" s="7">
        <v>-364</v>
      </c>
      <c r="F21" s="7">
        <f>SUM(C21:E21)</f>
        <v>9968</v>
      </c>
      <c r="G21" s="21">
        <v>4835</v>
      </c>
      <c r="H21" s="22">
        <f>F21/G21</f>
        <v>2.0616339193381594</v>
      </c>
      <c r="I21" s="23" cm="1">
        <f t="array" ref="I21:I25">I4:I8/G21:G25</f>
        <v>49.848810754912101</v>
      </c>
      <c r="J21" s="24">
        <f>H21/I21</f>
        <v>4.135773528228065E-2</v>
      </c>
      <c r="M21" s="51">
        <v>2022</v>
      </c>
      <c r="N21" s="52">
        <f>$H$25*(1+O21)</f>
        <v>3.1431821413802217</v>
      </c>
      <c r="O21" s="53" cm="1">
        <f t="array" ref="O21:O25">O4:O8</f>
        <v>5.9295893065681282E-2</v>
      </c>
    </row>
    <row r="22" spans="2:19" x14ac:dyDescent="0.25">
      <c r="B22" s="11">
        <f>B21+1</f>
        <v>2018</v>
      </c>
      <c r="C22" s="12">
        <v>29432</v>
      </c>
      <c r="D22" s="12">
        <v>-15181</v>
      </c>
      <c r="E22" s="12">
        <v>-2603</v>
      </c>
      <c r="F22" s="12">
        <f t="shared" ref="F22:F25" si="7">SUM(C22:E22)</f>
        <v>11648</v>
      </c>
      <c r="G22" s="25">
        <v>4701</v>
      </c>
      <c r="H22" s="26">
        <f t="shared" ref="H22:H25" si="8">F22/G22</f>
        <v>2.4777706870878538</v>
      </c>
      <c r="I22" s="27">
        <v>50.095937034673476</v>
      </c>
      <c r="J22" s="28">
        <f t="shared" ref="J22:J25" si="9">H22/I22</f>
        <v>4.9460511844960316E-2</v>
      </c>
      <c r="M22" s="54">
        <f>M21+1</f>
        <v>2023</v>
      </c>
      <c r="N22" s="55">
        <f>N21*(1+O22)</f>
        <v>3.3109221543073386</v>
      </c>
      <c r="O22" s="56">
        <v>5.3366303759113158E-2</v>
      </c>
    </row>
    <row r="23" spans="2:19" x14ac:dyDescent="0.25">
      <c r="B23" s="11">
        <f t="shared" ref="B23:B25" si="10">B22+1</f>
        <v>2019</v>
      </c>
      <c r="C23" s="12">
        <v>33145</v>
      </c>
      <c r="D23" s="12">
        <v>-16213</v>
      </c>
      <c r="E23" s="12">
        <v>765</v>
      </c>
      <c r="F23" s="12">
        <f t="shared" si="7"/>
        <v>17697</v>
      </c>
      <c r="G23" s="25">
        <v>4473</v>
      </c>
      <c r="H23" s="26">
        <f t="shared" si="8"/>
        <v>3.9564050972501676</v>
      </c>
      <c r="I23" s="27">
        <v>63.65369997764364</v>
      </c>
      <c r="J23" s="28">
        <f t="shared" si="9"/>
        <v>6.2155147283500099E-2</v>
      </c>
      <c r="M23" s="54">
        <f t="shared" ref="M23:M25" si="11">M22+1</f>
        <v>2024</v>
      </c>
      <c r="N23" s="55">
        <f t="shared" ref="N23:N25" si="12">N22*(1+O23)</f>
        <v>3.4699446639759266</v>
      </c>
      <c r="O23" s="56">
        <v>4.802967338320184E-2</v>
      </c>
    </row>
    <row r="24" spans="2:19" x14ac:dyDescent="0.25">
      <c r="B24" s="11">
        <f t="shared" si="10"/>
        <v>2020</v>
      </c>
      <c r="C24" s="12">
        <v>35384</v>
      </c>
      <c r="D24" s="12">
        <v>-14453</v>
      </c>
      <c r="E24" s="12">
        <v>5722</v>
      </c>
      <c r="F24" s="12">
        <f t="shared" si="7"/>
        <v>26653</v>
      </c>
      <c r="G24" s="25">
        <v>4232</v>
      </c>
      <c r="H24" s="26">
        <f t="shared" si="8"/>
        <v>6.2979678638941401</v>
      </c>
      <c r="I24" s="27">
        <v>56.331994328922498</v>
      </c>
      <c r="J24" s="28">
        <f t="shared" si="9"/>
        <v>0.11180090353485991</v>
      </c>
      <c r="M24" s="54">
        <f t="shared" si="11"/>
        <v>2025</v>
      </c>
      <c r="N24" s="55">
        <f t="shared" si="12"/>
        <v>3.6199389419576198</v>
      </c>
      <c r="O24" s="56">
        <v>4.3226706044881658E-2</v>
      </c>
    </row>
    <row r="25" spans="2:19" x14ac:dyDescent="0.25">
      <c r="B25" s="11">
        <f t="shared" si="10"/>
        <v>2021</v>
      </c>
      <c r="C25" s="12">
        <v>29991</v>
      </c>
      <c r="D25" s="12">
        <v>-20329</v>
      </c>
      <c r="E25" s="12">
        <v>2474</v>
      </c>
      <c r="F25" s="12">
        <f t="shared" si="7"/>
        <v>12136</v>
      </c>
      <c r="G25" s="25">
        <v>4090</v>
      </c>
      <c r="H25" s="26">
        <f t="shared" si="8"/>
        <v>2.9672371638141808</v>
      </c>
      <c r="I25" s="27">
        <v>60.180440097799512</v>
      </c>
      <c r="J25" s="28">
        <f t="shared" si="9"/>
        <v>4.9305674052767146E-2</v>
      </c>
      <c r="M25" s="54">
        <f t="shared" si="11"/>
        <v>2026</v>
      </c>
      <c r="N25" s="55">
        <f t="shared" si="12"/>
        <v>3.7607691748475998</v>
      </c>
      <c r="O25" s="56">
        <v>3.8904035440393496E-2</v>
      </c>
    </row>
    <row r="26" spans="2:19" x14ac:dyDescent="0.25">
      <c r="B26" s="11"/>
      <c r="C26" s="16"/>
      <c r="D26" s="16"/>
      <c r="E26" s="16"/>
      <c r="F26" s="16"/>
      <c r="G26" s="16"/>
      <c r="H26" s="16"/>
      <c r="I26" s="16"/>
      <c r="J26" s="17"/>
      <c r="M26" s="54"/>
      <c r="N26" s="57"/>
      <c r="O26" s="58"/>
    </row>
    <row r="27" spans="2:19" x14ac:dyDescent="0.25">
      <c r="B27" s="18" t="s">
        <v>25</v>
      </c>
      <c r="C27" s="49">
        <f t="shared" ref="C27:I27" si="13">((C25/C21)^(1/($B$8-$B$4)))-1</f>
        <v>7.9196556855168687E-2</v>
      </c>
      <c r="D27" s="49">
        <f t="shared" si="13"/>
        <v>0.14620188004879853</v>
      </c>
      <c r="E27" s="49"/>
      <c r="F27" s="49">
        <f t="shared" si="13"/>
        <v>5.0429438916448799E-2</v>
      </c>
      <c r="G27" s="49">
        <f t="shared" si="13"/>
        <v>-4.0971071917469848E-2</v>
      </c>
      <c r="H27" s="49">
        <f t="shared" si="13"/>
        <v>9.5305269901152512E-2</v>
      </c>
      <c r="I27" s="49">
        <f t="shared" si="13"/>
        <v>4.8214442986193928E-2</v>
      </c>
      <c r="J27" s="49">
        <f>AVERAGE(J21:J25)</f>
        <v>6.2815994399673628E-2</v>
      </c>
      <c r="M27" s="59" t="s">
        <v>14</v>
      </c>
      <c r="N27" s="60">
        <f>J27</f>
        <v>6.2815994399673628E-2</v>
      </c>
      <c r="O27" s="58"/>
    </row>
    <row r="28" spans="2:19" ht="15.75" thickBot="1" x14ac:dyDescent="0.3">
      <c r="M28" s="59" t="s">
        <v>24</v>
      </c>
      <c r="N28" s="61">
        <f>N25/N27</f>
        <v>59.86961140691804</v>
      </c>
      <c r="O28" s="62"/>
    </row>
    <row r="29" spans="2:19" ht="15.75" thickTop="1" x14ac:dyDescent="0.25">
      <c r="M29" s="63"/>
      <c r="N29" s="64"/>
      <c r="O29" s="65"/>
    </row>
  </sheetData>
  <mergeCells count="1">
    <mergeCell ref="Q2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Main</vt:lpstr>
      <vt:lpstr>Comp</vt:lpstr>
      <vt:lpstr>Model</vt:lpstr>
      <vt:lpstr>Stock Price</vt:lpstr>
      <vt:lpstr>Old_DCF</vt:lpstr>
      <vt:lpstr>Old_Main</vt:lpstr>
      <vt:lpstr>Old_Multiples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dcterms:created xsi:type="dcterms:W3CDTF">2022-04-04T16:40:02Z</dcterms:created>
  <dcterms:modified xsi:type="dcterms:W3CDTF">2025-06-22T14:10:08Z</dcterms:modified>
</cp:coreProperties>
</file>